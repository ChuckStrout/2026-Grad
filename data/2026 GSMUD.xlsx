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4B5677C2-95E5-4FC1-AC9E-1C803C1297C1}" xr6:coauthVersionLast="47" xr6:coauthVersionMax="47" xr10:uidLastSave="{00000000-0000-0000-0000-000000000000}"/>
  <bookViews>
    <workbookView xWindow="-120" yWindow="-120" windowWidth="29040" windowHeight="15225" activeTab="2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" l="1"/>
  <c r="G14" i="1"/>
  <c r="J14" i="2" s="1"/>
  <c r="H14" i="1"/>
  <c r="I14" i="2" s="1"/>
  <c r="I14" i="1"/>
  <c r="H14" i="2" s="1"/>
  <c r="K14" i="1"/>
  <c r="L14" i="1"/>
  <c r="D515" i="18" a="1"/>
  <c r="D515" i="18" s="1"/>
  <c r="E514" i="18"/>
  <c r="D514" i="18" a="1"/>
  <c r="D514" i="18" s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D62" i="11"/>
  <c r="E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D249" i="1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5" i="3" s="1"/>
  <c r="B176" i="3" s="1"/>
  <c r="B177" i="3" s="1"/>
  <c r="B178" i="3" s="1"/>
  <c r="B179" i="3" s="1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A28" i="3"/>
  <c r="A29" i="3" s="1"/>
  <c r="D13" i="18" a="1"/>
  <c r="D13" i="18" s="1"/>
  <c r="D29" i="18" a="1"/>
  <c r="D29" i="18" s="1"/>
  <c r="D45" i="18" a="1"/>
  <c r="D45" i="18" s="1"/>
  <c r="D61" i="18" a="1"/>
  <c r="D61" i="18" s="1"/>
  <c r="D77" i="18" a="1"/>
  <c r="D77" i="18" s="1"/>
  <c r="D93" i="18" a="1"/>
  <c r="D93" i="18" s="1"/>
  <c r="D109" i="18" a="1"/>
  <c r="D109" i="18" s="1"/>
  <c r="D125" i="18" a="1"/>
  <c r="D125" i="18" s="1"/>
  <c r="D141" i="18" a="1"/>
  <c r="D141" i="18" s="1"/>
  <c r="D157" i="18" a="1"/>
  <c r="D157" i="18" s="1"/>
  <c r="D173" i="18" a="1"/>
  <c r="D173" i="18" s="1"/>
  <c r="D189" i="18" a="1"/>
  <c r="D189" i="18" s="1"/>
  <c r="D205" i="18" a="1"/>
  <c r="D205" i="18" s="1"/>
  <c r="D221" i="18" a="1"/>
  <c r="D221" i="18" s="1"/>
  <c r="D237" i="18" a="1"/>
  <c r="D237" i="18" s="1"/>
  <c r="D253" i="18" a="1"/>
  <c r="D253" i="18" s="1"/>
  <c r="D269" i="18" a="1"/>
  <c r="D269" i="18" s="1"/>
  <c r="D285" i="18" a="1"/>
  <c r="D285" i="18" s="1"/>
  <c r="D301" i="18" a="1"/>
  <c r="D301" i="18" s="1"/>
  <c r="D317" i="18" a="1"/>
  <c r="D317" i="18" s="1"/>
  <c r="D333" i="18" a="1"/>
  <c r="D333" i="18" s="1"/>
  <c r="D349" i="18" a="1"/>
  <c r="D349" i="18" s="1"/>
  <c r="D365" i="18" a="1"/>
  <c r="D365" i="18" s="1"/>
  <c r="D381" i="18" a="1"/>
  <c r="D381" i="18" s="1"/>
  <c r="D397" i="18" a="1"/>
  <c r="D397" i="18" s="1"/>
  <c r="D413" i="18" a="1"/>
  <c r="D413" i="18" s="1"/>
  <c r="D429" i="18" a="1"/>
  <c r="D429" i="18" s="1"/>
  <c r="D445" i="18" a="1"/>
  <c r="D445" i="18" s="1"/>
  <c r="D461" i="18" a="1"/>
  <c r="D461" i="18" s="1"/>
  <c r="D477" i="18" a="1"/>
  <c r="D477" i="18" s="1"/>
  <c r="D493" i="18" a="1"/>
  <c r="D493" i="18" s="1"/>
  <c r="D509" i="18" a="1"/>
  <c r="D509" i="18" s="1"/>
  <c r="I19" i="18"/>
  <c r="D19" i="18" s="1" a="1"/>
  <c r="D19" i="18" s="1"/>
  <c r="I20" i="18"/>
  <c r="I21" i="18"/>
  <c r="D21" i="18" s="1" a="1"/>
  <c r="D21" i="18" s="1"/>
  <c r="I22" i="18"/>
  <c r="I23" i="18"/>
  <c r="D23" i="18" s="1" a="1"/>
  <c r="D23" i="18" s="1"/>
  <c r="I24" i="18"/>
  <c r="I25" i="18"/>
  <c r="D25" i="18" s="1" a="1"/>
  <c r="D25" i="18" s="1"/>
  <c r="I26" i="18"/>
  <c r="I27" i="18"/>
  <c r="D27" i="18" s="1" a="1"/>
  <c r="D27" i="18" s="1"/>
  <c r="I28" i="18"/>
  <c r="I29" i="18"/>
  <c r="I30" i="18"/>
  <c r="I31" i="18"/>
  <c r="D31" i="18" s="1" a="1"/>
  <c r="D31" i="18" s="1"/>
  <c r="I32" i="18"/>
  <c r="I33" i="18"/>
  <c r="D33" i="18" s="1" a="1"/>
  <c r="D33" i="18" s="1"/>
  <c r="I34" i="18"/>
  <c r="I35" i="18"/>
  <c r="D35" i="18" s="1" a="1"/>
  <c r="D35" i="18" s="1"/>
  <c r="I36" i="18"/>
  <c r="I37" i="18"/>
  <c r="D37" i="18" s="1" a="1"/>
  <c r="D37" i="18" s="1"/>
  <c r="I38" i="18"/>
  <c r="I39" i="18"/>
  <c r="D39" i="18" s="1" a="1"/>
  <c r="D39" i="18" s="1"/>
  <c r="I40" i="18"/>
  <c r="I41" i="18"/>
  <c r="D41" i="18" s="1" a="1"/>
  <c r="D41" i="18" s="1"/>
  <c r="I42" i="18"/>
  <c r="I43" i="18"/>
  <c r="D43" i="18" s="1" a="1"/>
  <c r="D43" i="18" s="1"/>
  <c r="I44" i="18"/>
  <c r="I45" i="18"/>
  <c r="I46" i="18"/>
  <c r="I47" i="18"/>
  <c r="D47" i="18" s="1" a="1"/>
  <c r="D47" i="18" s="1"/>
  <c r="I48" i="18"/>
  <c r="I49" i="18"/>
  <c r="D49" i="18" s="1" a="1"/>
  <c r="D49" i="18" s="1"/>
  <c r="I50" i="18"/>
  <c r="I51" i="18"/>
  <c r="D51" i="18" s="1" a="1"/>
  <c r="D51" i="18" s="1"/>
  <c r="I52" i="18"/>
  <c r="I53" i="18"/>
  <c r="D53" i="18" s="1" a="1"/>
  <c r="D53" i="18" s="1"/>
  <c r="I54" i="18"/>
  <c r="I55" i="18"/>
  <c r="D55" i="18" s="1" a="1"/>
  <c r="D55" i="18" s="1"/>
  <c r="I56" i="18"/>
  <c r="I57" i="18"/>
  <c r="D57" i="18" s="1" a="1"/>
  <c r="D57" i="18" s="1"/>
  <c r="I58" i="18"/>
  <c r="I59" i="18"/>
  <c r="D59" i="18" s="1" a="1"/>
  <c r="D59" i="18" s="1"/>
  <c r="I60" i="18"/>
  <c r="I61" i="18"/>
  <c r="I62" i="18"/>
  <c r="I63" i="18"/>
  <c r="D63" i="18" s="1" a="1"/>
  <c r="D63" i="18" s="1"/>
  <c r="I64" i="18"/>
  <c r="I65" i="18"/>
  <c r="D65" i="18" s="1" a="1"/>
  <c r="D65" i="18" s="1"/>
  <c r="I66" i="18"/>
  <c r="I67" i="18"/>
  <c r="D67" i="18" s="1" a="1"/>
  <c r="D67" i="18" s="1"/>
  <c r="I68" i="18"/>
  <c r="I69" i="18"/>
  <c r="D69" i="18" s="1" a="1"/>
  <c r="D69" i="18" s="1"/>
  <c r="I70" i="18"/>
  <c r="I71" i="18"/>
  <c r="D71" i="18" s="1" a="1"/>
  <c r="D71" i="18" s="1"/>
  <c r="I72" i="18"/>
  <c r="I73" i="18"/>
  <c r="D73" i="18" s="1" a="1"/>
  <c r="D73" i="18" s="1"/>
  <c r="I74" i="18"/>
  <c r="I75" i="18"/>
  <c r="D75" i="18" s="1" a="1"/>
  <c r="D75" i="18" s="1"/>
  <c r="I76" i="18"/>
  <c r="I77" i="18"/>
  <c r="I78" i="18"/>
  <c r="I79" i="18"/>
  <c r="D79" i="18" s="1" a="1"/>
  <c r="D79" i="18" s="1"/>
  <c r="I80" i="18"/>
  <c r="I81" i="18"/>
  <c r="D81" i="18" s="1" a="1"/>
  <c r="D81" i="18" s="1"/>
  <c r="I82" i="18"/>
  <c r="I83" i="18"/>
  <c r="D83" i="18" s="1" a="1"/>
  <c r="D83" i="18" s="1"/>
  <c r="I84" i="18"/>
  <c r="I85" i="18"/>
  <c r="D85" i="18" s="1" a="1"/>
  <c r="D85" i="18" s="1"/>
  <c r="I86" i="18"/>
  <c r="I87" i="18"/>
  <c r="D87" i="18" s="1" a="1"/>
  <c r="D87" i="18" s="1"/>
  <c r="I88" i="18"/>
  <c r="I89" i="18"/>
  <c r="D89" i="18" s="1" a="1"/>
  <c r="D89" i="18" s="1"/>
  <c r="I90" i="18"/>
  <c r="I91" i="18"/>
  <c r="D91" i="18" s="1" a="1"/>
  <c r="D91" i="18" s="1"/>
  <c r="I92" i="18"/>
  <c r="I93" i="18"/>
  <c r="I94" i="18"/>
  <c r="I95" i="18"/>
  <c r="D95" i="18" s="1" a="1"/>
  <c r="D95" i="18" s="1"/>
  <c r="I96" i="18"/>
  <c r="I97" i="18"/>
  <c r="D97" i="18" s="1" a="1"/>
  <c r="D97" i="18" s="1"/>
  <c r="I98" i="18"/>
  <c r="I99" i="18"/>
  <c r="D99" i="18" s="1" a="1"/>
  <c r="D99" i="18" s="1"/>
  <c r="I100" i="18"/>
  <c r="I101" i="18"/>
  <c r="D101" i="18" s="1" a="1"/>
  <c r="D101" i="18" s="1"/>
  <c r="I102" i="18"/>
  <c r="I103" i="18"/>
  <c r="D103" i="18" s="1" a="1"/>
  <c r="D103" i="18" s="1"/>
  <c r="I104" i="18"/>
  <c r="I105" i="18"/>
  <c r="D105" i="18" s="1" a="1"/>
  <c r="D105" i="18" s="1"/>
  <c r="I106" i="18"/>
  <c r="I107" i="18"/>
  <c r="D107" i="18" s="1" a="1"/>
  <c r="D107" i="18" s="1"/>
  <c r="I108" i="18"/>
  <c r="I109" i="18"/>
  <c r="I110" i="18"/>
  <c r="I111" i="18"/>
  <c r="D111" i="18" s="1" a="1"/>
  <c r="D111" i="18" s="1"/>
  <c r="I112" i="18"/>
  <c r="I113" i="18"/>
  <c r="D113" i="18" s="1" a="1"/>
  <c r="D113" i="18" s="1"/>
  <c r="I114" i="18"/>
  <c r="I115" i="18"/>
  <c r="D115" i="18" s="1" a="1"/>
  <c r="D115" i="18" s="1"/>
  <c r="I116" i="18"/>
  <c r="I117" i="18"/>
  <c r="D117" i="18" s="1" a="1"/>
  <c r="D117" i="18" s="1"/>
  <c r="I118" i="18"/>
  <c r="I119" i="18"/>
  <c r="D119" i="18" s="1" a="1"/>
  <c r="D119" i="18" s="1"/>
  <c r="I120" i="18"/>
  <c r="I121" i="18"/>
  <c r="D121" i="18" s="1" a="1"/>
  <c r="D121" i="18" s="1"/>
  <c r="I122" i="18"/>
  <c r="I123" i="18"/>
  <c r="D123" i="18" s="1" a="1"/>
  <c r="D123" i="18" s="1"/>
  <c r="I124" i="18"/>
  <c r="I125" i="18"/>
  <c r="I126" i="18"/>
  <c r="I127" i="18"/>
  <c r="D127" i="18" s="1" a="1"/>
  <c r="D127" i="18" s="1"/>
  <c r="I128" i="18"/>
  <c r="I129" i="18"/>
  <c r="D129" i="18" s="1" a="1"/>
  <c r="D129" i="18" s="1"/>
  <c r="I130" i="18"/>
  <c r="I131" i="18"/>
  <c r="D131" i="18" s="1" a="1"/>
  <c r="D131" i="18" s="1"/>
  <c r="I132" i="18"/>
  <c r="I133" i="18"/>
  <c r="D133" i="18" s="1" a="1"/>
  <c r="D133" i="18" s="1"/>
  <c r="I134" i="18"/>
  <c r="I135" i="18"/>
  <c r="D135" i="18" s="1" a="1"/>
  <c r="D135" i="18" s="1"/>
  <c r="I136" i="18"/>
  <c r="I137" i="18"/>
  <c r="D137" i="18" s="1" a="1"/>
  <c r="D137" i="18" s="1"/>
  <c r="I138" i="18"/>
  <c r="I139" i="18"/>
  <c r="D139" i="18" s="1" a="1"/>
  <c r="D139" i="18" s="1"/>
  <c r="I140" i="18"/>
  <c r="I141" i="18"/>
  <c r="I142" i="18"/>
  <c r="I143" i="18"/>
  <c r="D143" i="18" s="1" a="1"/>
  <c r="D143" i="18" s="1"/>
  <c r="I144" i="18"/>
  <c r="I145" i="18"/>
  <c r="D145" i="18" s="1" a="1"/>
  <c r="D145" i="18" s="1"/>
  <c r="I146" i="18"/>
  <c r="I147" i="18"/>
  <c r="D147" i="18" s="1" a="1"/>
  <c r="D147" i="18" s="1"/>
  <c r="I148" i="18"/>
  <c r="I149" i="18"/>
  <c r="D149" i="18" s="1" a="1"/>
  <c r="D149" i="18" s="1"/>
  <c r="I150" i="18"/>
  <c r="I151" i="18"/>
  <c r="D151" i="18" s="1" a="1"/>
  <c r="D151" i="18" s="1"/>
  <c r="I152" i="18"/>
  <c r="I153" i="18"/>
  <c r="D153" i="18" s="1" a="1"/>
  <c r="D153" i="18" s="1"/>
  <c r="I154" i="18"/>
  <c r="I155" i="18"/>
  <c r="D155" i="18" s="1" a="1"/>
  <c r="D155" i="18" s="1"/>
  <c r="I156" i="18"/>
  <c r="I157" i="18"/>
  <c r="I158" i="18"/>
  <c r="I159" i="18"/>
  <c r="D159" i="18" s="1" a="1"/>
  <c r="D159" i="18" s="1"/>
  <c r="I160" i="18"/>
  <c r="I161" i="18"/>
  <c r="D161" i="18" s="1" a="1"/>
  <c r="D161" i="18" s="1"/>
  <c r="I162" i="18"/>
  <c r="I163" i="18"/>
  <c r="D163" i="18" s="1" a="1"/>
  <c r="D163" i="18" s="1"/>
  <c r="I164" i="18"/>
  <c r="I165" i="18"/>
  <c r="D165" i="18" s="1" a="1"/>
  <c r="D165" i="18" s="1"/>
  <c r="I166" i="18"/>
  <c r="I167" i="18"/>
  <c r="D167" i="18" s="1" a="1"/>
  <c r="D167" i="18" s="1"/>
  <c r="I168" i="18"/>
  <c r="I169" i="18"/>
  <c r="D169" i="18" s="1" a="1"/>
  <c r="D169" i="18" s="1"/>
  <c r="I170" i="18"/>
  <c r="I171" i="18"/>
  <c r="D171" i="18" s="1" a="1"/>
  <c r="D171" i="18" s="1"/>
  <c r="I172" i="18"/>
  <c r="I173" i="18"/>
  <c r="I174" i="18"/>
  <c r="I175" i="18"/>
  <c r="D175" i="18" s="1" a="1"/>
  <c r="D175" i="18" s="1"/>
  <c r="I176" i="18"/>
  <c r="I177" i="18"/>
  <c r="D177" i="18" s="1" a="1"/>
  <c r="D177" i="18" s="1"/>
  <c r="I178" i="18"/>
  <c r="I179" i="18"/>
  <c r="D179" i="18" s="1" a="1"/>
  <c r="D179" i="18" s="1"/>
  <c r="I180" i="18"/>
  <c r="I181" i="18"/>
  <c r="D181" i="18" s="1" a="1"/>
  <c r="D181" i="18" s="1"/>
  <c r="I182" i="18"/>
  <c r="I183" i="18"/>
  <c r="D183" i="18" s="1" a="1"/>
  <c r="D183" i="18" s="1"/>
  <c r="I184" i="18"/>
  <c r="I185" i="18"/>
  <c r="D185" i="18" s="1" a="1"/>
  <c r="D185" i="18" s="1"/>
  <c r="I186" i="18"/>
  <c r="I187" i="18"/>
  <c r="D187" i="18" s="1" a="1"/>
  <c r="D187" i="18" s="1"/>
  <c r="I188" i="18"/>
  <c r="I189" i="18"/>
  <c r="I190" i="18"/>
  <c r="I191" i="18"/>
  <c r="D191" i="18" s="1" a="1"/>
  <c r="D191" i="18" s="1"/>
  <c r="I192" i="18"/>
  <c r="I193" i="18"/>
  <c r="D193" i="18" s="1" a="1"/>
  <c r="D193" i="18" s="1"/>
  <c r="I194" i="18"/>
  <c r="I195" i="18"/>
  <c r="D195" i="18" s="1" a="1"/>
  <c r="D195" i="18" s="1"/>
  <c r="I196" i="18"/>
  <c r="I197" i="18"/>
  <c r="D197" i="18" s="1" a="1"/>
  <c r="D197" i="18" s="1"/>
  <c r="I198" i="18"/>
  <c r="I199" i="18"/>
  <c r="D199" i="18" s="1" a="1"/>
  <c r="D199" i="18" s="1"/>
  <c r="I200" i="18"/>
  <c r="I201" i="18"/>
  <c r="D201" i="18" s="1" a="1"/>
  <c r="D201" i="18" s="1"/>
  <c r="I202" i="18"/>
  <c r="I203" i="18"/>
  <c r="D203" i="18" s="1" a="1"/>
  <c r="D203" i="18" s="1"/>
  <c r="I204" i="18"/>
  <c r="I205" i="18"/>
  <c r="I206" i="18"/>
  <c r="I207" i="18"/>
  <c r="D207" i="18" s="1" a="1"/>
  <c r="D207" i="18" s="1"/>
  <c r="I208" i="18"/>
  <c r="I209" i="18"/>
  <c r="D209" i="18" s="1" a="1"/>
  <c r="D209" i="18" s="1"/>
  <c r="I210" i="18"/>
  <c r="I211" i="18"/>
  <c r="D211" i="18" s="1" a="1"/>
  <c r="D211" i="18" s="1"/>
  <c r="I212" i="18"/>
  <c r="I213" i="18"/>
  <c r="D213" i="18" s="1" a="1"/>
  <c r="D213" i="18" s="1"/>
  <c r="I214" i="18"/>
  <c r="I215" i="18"/>
  <c r="D215" i="18" s="1" a="1"/>
  <c r="D215" i="18" s="1"/>
  <c r="I216" i="18"/>
  <c r="I217" i="18"/>
  <c r="D217" i="18" s="1" a="1"/>
  <c r="D217" i="18" s="1"/>
  <c r="I218" i="18"/>
  <c r="I219" i="18"/>
  <c r="D219" i="18" s="1" a="1"/>
  <c r="D219" i="18" s="1"/>
  <c r="I220" i="18"/>
  <c r="I221" i="18"/>
  <c r="I222" i="18"/>
  <c r="I223" i="18"/>
  <c r="D223" i="18" s="1" a="1"/>
  <c r="D223" i="18" s="1"/>
  <c r="I224" i="18"/>
  <c r="I225" i="18"/>
  <c r="D225" i="18" s="1" a="1"/>
  <c r="D225" i="18" s="1"/>
  <c r="I226" i="18"/>
  <c r="I227" i="18"/>
  <c r="D227" i="18" s="1" a="1"/>
  <c r="D227" i="18" s="1"/>
  <c r="I228" i="18"/>
  <c r="I229" i="18"/>
  <c r="D229" i="18" s="1" a="1"/>
  <c r="D229" i="18" s="1"/>
  <c r="I230" i="18"/>
  <c r="I231" i="18"/>
  <c r="D231" i="18" s="1" a="1"/>
  <c r="D231" i="18" s="1"/>
  <c r="I232" i="18"/>
  <c r="I233" i="18"/>
  <c r="D233" i="18" s="1" a="1"/>
  <c r="D233" i="18" s="1"/>
  <c r="I234" i="18"/>
  <c r="I235" i="18"/>
  <c r="D235" i="18" s="1" a="1"/>
  <c r="D235" i="18" s="1"/>
  <c r="I236" i="18"/>
  <c r="I237" i="18"/>
  <c r="I238" i="18"/>
  <c r="I239" i="18"/>
  <c r="D239" i="18" s="1" a="1"/>
  <c r="D239" i="18" s="1"/>
  <c r="I240" i="18"/>
  <c r="I241" i="18"/>
  <c r="D241" i="18" s="1" a="1"/>
  <c r="D241" i="18" s="1"/>
  <c r="I242" i="18"/>
  <c r="I243" i="18"/>
  <c r="D243" i="18" s="1" a="1"/>
  <c r="D243" i="18" s="1"/>
  <c r="I244" i="18"/>
  <c r="I245" i="18"/>
  <c r="D245" i="18" s="1" a="1"/>
  <c r="D245" i="18" s="1"/>
  <c r="I246" i="18"/>
  <c r="I247" i="18"/>
  <c r="D247" i="18" s="1" a="1"/>
  <c r="D247" i="18" s="1"/>
  <c r="I248" i="18"/>
  <c r="I249" i="18"/>
  <c r="D249" i="18" s="1" a="1"/>
  <c r="D249" i="18" s="1"/>
  <c r="I250" i="18"/>
  <c r="I251" i="18"/>
  <c r="D251" i="18" s="1" a="1"/>
  <c r="D251" i="18" s="1"/>
  <c r="I252" i="18"/>
  <c r="I253" i="18"/>
  <c r="I254" i="18"/>
  <c r="I255" i="18"/>
  <c r="D255" i="18" s="1" a="1"/>
  <c r="D255" i="18" s="1"/>
  <c r="I256" i="18"/>
  <c r="I257" i="18"/>
  <c r="D257" i="18" s="1" a="1"/>
  <c r="D257" i="18" s="1"/>
  <c r="I258" i="18"/>
  <c r="I259" i="18"/>
  <c r="D259" i="18" s="1" a="1"/>
  <c r="D259" i="18" s="1"/>
  <c r="I260" i="18"/>
  <c r="I261" i="18"/>
  <c r="D261" i="18" s="1" a="1"/>
  <c r="D261" i="18" s="1"/>
  <c r="I262" i="18"/>
  <c r="I263" i="18"/>
  <c r="D263" i="18" s="1" a="1"/>
  <c r="D263" i="18" s="1"/>
  <c r="I264" i="18"/>
  <c r="I265" i="18"/>
  <c r="D265" i="18" s="1" a="1"/>
  <c r="D265" i="18" s="1"/>
  <c r="I266" i="18"/>
  <c r="I267" i="18"/>
  <c r="D267" i="18" s="1" a="1"/>
  <c r="D267" i="18" s="1"/>
  <c r="I268" i="18"/>
  <c r="I269" i="18"/>
  <c r="I270" i="18"/>
  <c r="I271" i="18"/>
  <c r="D271" i="18" s="1" a="1"/>
  <c r="D271" i="18" s="1"/>
  <c r="I272" i="18"/>
  <c r="I273" i="18"/>
  <c r="D273" i="18" s="1" a="1"/>
  <c r="D273" i="18" s="1"/>
  <c r="I274" i="18"/>
  <c r="I275" i="18"/>
  <c r="D275" i="18" s="1" a="1"/>
  <c r="D275" i="18" s="1"/>
  <c r="I276" i="18"/>
  <c r="I277" i="18"/>
  <c r="D277" i="18" s="1" a="1"/>
  <c r="D277" i="18" s="1"/>
  <c r="I278" i="18"/>
  <c r="I279" i="18"/>
  <c r="D279" i="18" s="1" a="1"/>
  <c r="D279" i="18" s="1"/>
  <c r="I280" i="18"/>
  <c r="I281" i="18"/>
  <c r="D281" i="18" s="1" a="1"/>
  <c r="D281" i="18" s="1"/>
  <c r="I282" i="18"/>
  <c r="I283" i="18"/>
  <c r="D283" i="18" s="1" a="1"/>
  <c r="D283" i="18" s="1"/>
  <c r="I284" i="18"/>
  <c r="I285" i="18"/>
  <c r="I286" i="18"/>
  <c r="I287" i="18"/>
  <c r="D287" i="18" s="1" a="1"/>
  <c r="D287" i="18" s="1"/>
  <c r="I288" i="18"/>
  <c r="I289" i="18"/>
  <c r="D289" i="18" s="1" a="1"/>
  <c r="D289" i="18" s="1"/>
  <c r="I290" i="18"/>
  <c r="I291" i="18"/>
  <c r="D291" i="18" s="1" a="1"/>
  <c r="D291" i="18" s="1"/>
  <c r="I292" i="18"/>
  <c r="I293" i="18"/>
  <c r="D293" i="18" s="1" a="1"/>
  <c r="D293" i="18" s="1"/>
  <c r="I294" i="18"/>
  <c r="I295" i="18"/>
  <c r="D295" i="18" s="1" a="1"/>
  <c r="D295" i="18" s="1"/>
  <c r="I296" i="18"/>
  <c r="I297" i="18"/>
  <c r="D297" i="18" s="1" a="1"/>
  <c r="D297" i="18" s="1"/>
  <c r="I298" i="18"/>
  <c r="I299" i="18"/>
  <c r="D299" i="18" s="1" a="1"/>
  <c r="D299" i="18" s="1"/>
  <c r="I300" i="18"/>
  <c r="I301" i="18"/>
  <c r="I302" i="18"/>
  <c r="I303" i="18"/>
  <c r="D303" i="18" s="1" a="1"/>
  <c r="D303" i="18" s="1"/>
  <c r="I304" i="18"/>
  <c r="I305" i="18"/>
  <c r="D305" i="18" s="1" a="1"/>
  <c r="D305" i="18" s="1"/>
  <c r="I306" i="18"/>
  <c r="I307" i="18"/>
  <c r="D307" i="18" s="1" a="1"/>
  <c r="D307" i="18" s="1"/>
  <c r="I308" i="18"/>
  <c r="I309" i="18"/>
  <c r="D309" i="18" s="1" a="1"/>
  <c r="D309" i="18" s="1"/>
  <c r="I310" i="18"/>
  <c r="I311" i="18"/>
  <c r="D311" i="18" s="1" a="1"/>
  <c r="D311" i="18" s="1"/>
  <c r="I312" i="18"/>
  <c r="I313" i="18"/>
  <c r="D313" i="18" s="1" a="1"/>
  <c r="D313" i="18" s="1"/>
  <c r="I314" i="18"/>
  <c r="I315" i="18"/>
  <c r="D315" i="18" s="1" a="1"/>
  <c r="D315" i="18" s="1"/>
  <c r="I316" i="18"/>
  <c r="I317" i="18"/>
  <c r="I318" i="18"/>
  <c r="I319" i="18"/>
  <c r="D319" i="18" s="1" a="1"/>
  <c r="D319" i="18" s="1"/>
  <c r="I320" i="18"/>
  <c r="I321" i="18"/>
  <c r="D321" i="18" s="1" a="1"/>
  <c r="D321" i="18" s="1"/>
  <c r="I322" i="18"/>
  <c r="I323" i="18"/>
  <c r="D323" i="18" s="1" a="1"/>
  <c r="D323" i="18" s="1"/>
  <c r="I324" i="18"/>
  <c r="I325" i="18"/>
  <c r="D325" i="18" s="1" a="1"/>
  <c r="D325" i="18" s="1"/>
  <c r="I326" i="18"/>
  <c r="I327" i="18"/>
  <c r="D327" i="18" s="1" a="1"/>
  <c r="D327" i="18" s="1"/>
  <c r="I328" i="18"/>
  <c r="I329" i="18"/>
  <c r="D329" i="18" s="1" a="1"/>
  <c r="D329" i="18" s="1"/>
  <c r="I330" i="18"/>
  <c r="I331" i="18"/>
  <c r="D331" i="18" s="1" a="1"/>
  <c r="D331" i="18" s="1"/>
  <c r="I332" i="18"/>
  <c r="I333" i="18"/>
  <c r="I334" i="18"/>
  <c r="I335" i="18"/>
  <c r="D335" i="18" s="1" a="1"/>
  <c r="D335" i="18" s="1"/>
  <c r="I336" i="18"/>
  <c r="I337" i="18"/>
  <c r="D337" i="18" s="1" a="1"/>
  <c r="D337" i="18" s="1"/>
  <c r="I338" i="18"/>
  <c r="I339" i="18"/>
  <c r="D339" i="18" s="1" a="1"/>
  <c r="D339" i="18" s="1"/>
  <c r="I340" i="18"/>
  <c r="I341" i="18"/>
  <c r="D341" i="18" s="1" a="1"/>
  <c r="D341" i="18" s="1"/>
  <c r="I342" i="18"/>
  <c r="I343" i="18"/>
  <c r="D343" i="18" s="1" a="1"/>
  <c r="D343" i="18" s="1"/>
  <c r="I344" i="18"/>
  <c r="I345" i="18"/>
  <c r="D345" i="18" s="1" a="1"/>
  <c r="D345" i="18" s="1"/>
  <c r="I346" i="18"/>
  <c r="I347" i="18"/>
  <c r="D347" i="18" s="1" a="1"/>
  <c r="D347" i="18" s="1"/>
  <c r="I348" i="18"/>
  <c r="I349" i="18"/>
  <c r="I350" i="18"/>
  <c r="I351" i="18"/>
  <c r="D351" i="18" s="1" a="1"/>
  <c r="D351" i="18" s="1"/>
  <c r="I352" i="18"/>
  <c r="I353" i="18"/>
  <c r="D353" i="18" s="1" a="1"/>
  <c r="D353" i="18" s="1"/>
  <c r="I354" i="18"/>
  <c r="I355" i="18"/>
  <c r="D355" i="18" s="1" a="1"/>
  <c r="D355" i="18" s="1"/>
  <c r="I356" i="18"/>
  <c r="I357" i="18"/>
  <c r="D357" i="18" s="1" a="1"/>
  <c r="D357" i="18" s="1"/>
  <c r="I358" i="18"/>
  <c r="I359" i="18"/>
  <c r="D359" i="18" s="1" a="1"/>
  <c r="D359" i="18" s="1"/>
  <c r="I360" i="18"/>
  <c r="I361" i="18"/>
  <c r="D361" i="18" s="1" a="1"/>
  <c r="D361" i="18" s="1"/>
  <c r="I362" i="18"/>
  <c r="I363" i="18"/>
  <c r="D363" i="18" s="1" a="1"/>
  <c r="D363" i="18" s="1"/>
  <c r="I364" i="18"/>
  <c r="I365" i="18"/>
  <c r="I366" i="18"/>
  <c r="I367" i="18"/>
  <c r="D367" i="18" s="1" a="1"/>
  <c r="D367" i="18" s="1"/>
  <c r="I368" i="18"/>
  <c r="I369" i="18"/>
  <c r="D369" i="18" s="1" a="1"/>
  <c r="D369" i="18" s="1"/>
  <c r="I370" i="18"/>
  <c r="I371" i="18"/>
  <c r="D371" i="18" s="1" a="1"/>
  <c r="D371" i="18" s="1"/>
  <c r="I372" i="18"/>
  <c r="I373" i="18"/>
  <c r="D373" i="18" s="1" a="1"/>
  <c r="D373" i="18" s="1"/>
  <c r="I374" i="18"/>
  <c r="I375" i="18"/>
  <c r="D375" i="18" s="1" a="1"/>
  <c r="D375" i="18" s="1"/>
  <c r="I376" i="18"/>
  <c r="I377" i="18"/>
  <c r="D377" i="18" s="1" a="1"/>
  <c r="D377" i="18" s="1"/>
  <c r="I378" i="18"/>
  <c r="I379" i="18"/>
  <c r="D379" i="18" s="1" a="1"/>
  <c r="D379" i="18" s="1"/>
  <c r="I380" i="18"/>
  <c r="I381" i="18"/>
  <c r="I382" i="18"/>
  <c r="I383" i="18"/>
  <c r="D383" i="18" s="1" a="1"/>
  <c r="D383" i="18" s="1"/>
  <c r="I384" i="18"/>
  <c r="I385" i="18"/>
  <c r="D385" i="18" s="1" a="1"/>
  <c r="D385" i="18" s="1"/>
  <c r="I386" i="18"/>
  <c r="I387" i="18"/>
  <c r="D387" i="18" s="1" a="1"/>
  <c r="D387" i="18" s="1"/>
  <c r="I388" i="18"/>
  <c r="I389" i="18"/>
  <c r="D389" i="18" s="1" a="1"/>
  <c r="D389" i="18" s="1"/>
  <c r="I390" i="18"/>
  <c r="I391" i="18"/>
  <c r="D391" i="18" s="1" a="1"/>
  <c r="D391" i="18" s="1"/>
  <c r="I392" i="18"/>
  <c r="I393" i="18"/>
  <c r="D393" i="18" s="1" a="1"/>
  <c r="D393" i="18" s="1"/>
  <c r="I394" i="18"/>
  <c r="I395" i="18"/>
  <c r="D395" i="18" s="1" a="1"/>
  <c r="D395" i="18" s="1"/>
  <c r="I396" i="18"/>
  <c r="I397" i="18"/>
  <c r="I398" i="18"/>
  <c r="I399" i="18"/>
  <c r="D399" i="18" s="1" a="1"/>
  <c r="D399" i="18" s="1"/>
  <c r="I400" i="18"/>
  <c r="I401" i="18"/>
  <c r="D401" i="18" s="1" a="1"/>
  <c r="D401" i="18" s="1"/>
  <c r="I402" i="18"/>
  <c r="I403" i="18"/>
  <c r="D403" i="18" s="1" a="1"/>
  <c r="D403" i="18" s="1"/>
  <c r="I404" i="18"/>
  <c r="I405" i="18"/>
  <c r="D405" i="18" s="1" a="1"/>
  <c r="D405" i="18" s="1"/>
  <c r="I406" i="18"/>
  <c r="I407" i="18"/>
  <c r="D407" i="18" s="1" a="1"/>
  <c r="D407" i="18" s="1"/>
  <c r="I408" i="18"/>
  <c r="I409" i="18"/>
  <c r="D409" i="18" s="1" a="1"/>
  <c r="D409" i="18" s="1"/>
  <c r="I410" i="18"/>
  <c r="I411" i="18"/>
  <c r="D411" i="18" s="1" a="1"/>
  <c r="D411" i="18" s="1"/>
  <c r="I412" i="18"/>
  <c r="I413" i="18"/>
  <c r="I414" i="18"/>
  <c r="I415" i="18"/>
  <c r="D415" i="18" s="1" a="1"/>
  <c r="D415" i="18" s="1"/>
  <c r="I416" i="18"/>
  <c r="I417" i="18"/>
  <c r="D417" i="18" s="1" a="1"/>
  <c r="D417" i="18" s="1"/>
  <c r="I418" i="18"/>
  <c r="I419" i="18"/>
  <c r="D419" i="18" s="1" a="1"/>
  <c r="D419" i="18" s="1"/>
  <c r="I420" i="18"/>
  <c r="I421" i="18"/>
  <c r="D421" i="18" s="1" a="1"/>
  <c r="D421" i="18" s="1"/>
  <c r="I422" i="18"/>
  <c r="I423" i="18"/>
  <c r="D423" i="18" s="1" a="1"/>
  <c r="D423" i="18" s="1"/>
  <c r="I424" i="18"/>
  <c r="I425" i="18"/>
  <c r="D425" i="18" s="1" a="1"/>
  <c r="D425" i="18" s="1"/>
  <c r="I426" i="18"/>
  <c r="I427" i="18"/>
  <c r="D427" i="18" s="1" a="1"/>
  <c r="D427" i="18" s="1"/>
  <c r="I428" i="18"/>
  <c r="I429" i="18"/>
  <c r="I430" i="18"/>
  <c r="I431" i="18"/>
  <c r="D431" i="18" s="1" a="1"/>
  <c r="D431" i="18" s="1"/>
  <c r="I432" i="18"/>
  <c r="I433" i="18"/>
  <c r="D433" i="18" s="1" a="1"/>
  <c r="D433" i="18" s="1"/>
  <c r="I434" i="18"/>
  <c r="I435" i="18"/>
  <c r="D435" i="18" s="1" a="1"/>
  <c r="D435" i="18" s="1"/>
  <c r="I436" i="18"/>
  <c r="I437" i="18"/>
  <c r="D437" i="18" s="1" a="1"/>
  <c r="D437" i="18" s="1"/>
  <c r="I438" i="18"/>
  <c r="I439" i="18"/>
  <c r="D439" i="18" s="1" a="1"/>
  <c r="D439" i="18" s="1"/>
  <c r="I440" i="18"/>
  <c r="I441" i="18"/>
  <c r="D441" i="18" s="1" a="1"/>
  <c r="D441" i="18" s="1"/>
  <c r="I442" i="18"/>
  <c r="I443" i="18"/>
  <c r="D443" i="18" s="1" a="1"/>
  <c r="D443" i="18" s="1"/>
  <c r="I444" i="18"/>
  <c r="I445" i="18"/>
  <c r="I446" i="18"/>
  <c r="I447" i="18"/>
  <c r="D447" i="18" s="1" a="1"/>
  <c r="D447" i="18" s="1"/>
  <c r="I448" i="18"/>
  <c r="I449" i="18"/>
  <c r="D449" i="18" s="1" a="1"/>
  <c r="D449" i="18" s="1"/>
  <c r="I450" i="18"/>
  <c r="I451" i="18"/>
  <c r="D451" i="18" s="1" a="1"/>
  <c r="D451" i="18" s="1"/>
  <c r="I452" i="18"/>
  <c r="I453" i="18"/>
  <c r="D453" i="18" s="1" a="1"/>
  <c r="D453" i="18" s="1"/>
  <c r="I454" i="18"/>
  <c r="I455" i="18"/>
  <c r="D455" i="18" s="1" a="1"/>
  <c r="D455" i="18" s="1"/>
  <c r="I456" i="18"/>
  <c r="I457" i="18"/>
  <c r="D457" i="18" s="1" a="1"/>
  <c r="D457" i="18" s="1"/>
  <c r="I458" i="18"/>
  <c r="I459" i="18"/>
  <c r="D459" i="18" s="1" a="1"/>
  <c r="D459" i="18" s="1"/>
  <c r="I460" i="18"/>
  <c r="I461" i="18"/>
  <c r="I462" i="18"/>
  <c r="I463" i="18"/>
  <c r="D463" i="18" s="1" a="1"/>
  <c r="D463" i="18" s="1"/>
  <c r="I464" i="18"/>
  <c r="I465" i="18"/>
  <c r="D465" i="18" s="1" a="1"/>
  <c r="D465" i="18" s="1"/>
  <c r="I466" i="18"/>
  <c r="I467" i="18"/>
  <c r="D467" i="18" s="1" a="1"/>
  <c r="D467" i="18" s="1"/>
  <c r="I468" i="18"/>
  <c r="I469" i="18"/>
  <c r="D469" i="18" s="1" a="1"/>
  <c r="D469" i="18" s="1"/>
  <c r="I470" i="18"/>
  <c r="I471" i="18"/>
  <c r="D471" i="18" s="1" a="1"/>
  <c r="D471" i="18" s="1"/>
  <c r="I472" i="18"/>
  <c r="I473" i="18"/>
  <c r="D473" i="18" s="1" a="1"/>
  <c r="D473" i="18" s="1"/>
  <c r="I474" i="18"/>
  <c r="I475" i="18"/>
  <c r="D475" i="18" s="1" a="1"/>
  <c r="D475" i="18" s="1"/>
  <c r="I476" i="18"/>
  <c r="I477" i="18"/>
  <c r="I478" i="18"/>
  <c r="I479" i="18"/>
  <c r="D479" i="18" s="1" a="1"/>
  <c r="D479" i="18" s="1"/>
  <c r="I480" i="18"/>
  <c r="I481" i="18"/>
  <c r="D481" i="18" s="1" a="1"/>
  <c r="D481" i="18" s="1"/>
  <c r="I482" i="18"/>
  <c r="I483" i="18"/>
  <c r="D483" i="18" s="1" a="1"/>
  <c r="D483" i="18" s="1"/>
  <c r="I484" i="18"/>
  <c r="I485" i="18"/>
  <c r="D485" i="18" s="1" a="1"/>
  <c r="D485" i="18" s="1"/>
  <c r="I486" i="18"/>
  <c r="I487" i="18"/>
  <c r="D487" i="18" s="1" a="1"/>
  <c r="D487" i="18" s="1"/>
  <c r="I488" i="18"/>
  <c r="I489" i="18"/>
  <c r="D489" i="18" s="1" a="1"/>
  <c r="D489" i="18" s="1"/>
  <c r="I490" i="18"/>
  <c r="I491" i="18"/>
  <c r="D491" i="18" s="1" a="1"/>
  <c r="D491" i="18" s="1"/>
  <c r="I492" i="18"/>
  <c r="I493" i="18"/>
  <c r="I494" i="18"/>
  <c r="I495" i="18"/>
  <c r="D495" i="18" s="1" a="1"/>
  <c r="D495" i="18" s="1"/>
  <c r="I496" i="18"/>
  <c r="I497" i="18"/>
  <c r="D497" i="18" s="1" a="1"/>
  <c r="D497" i="18" s="1"/>
  <c r="I498" i="18"/>
  <c r="I499" i="18"/>
  <c r="D499" i="18" s="1" a="1"/>
  <c r="D499" i="18" s="1"/>
  <c r="I500" i="18"/>
  <c r="I501" i="18"/>
  <c r="D501" i="18" s="1" a="1"/>
  <c r="D501" i="18" s="1"/>
  <c r="I502" i="18"/>
  <c r="I503" i="18"/>
  <c r="D503" i="18" s="1" a="1"/>
  <c r="D503" i="18" s="1"/>
  <c r="I504" i="18"/>
  <c r="I505" i="18"/>
  <c r="D505" i="18" s="1" a="1"/>
  <c r="D505" i="18" s="1"/>
  <c r="I506" i="18"/>
  <c r="I507" i="18"/>
  <c r="D507" i="18" s="1" a="1"/>
  <c r="D507" i="18" s="1"/>
  <c r="I508" i="18"/>
  <c r="I509" i="18"/>
  <c r="I510" i="18"/>
  <c r="I511" i="18"/>
  <c r="D511" i="18" s="1" a="1"/>
  <c r="D511" i="18" s="1"/>
  <c r="I512" i="18"/>
  <c r="I513" i="18"/>
  <c r="D513" i="18" s="1" a="1"/>
  <c r="D513" i="18" s="1"/>
  <c r="I3" i="18"/>
  <c r="D3" i="18" s="1" a="1"/>
  <c r="D3" i="18" s="1"/>
  <c r="I4" i="18"/>
  <c r="I5" i="18"/>
  <c r="I6" i="18"/>
  <c r="I7" i="18"/>
  <c r="I8" i="18"/>
  <c r="I9" i="18"/>
  <c r="I10" i="18"/>
  <c r="I11" i="18"/>
  <c r="D11" i="18" s="1" a="1"/>
  <c r="D11" i="18" s="1"/>
  <c r="I12" i="18"/>
  <c r="I13" i="18"/>
  <c r="I14" i="18"/>
  <c r="I15" i="18"/>
  <c r="D15" i="18" s="1" a="1"/>
  <c r="D15" i="18" s="1"/>
  <c r="I16" i="18"/>
  <c r="I17" i="18"/>
  <c r="D17" i="18" s="1" a="1"/>
  <c r="D17" i="18" s="1"/>
  <c r="I18" i="18"/>
  <c r="I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F36" i="18"/>
  <c r="F34" i="18"/>
  <c r="E34" i="18"/>
  <c r="F4" i="4"/>
  <c r="E4" i="4"/>
  <c r="F4" i="18"/>
  <c r="E4" i="18"/>
  <c r="F129" i="3"/>
  <c r="F29" i="3"/>
  <c r="E512" i="18"/>
  <c r="E510" i="18"/>
  <c r="E508" i="18"/>
  <c r="E506" i="18"/>
  <c r="E504" i="18"/>
  <c r="E502" i="18"/>
  <c r="E500" i="18"/>
  <c r="E498" i="18"/>
  <c r="E496" i="18"/>
  <c r="E494" i="18"/>
  <c r="E492" i="18"/>
  <c r="E490" i="18"/>
  <c r="E488" i="18"/>
  <c r="E486" i="18"/>
  <c r="E484" i="18"/>
  <c r="E482" i="18"/>
  <c r="E480" i="18"/>
  <c r="E478" i="18"/>
  <c r="E476" i="18"/>
  <c r="E474" i="18"/>
  <c r="E472" i="18"/>
  <c r="E470" i="18"/>
  <c r="E468" i="18"/>
  <c r="E466" i="18"/>
  <c r="E464" i="18"/>
  <c r="E462" i="18"/>
  <c r="E460" i="18"/>
  <c r="E458" i="18"/>
  <c r="E456" i="18"/>
  <c r="E454" i="18"/>
  <c r="E452" i="18"/>
  <c r="E450" i="18"/>
  <c r="E448" i="18"/>
  <c r="E446" i="18"/>
  <c r="E444" i="18"/>
  <c r="E442" i="18"/>
  <c r="E440" i="18"/>
  <c r="E438" i="18"/>
  <c r="E436" i="18"/>
  <c r="E434" i="18"/>
  <c r="E432" i="18"/>
  <c r="E430" i="18"/>
  <c r="E428" i="18"/>
  <c r="E426" i="18"/>
  <c r="E424" i="18"/>
  <c r="E422" i="18"/>
  <c r="E420" i="18"/>
  <c r="E418" i="18"/>
  <c r="E416" i="18"/>
  <c r="E414" i="18"/>
  <c r="E412" i="18"/>
  <c r="E410" i="18"/>
  <c r="E408" i="18"/>
  <c r="E406" i="18"/>
  <c r="E404" i="18"/>
  <c r="E402" i="18"/>
  <c r="E400" i="18"/>
  <c r="E398" i="18"/>
  <c r="E396" i="18"/>
  <c r="E394" i="18"/>
  <c r="E392" i="18"/>
  <c r="E390" i="18"/>
  <c r="E388" i="18"/>
  <c r="E386" i="18"/>
  <c r="E384" i="18"/>
  <c r="E382" i="18"/>
  <c r="E380" i="18"/>
  <c r="E378" i="18"/>
  <c r="E376" i="18"/>
  <c r="E374" i="18"/>
  <c r="E372" i="18"/>
  <c r="E370" i="18"/>
  <c r="E368" i="18"/>
  <c r="E366" i="18"/>
  <c r="E364" i="18"/>
  <c r="E362" i="18"/>
  <c r="E360" i="18"/>
  <c r="E358" i="18"/>
  <c r="E356" i="18"/>
  <c r="E354" i="18"/>
  <c r="E352" i="18"/>
  <c r="E350" i="18"/>
  <c r="E348" i="18"/>
  <c r="E346" i="18"/>
  <c r="E344" i="18"/>
  <c r="E342" i="18"/>
  <c r="E340" i="18"/>
  <c r="E338" i="18"/>
  <c r="E336" i="18"/>
  <c r="E334" i="18"/>
  <c r="E332" i="18"/>
  <c r="E330" i="18"/>
  <c r="E328" i="18"/>
  <c r="E326" i="18"/>
  <c r="E324" i="18"/>
  <c r="E322" i="18"/>
  <c r="E320" i="18"/>
  <c r="E318" i="18"/>
  <c r="E316" i="18"/>
  <c r="E314" i="18"/>
  <c r="E312" i="18"/>
  <c r="E310" i="18"/>
  <c r="E308" i="18"/>
  <c r="E306" i="18"/>
  <c r="E304" i="18"/>
  <c r="E302" i="18"/>
  <c r="E300" i="18"/>
  <c r="E298" i="18"/>
  <c r="E296" i="18"/>
  <c r="E294" i="18"/>
  <c r="E292" i="18"/>
  <c r="E290" i="18"/>
  <c r="E288" i="18"/>
  <c r="E286" i="18"/>
  <c r="E284" i="18"/>
  <c r="E282" i="18"/>
  <c r="E280" i="18"/>
  <c r="E278" i="18"/>
  <c r="E276" i="18"/>
  <c r="E274" i="18"/>
  <c r="E272" i="18"/>
  <c r="E270" i="18"/>
  <c r="E268" i="18"/>
  <c r="E266" i="18"/>
  <c r="E264" i="18"/>
  <c r="E262" i="18"/>
  <c r="E260" i="18"/>
  <c r="E258" i="18"/>
  <c r="E256" i="18"/>
  <c r="E254" i="18"/>
  <c r="E252" i="18"/>
  <c r="E250" i="18"/>
  <c r="E248" i="18"/>
  <c r="E246" i="18"/>
  <c r="E244" i="18"/>
  <c r="E242" i="18"/>
  <c r="E240" i="18"/>
  <c r="E238" i="18"/>
  <c r="E236" i="18"/>
  <c r="E234" i="18"/>
  <c r="E232" i="18"/>
  <c r="E230" i="18"/>
  <c r="E228" i="18"/>
  <c r="E226" i="18"/>
  <c r="E224" i="18"/>
  <c r="E222" i="18"/>
  <c r="E220" i="18"/>
  <c r="E218" i="18"/>
  <c r="E216" i="18"/>
  <c r="E214" i="18"/>
  <c r="E212" i="18"/>
  <c r="E210" i="18"/>
  <c r="E208" i="18"/>
  <c r="E206" i="18"/>
  <c r="E204" i="18"/>
  <c r="F202" i="18"/>
  <c r="E202" i="18"/>
  <c r="F200" i="18"/>
  <c r="E200" i="18"/>
  <c r="F198" i="18"/>
  <c r="E198" i="18"/>
  <c r="F196" i="18"/>
  <c r="E196" i="18"/>
  <c r="F194" i="18"/>
  <c r="E194" i="18"/>
  <c r="F192" i="18"/>
  <c r="E192" i="18"/>
  <c r="F190" i="18"/>
  <c r="E190" i="18"/>
  <c r="F188" i="18"/>
  <c r="E188" i="18"/>
  <c r="F186" i="18"/>
  <c r="E186" i="18"/>
  <c r="F184" i="18"/>
  <c r="E184" i="18"/>
  <c r="F182" i="18"/>
  <c r="E182" i="18"/>
  <c r="F180" i="18"/>
  <c r="E180" i="18"/>
  <c r="F178" i="18"/>
  <c r="E178" i="18"/>
  <c r="F176" i="18"/>
  <c r="E176" i="18"/>
  <c r="F174" i="18"/>
  <c r="E174" i="18"/>
  <c r="F172" i="18"/>
  <c r="E172" i="18"/>
  <c r="F170" i="18"/>
  <c r="E170" i="18"/>
  <c r="F168" i="18"/>
  <c r="E168" i="18"/>
  <c r="F166" i="18"/>
  <c r="E166" i="18"/>
  <c r="F164" i="18"/>
  <c r="E164" i="18"/>
  <c r="F162" i="18"/>
  <c r="E162" i="18"/>
  <c r="F160" i="18"/>
  <c r="E160" i="18"/>
  <c r="F158" i="18"/>
  <c r="E158" i="18"/>
  <c r="F156" i="18"/>
  <c r="E156" i="18"/>
  <c r="F154" i="18"/>
  <c r="E154" i="18"/>
  <c r="F152" i="18"/>
  <c r="E152" i="18"/>
  <c r="F150" i="18"/>
  <c r="E150" i="18"/>
  <c r="F148" i="18"/>
  <c r="E148" i="18"/>
  <c r="F146" i="18"/>
  <c r="E146" i="18"/>
  <c r="F144" i="18"/>
  <c r="E144" i="18"/>
  <c r="F142" i="18"/>
  <c r="E142" i="18"/>
  <c r="F140" i="18"/>
  <c r="E140" i="18"/>
  <c r="F138" i="18"/>
  <c r="E138" i="18"/>
  <c r="F136" i="18"/>
  <c r="E136" i="18"/>
  <c r="F134" i="18"/>
  <c r="E134" i="18"/>
  <c r="F132" i="18"/>
  <c r="E132" i="18"/>
  <c r="F130" i="18"/>
  <c r="E130" i="18"/>
  <c r="F128" i="18"/>
  <c r="E128" i="18"/>
  <c r="F126" i="18"/>
  <c r="E126" i="18"/>
  <c r="F124" i="18"/>
  <c r="E124" i="18"/>
  <c r="F122" i="18"/>
  <c r="E122" i="18"/>
  <c r="F120" i="18"/>
  <c r="E120" i="18"/>
  <c r="F118" i="18"/>
  <c r="E118" i="18"/>
  <c r="F116" i="18"/>
  <c r="E116" i="18"/>
  <c r="F114" i="18"/>
  <c r="E114" i="18"/>
  <c r="F112" i="18"/>
  <c r="E112" i="18"/>
  <c r="F110" i="18"/>
  <c r="E110" i="18"/>
  <c r="F108" i="18"/>
  <c r="E108" i="18"/>
  <c r="F106" i="18"/>
  <c r="E106" i="18"/>
  <c r="F104" i="18"/>
  <c r="E104" i="18"/>
  <c r="F102" i="18"/>
  <c r="E102" i="18"/>
  <c r="F100" i="18"/>
  <c r="E100" i="18"/>
  <c r="F98" i="18"/>
  <c r="E98" i="18"/>
  <c r="F96" i="18"/>
  <c r="E96" i="18"/>
  <c r="F94" i="18"/>
  <c r="E94" i="18"/>
  <c r="F92" i="18"/>
  <c r="E92" i="18"/>
  <c r="F90" i="18"/>
  <c r="E90" i="18"/>
  <c r="F88" i="18"/>
  <c r="E88" i="18"/>
  <c r="F86" i="18"/>
  <c r="E86" i="18"/>
  <c r="F84" i="18"/>
  <c r="E84" i="18"/>
  <c r="F82" i="18"/>
  <c r="E82" i="18"/>
  <c r="F80" i="18"/>
  <c r="E80" i="18"/>
  <c r="F78" i="18"/>
  <c r="E78" i="18"/>
  <c r="F76" i="18"/>
  <c r="E76" i="18"/>
  <c r="F74" i="18"/>
  <c r="E74" i="18"/>
  <c r="F72" i="18"/>
  <c r="E72" i="18"/>
  <c r="F70" i="18"/>
  <c r="E70" i="18"/>
  <c r="F68" i="18"/>
  <c r="E68" i="18"/>
  <c r="F66" i="18"/>
  <c r="E66" i="18"/>
  <c r="F64" i="18"/>
  <c r="E64" i="18"/>
  <c r="F62" i="18"/>
  <c r="E62" i="18"/>
  <c r="F60" i="18"/>
  <c r="E60" i="18"/>
  <c r="F58" i="18"/>
  <c r="E58" i="18"/>
  <c r="F56" i="18"/>
  <c r="E56" i="18"/>
  <c r="F54" i="18"/>
  <c r="E54" i="18"/>
  <c r="F52" i="18"/>
  <c r="E52" i="18"/>
  <c r="F50" i="18"/>
  <c r="E50" i="18"/>
  <c r="F48" i="18"/>
  <c r="E48" i="18"/>
  <c r="F46" i="18"/>
  <c r="E46" i="18"/>
  <c r="F44" i="18"/>
  <c r="E44" i="18"/>
  <c r="F42" i="18"/>
  <c r="E42" i="18"/>
  <c r="F40" i="18"/>
  <c r="E40" i="18"/>
  <c r="F38" i="18"/>
  <c r="E38" i="18"/>
  <c r="E36" i="18"/>
  <c r="F32" i="18"/>
  <c r="E32" i="18"/>
  <c r="F30" i="18"/>
  <c r="E30" i="18"/>
  <c r="F28" i="18"/>
  <c r="E28" i="18"/>
  <c r="F26" i="18"/>
  <c r="E26" i="18"/>
  <c r="F24" i="18"/>
  <c r="E24" i="18"/>
  <c r="F22" i="18"/>
  <c r="E22" i="18"/>
  <c r="F20" i="18"/>
  <c r="E20" i="18"/>
  <c r="F18" i="18"/>
  <c r="E18" i="18"/>
  <c r="F16" i="18"/>
  <c r="E16" i="18"/>
  <c r="F14" i="18"/>
  <c r="E14" i="18"/>
  <c r="F12" i="18"/>
  <c r="E12" i="18"/>
  <c r="F10" i="18"/>
  <c r="E10" i="18"/>
  <c r="F8" i="18"/>
  <c r="E8" i="18"/>
  <c r="F6" i="18"/>
  <c r="E6" i="18"/>
  <c r="F2" i="18"/>
  <c r="E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F292" i="18" s="1"/>
  <c r="E122" i="1"/>
  <c r="F242" i="4" s="1"/>
  <c r="E121" i="1"/>
  <c r="E145" i="1" s="1"/>
  <c r="E120" i="1"/>
  <c r="F238" i="18" s="1"/>
  <c r="E119" i="1"/>
  <c r="F236" i="18" s="1"/>
  <c r="E118" i="1"/>
  <c r="F234" i="18" s="1"/>
  <c r="E117" i="1"/>
  <c r="E141" i="1" s="1"/>
  <c r="E116" i="1"/>
  <c r="F230" i="18" s="1"/>
  <c r="E115" i="1"/>
  <c r="F228" i="4" s="1"/>
  <c r="E114" i="1"/>
  <c r="F226" i="4" s="1"/>
  <c r="E113" i="1"/>
  <c r="F224" i="18" s="1"/>
  <c r="E112" i="1"/>
  <c r="F222" i="18" s="1"/>
  <c r="E111" i="1"/>
  <c r="F220" i="18" s="1"/>
  <c r="E110" i="1"/>
  <c r="F218" i="18" s="1"/>
  <c r="E109" i="1"/>
  <c r="F216" i="18" s="1"/>
  <c r="E108" i="1"/>
  <c r="F214" i="18" s="1"/>
  <c r="E107" i="1"/>
  <c r="E131" i="1" s="1"/>
  <c r="F260" i="18" s="1"/>
  <c r="E106" i="1"/>
  <c r="F210" i="18" s="1"/>
  <c r="E105" i="1"/>
  <c r="F208" i="18" s="1"/>
  <c r="E104" i="1"/>
  <c r="E128" i="1" s="1"/>
  <c r="F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D28" i="18" a="1"/>
  <c r="D32" i="18" a="1"/>
  <c r="D36" i="18" a="1"/>
  <c r="D40" i="18" a="1"/>
  <c r="D44" i="18" a="1"/>
  <c r="D48" i="18" a="1"/>
  <c r="D52" i="18" a="1"/>
  <c r="D56" i="18" a="1"/>
  <c r="D60" i="18" a="1"/>
  <c r="D64" i="18" a="1"/>
  <c r="D68" i="18" a="1"/>
  <c r="D72" i="18" a="1"/>
  <c r="D76" i="18" a="1"/>
  <c r="D50" i="18" a="1"/>
  <c r="D42" i="18" a="1"/>
  <c r="D58" i="18" a="1"/>
  <c r="D30" i="18" a="1"/>
  <c r="D38" i="18" a="1"/>
  <c r="D46" i="18" a="1"/>
  <c r="D54" i="18" a="1"/>
  <c r="D62" i="18" a="1"/>
  <c r="D70" i="18" a="1"/>
  <c r="D34" i="18" a="1"/>
  <c r="D66" i="18" a="1"/>
  <c r="D74" i="18" a="1"/>
  <c r="F144" i="2" l="1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78" i="18" s="1" a="1"/>
  <c r="D78" i="18" s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49" i="11"/>
  <c r="E249" i="3" s="1"/>
  <c r="D249" i="3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D9" i="18" a="1"/>
  <c r="D9" i="18" s="1"/>
  <c r="D7" i="18" a="1"/>
  <c r="D7" i="18" s="1"/>
  <c r="D5" i="18" a="1"/>
  <c r="D5" i="18" s="1"/>
  <c r="D74" i="18"/>
  <c r="D66" i="18"/>
  <c r="D34" i="18"/>
  <c r="D70" i="18"/>
  <c r="D62" i="18"/>
  <c r="D54" i="18"/>
  <c r="D46" i="18"/>
  <c r="D38" i="18"/>
  <c r="D30" i="18"/>
  <c r="D58" i="18"/>
  <c r="D42" i="18"/>
  <c r="D50" i="18"/>
  <c r="D76" i="18"/>
  <c r="D72" i="18"/>
  <c r="D68" i="18"/>
  <c r="D64" i="18"/>
  <c r="D60" i="18"/>
  <c r="D56" i="18"/>
  <c r="D52" i="18"/>
  <c r="D48" i="18"/>
  <c r="D44" i="18"/>
  <c r="D40" i="18"/>
  <c r="D36" i="18"/>
  <c r="D32" i="18"/>
  <c r="D28" i="18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F212" i="18"/>
  <c r="F280" i="4"/>
  <c r="F280" i="18"/>
  <c r="E165" i="1"/>
  <c r="E189" i="1" s="1"/>
  <c r="F376" i="4" s="1"/>
  <c r="F214" i="4"/>
  <c r="F246" i="4"/>
  <c r="F232" i="4"/>
  <c r="F232" i="18"/>
  <c r="F246" i="18"/>
  <c r="F254" i="4"/>
  <c r="C81" i="3"/>
  <c r="F212" i="4"/>
  <c r="F244" i="4"/>
  <c r="F244" i="18"/>
  <c r="F216" i="4"/>
  <c r="E133" i="1"/>
  <c r="F264" i="18" s="1"/>
  <c r="F224" i="4"/>
  <c r="E24" i="9"/>
  <c r="F250" i="18"/>
  <c r="E137" i="1"/>
  <c r="E161" i="1" s="1"/>
  <c r="F320" i="18" s="1"/>
  <c r="F250" i="4"/>
  <c r="E130" i="1"/>
  <c r="F258" i="4" s="1"/>
  <c r="E152" i="1"/>
  <c r="F302" i="18" s="1"/>
  <c r="E142" i="1"/>
  <c r="F282" i="4" s="1"/>
  <c r="F206" i="18"/>
  <c r="F234" i="4"/>
  <c r="E138" i="1"/>
  <c r="E162" i="1" s="1"/>
  <c r="E186" i="1" s="1"/>
  <c r="E136" i="1"/>
  <c r="F208" i="4"/>
  <c r="E171" i="1"/>
  <c r="E129" i="1"/>
  <c r="F256" i="18" s="1"/>
  <c r="F292" i="4"/>
  <c r="F222" i="4"/>
  <c r="F288" i="18"/>
  <c r="F288" i="4"/>
  <c r="E169" i="1"/>
  <c r="E193" i="1" s="1"/>
  <c r="F384" i="4" s="1"/>
  <c r="F294" i="4"/>
  <c r="E172" i="1"/>
  <c r="F294" i="18"/>
  <c r="F252" i="18"/>
  <c r="F252" i="4"/>
  <c r="E151" i="1"/>
  <c r="E175" i="1" s="1"/>
  <c r="F298" i="18"/>
  <c r="E132" i="1"/>
  <c r="F262" i="18" s="1"/>
  <c r="E146" i="1"/>
  <c r="F290" i="4" s="1"/>
  <c r="F204" i="18"/>
  <c r="F242" i="18"/>
  <c r="F204" i="4"/>
  <c r="E155" i="1"/>
  <c r="F308" i="18" s="1"/>
  <c r="F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F226" i="18"/>
  <c r="F238" i="4"/>
  <c r="E144" i="1"/>
  <c r="F228" i="18"/>
  <c r="E149" i="1"/>
  <c r="F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F328" i="18"/>
  <c r="F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F272" i="18"/>
  <c r="F376" i="18"/>
  <c r="E213" i="1"/>
  <c r="F328" i="4"/>
  <c r="E154" i="1"/>
  <c r="F306" i="18" s="1"/>
  <c r="F264" i="4"/>
  <c r="E157" i="1"/>
  <c r="E181" i="1" s="1"/>
  <c r="E112" i="3"/>
  <c r="D112" i="3"/>
  <c r="F302" i="4"/>
  <c r="E156" i="1"/>
  <c r="F310" i="18" s="1"/>
  <c r="E176" i="1"/>
  <c r="F350" i="18" s="1"/>
  <c r="F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F274" i="18"/>
  <c r="F336" i="4"/>
  <c r="F322" i="18"/>
  <c r="F282" i="18"/>
  <c r="E166" i="1"/>
  <c r="F262" i="4"/>
  <c r="F322" i="4"/>
  <c r="F274" i="4"/>
  <c r="E179" i="1"/>
  <c r="F356" i="18" s="1"/>
  <c r="F308" i="4"/>
  <c r="F256" i="4"/>
  <c r="E153" i="1"/>
  <c r="F340" i="4"/>
  <c r="F340" i="18"/>
  <c r="F270" i="18"/>
  <c r="F270" i="4"/>
  <c r="E160" i="1"/>
  <c r="E195" i="1"/>
  <c r="E219" i="1" s="1"/>
  <c r="F290" i="18"/>
  <c r="E198" i="1"/>
  <c r="F394" i="4" s="1"/>
  <c r="E196" i="1"/>
  <c r="F342" i="18"/>
  <c r="F342" i="4"/>
  <c r="F384" i="18"/>
  <c r="E217" i="1"/>
  <c r="E170" i="1"/>
  <c r="E194" i="1" s="1"/>
  <c r="F266" i="18"/>
  <c r="E158" i="1"/>
  <c r="F266" i="4"/>
  <c r="F346" i="18"/>
  <c r="F300" i="4"/>
  <c r="F300" i="18"/>
  <c r="F218" i="2"/>
  <c r="D194" i="2"/>
  <c r="D157" i="2"/>
  <c r="F181" i="2"/>
  <c r="D179" i="2"/>
  <c r="F203" i="2"/>
  <c r="D153" i="2"/>
  <c r="F177" i="2"/>
  <c r="F286" i="18"/>
  <c r="E168" i="1"/>
  <c r="F286" i="4"/>
  <c r="F276" i="4"/>
  <c r="E163" i="1"/>
  <c r="F276" i="18"/>
  <c r="F370" i="18"/>
  <c r="E210" i="1"/>
  <c r="F370" i="4"/>
  <c r="E173" i="1"/>
  <c r="F296" i="18"/>
  <c r="F296" i="4"/>
  <c r="E199" i="1"/>
  <c r="F348" i="18"/>
  <c r="F348" i="4"/>
  <c r="E255" i="3"/>
  <c r="F278" i="4"/>
  <c r="E164" i="1"/>
  <c r="F278" i="18"/>
  <c r="F237" i="2"/>
  <c r="D213" i="2"/>
  <c r="F187" i="2"/>
  <c r="D163" i="2"/>
  <c r="D198" i="2"/>
  <c r="F222" i="2"/>
  <c r="D134" i="2"/>
  <c r="F158" i="2"/>
  <c r="F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F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D80" i="18" s="1" a="1"/>
  <c r="D80" i="18" s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F424" i="18"/>
  <c r="E178" i="1"/>
  <c r="A6" i="3"/>
  <c r="L19" i="1" s="1"/>
  <c r="A37" i="18" s="1"/>
  <c r="F210" i="2"/>
  <c r="D186" i="2"/>
  <c r="F214" i="2"/>
  <c r="D190" i="2"/>
  <c r="F188" i="2"/>
  <c r="D164" i="2"/>
  <c r="F312" i="18"/>
  <c r="F368" i="18"/>
  <c r="E200" i="1"/>
  <c r="F312" i="4"/>
  <c r="E209" i="1"/>
  <c r="F416" i="4" s="1"/>
  <c r="F338" i="18"/>
  <c r="F350" i="4"/>
  <c r="F356" i="4"/>
  <c r="F388" i="4"/>
  <c r="F338" i="4"/>
  <c r="F388" i="18"/>
  <c r="E222" i="1"/>
  <c r="E246" i="1" s="1"/>
  <c r="E270" i="1" s="1"/>
  <c r="F394" i="18"/>
  <c r="E203" i="1"/>
  <c r="F404" i="4" s="1"/>
  <c r="F330" i="18"/>
  <c r="F330" i="4"/>
  <c r="E190" i="1"/>
  <c r="E177" i="1"/>
  <c r="F304" i="4"/>
  <c r="F304" i="18"/>
  <c r="F318" i="4"/>
  <c r="E184" i="1"/>
  <c r="F318" i="18"/>
  <c r="F432" i="18"/>
  <c r="F432" i="4"/>
  <c r="E241" i="1"/>
  <c r="E265" i="1" s="1"/>
  <c r="E289" i="1" s="1"/>
  <c r="E243" i="1"/>
  <c r="E267" i="1" s="1"/>
  <c r="F436" i="4"/>
  <c r="F436" i="18"/>
  <c r="E182" i="1"/>
  <c r="F314" i="4"/>
  <c r="F314" i="18"/>
  <c r="F390" i="18"/>
  <c r="F390" i="4"/>
  <c r="E220" i="1"/>
  <c r="F201" i="2"/>
  <c r="D177" i="2"/>
  <c r="F205" i="2"/>
  <c r="D181" i="2"/>
  <c r="F227" i="2"/>
  <c r="D203" i="2"/>
  <c r="F242" i="2"/>
  <c r="D218" i="2"/>
  <c r="F334" i="18"/>
  <c r="E192" i="1"/>
  <c r="F334" i="4"/>
  <c r="F324" i="4"/>
  <c r="F324" i="18"/>
  <c r="E187" i="1"/>
  <c r="F418" i="18"/>
  <c r="E234" i="1"/>
  <c r="F418" i="4"/>
  <c r="F360" i="4"/>
  <c r="E205" i="1"/>
  <c r="F360" i="18"/>
  <c r="F344" i="18"/>
  <c r="E197" i="1"/>
  <c r="F344" i="4"/>
  <c r="F215" i="2"/>
  <c r="D191" i="2"/>
  <c r="D224" i="2"/>
  <c r="F248" i="2"/>
  <c r="F246" i="2"/>
  <c r="D222" i="2"/>
  <c r="F216" i="2"/>
  <c r="D192" i="2"/>
  <c r="F386" i="18"/>
  <c r="F386" i="4"/>
  <c r="E218" i="1"/>
  <c r="D158" i="2"/>
  <c r="F182" i="2"/>
  <c r="F221" i="2"/>
  <c r="D197" i="2"/>
  <c r="F209" i="2"/>
  <c r="D185" i="2"/>
  <c r="F180" i="2"/>
  <c r="D156" i="2"/>
  <c r="F332" i="18"/>
  <c r="F332" i="4"/>
  <c r="E191" i="1"/>
  <c r="D178" i="2"/>
  <c r="F202" i="2"/>
  <c r="F316" i="18"/>
  <c r="F316" i="4"/>
  <c r="E183" i="1"/>
  <c r="E188" i="1"/>
  <c r="F326" i="4"/>
  <c r="F326" i="18"/>
  <c r="D187" i="2"/>
  <c r="F211" i="2"/>
  <c r="D237" i="2"/>
  <c r="F396" i="4"/>
  <c r="E223" i="1"/>
  <c r="F396" i="18"/>
  <c r="F199" i="2" l="1"/>
  <c r="D175" i="2"/>
  <c r="D219" i="2"/>
  <c r="F243" i="2"/>
  <c r="D243" i="2" s="1"/>
  <c r="F398" i="18"/>
  <c r="E224" i="1"/>
  <c r="E261" i="1"/>
  <c r="E285" i="1" s="1"/>
  <c r="F472" i="4"/>
  <c r="F472" i="18"/>
  <c r="F358" i="4"/>
  <c r="E204" i="1"/>
  <c r="F358" i="18"/>
  <c r="F354" i="4"/>
  <c r="F354" i="18"/>
  <c r="A39" i="3"/>
  <c r="A40" i="3" s="1"/>
  <c r="A41" i="3" s="1"/>
  <c r="A42" i="3" s="1"/>
  <c r="J52" i="2"/>
  <c r="D102" i="18" a="1"/>
  <c r="D102" i="18" s="1"/>
  <c r="J50" i="2"/>
  <c r="D98" i="18" a="1"/>
  <c r="D98" i="18" s="1"/>
  <c r="J48" i="2"/>
  <c r="D94" i="18" a="1"/>
  <c r="D94" i="18" s="1"/>
  <c r="J45" i="2"/>
  <c r="D88" i="18" a="1"/>
  <c r="D88" i="18" s="1"/>
  <c r="J43" i="2"/>
  <c r="D84" i="18" a="1"/>
  <c r="D84" i="18" s="1"/>
  <c r="J47" i="2"/>
  <c r="D92" i="18" a="1"/>
  <c r="D92" i="18" s="1"/>
  <c r="J42" i="2"/>
  <c r="D82" i="18" a="1"/>
  <c r="D82" i="18" s="1"/>
  <c r="J51" i="2"/>
  <c r="D100" i="18" a="1"/>
  <c r="D100" i="18" s="1"/>
  <c r="J49" i="2"/>
  <c r="D96" i="18" a="1"/>
  <c r="D96" i="18" s="1"/>
  <c r="J46" i="2"/>
  <c r="D90" i="18" a="1"/>
  <c r="D90" i="18" s="1"/>
  <c r="J44" i="2"/>
  <c r="D86" i="18" a="1"/>
  <c r="D86" i="18" s="1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K20" i="1"/>
  <c r="F398" i="4"/>
  <c r="E202" i="1"/>
  <c r="F442" i="4"/>
  <c r="E227" i="1"/>
  <c r="F404" i="18"/>
  <c r="E233" i="1"/>
  <c r="E257" i="1" s="1"/>
  <c r="E281" i="1" s="1"/>
  <c r="F416" i="18"/>
  <c r="A7" i="3"/>
  <c r="H20" i="1" s="1"/>
  <c r="F212" i="2"/>
  <c r="D188" i="2"/>
  <c r="D214" i="2"/>
  <c r="F238" i="2"/>
  <c r="D210" i="2"/>
  <c r="F234" i="2"/>
  <c r="F442" i="18"/>
  <c r="F378" i="18"/>
  <c r="F378" i="4"/>
  <c r="E214" i="1"/>
  <c r="F366" i="4"/>
  <c r="F366" i="18"/>
  <c r="E208" i="1"/>
  <c r="E201" i="1"/>
  <c r="F352" i="4"/>
  <c r="F352" i="18"/>
  <c r="F438" i="18"/>
  <c r="E244" i="1"/>
  <c r="E268" i="1" s="1"/>
  <c r="F438" i="4"/>
  <c r="F484" i="4"/>
  <c r="F484" i="18"/>
  <c r="F362" i="4"/>
  <c r="E206" i="1"/>
  <c r="F362" i="18"/>
  <c r="F480" i="4"/>
  <c r="F480" i="18"/>
  <c r="D242" i="2"/>
  <c r="F251" i="2"/>
  <c r="D227" i="2"/>
  <c r="F229" i="2"/>
  <c r="D205" i="2"/>
  <c r="F225" i="2"/>
  <c r="D201" i="2"/>
  <c r="F466" i="18"/>
  <c r="F466" i="4"/>
  <c r="E258" i="1"/>
  <c r="E282" i="1" s="1"/>
  <c r="F382" i="4"/>
  <c r="F382" i="18"/>
  <c r="E216" i="1"/>
  <c r="E229" i="1"/>
  <c r="F408" i="4"/>
  <c r="F408" i="18"/>
  <c r="F372" i="4"/>
  <c r="F372" i="18"/>
  <c r="E211" i="1"/>
  <c r="F392" i="4"/>
  <c r="E221" i="1"/>
  <c r="F392" i="18"/>
  <c r="F490" i="18"/>
  <c r="F490" i="4"/>
  <c r="D180" i="2"/>
  <c r="F204" i="2"/>
  <c r="F434" i="4"/>
  <c r="F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F444" i="18"/>
  <c r="F374" i="18"/>
  <c r="F374" i="4"/>
  <c r="E212" i="1"/>
  <c r="F380" i="4"/>
  <c r="E215" i="1"/>
  <c r="F380" i="18"/>
  <c r="D246" i="2"/>
  <c r="E207" i="1"/>
  <c r="F364" i="4"/>
  <c r="F364" i="18"/>
  <c r="D248" i="2"/>
  <c r="F239" i="2"/>
  <c r="D215" i="2"/>
  <c r="F446" i="4" l="1"/>
  <c r="F446" i="18"/>
  <c r="E248" i="1"/>
  <c r="F406" i="4"/>
  <c r="E228" i="1"/>
  <c r="F406" i="18"/>
  <c r="D199" i="2"/>
  <c r="F223" i="2"/>
  <c r="F402" i="4"/>
  <c r="F402" i="18"/>
  <c r="E226" i="1"/>
  <c r="F450" i="18" s="1"/>
  <c r="F452" i="18"/>
  <c r="F452" i="4"/>
  <c r="D106" i="18" a="1"/>
  <c r="D106" i="18" s="1"/>
  <c r="J54" i="2"/>
  <c r="D104" i="18" a="1"/>
  <c r="D104" i="18" s="1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4"/>
  <c r="B36" i="18"/>
  <c r="I20" i="1"/>
  <c r="K21" i="1"/>
  <c r="I19" i="2"/>
  <c r="C36" i="18"/>
  <c r="C36" i="4"/>
  <c r="F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F426" i="18"/>
  <c r="F426" i="4"/>
  <c r="F512" i="4"/>
  <c r="F512" i="18"/>
  <c r="F400" i="18"/>
  <c r="E225" i="1"/>
  <c r="F400" i="4"/>
  <c r="F414" i="4"/>
  <c r="F414" i="18"/>
  <c r="E232" i="1"/>
  <c r="E230" i="1"/>
  <c r="F410" i="18"/>
  <c r="F410" i="4"/>
  <c r="F486" i="18"/>
  <c r="F486" i="4"/>
  <c r="D225" i="2"/>
  <c r="F249" i="2"/>
  <c r="F253" i="2"/>
  <c r="D229" i="2"/>
  <c r="D251" i="2"/>
  <c r="E235" i="1"/>
  <c r="F420" i="18"/>
  <c r="F420" i="4"/>
  <c r="E253" i="1"/>
  <c r="E277" i="1" s="1"/>
  <c r="F456" i="18"/>
  <c r="F456" i="4"/>
  <c r="F514" i="4"/>
  <c r="F440" i="4"/>
  <c r="E245" i="1"/>
  <c r="E269" i="1" s="1"/>
  <c r="F440" i="18"/>
  <c r="E240" i="1"/>
  <c r="E264" i="1" s="1"/>
  <c r="E288" i="1" s="1"/>
  <c r="F430" i="4"/>
  <c r="F430" i="18"/>
  <c r="D239" i="2"/>
  <c r="E231" i="1"/>
  <c r="F412" i="4"/>
  <c r="F412" i="18"/>
  <c r="F492" i="4"/>
  <c r="F492" i="18"/>
  <c r="F422" i="4"/>
  <c r="F422" i="18"/>
  <c r="E236" i="1"/>
  <c r="D206" i="2"/>
  <c r="F230" i="2"/>
  <c r="E239" i="1"/>
  <c r="E263" i="1" s="1"/>
  <c r="E287" i="1" s="1"/>
  <c r="F428" i="4"/>
  <c r="F428" i="18"/>
  <c r="D240" i="2"/>
  <c r="D226" i="2"/>
  <c r="F250" i="2"/>
  <c r="F482" i="18"/>
  <c r="F482" i="4"/>
  <c r="D245" i="2"/>
  <c r="F257" i="2"/>
  <c r="D233" i="2"/>
  <c r="D235" i="2"/>
  <c r="D204" i="2"/>
  <c r="F228" i="2"/>
  <c r="E272" i="1" l="1"/>
  <c r="F494" i="4"/>
  <c r="F494" i="18"/>
  <c r="F454" i="18"/>
  <c r="F454" i="4"/>
  <c r="E252" i="1"/>
  <c r="D223" i="2"/>
  <c r="F247" i="2"/>
  <c r="D247" i="2" s="1"/>
  <c r="E250" i="1"/>
  <c r="F450" i="4"/>
  <c r="E275" i="1"/>
  <c r="F500" i="4"/>
  <c r="F500" i="18"/>
  <c r="G63" i="1"/>
  <c r="A48" i="3"/>
  <c r="A50" i="3" s="1"/>
  <c r="A51" i="3" s="1"/>
  <c r="A52" i="3" s="1"/>
  <c r="A53" i="3" s="1"/>
  <c r="A54" i="3" s="1"/>
  <c r="A55" i="3" s="1"/>
  <c r="A56" i="3" s="1"/>
  <c r="J61" i="2"/>
  <c r="D120" i="18" a="1"/>
  <c r="D120" i="18" s="1"/>
  <c r="D114" i="18" a="1"/>
  <c r="D114" i="18" s="1"/>
  <c r="J58" i="2"/>
  <c r="J64" i="2"/>
  <c r="J59" i="2"/>
  <c r="D116" i="18" a="1"/>
  <c r="D116" i="18" s="1"/>
  <c r="J62" i="2"/>
  <c r="D122" i="18" a="1"/>
  <c r="D122" i="18" s="1"/>
  <c r="J55" i="2"/>
  <c r="D108" i="18" a="1"/>
  <c r="D108" i="18" s="1"/>
  <c r="J60" i="2"/>
  <c r="D118" i="18" a="1"/>
  <c r="D118" i="18" s="1"/>
  <c r="J57" i="2"/>
  <c r="D112" i="18" a="1"/>
  <c r="D112" i="18" s="1"/>
  <c r="J56" i="2"/>
  <c r="D110" i="18" a="1"/>
  <c r="D110" i="18" s="1"/>
  <c r="A40" i="4"/>
  <c r="A40" i="18"/>
  <c r="H21" i="2"/>
  <c r="B38" i="18"/>
  <c r="B38" i="4"/>
  <c r="K23" i="1"/>
  <c r="H21" i="1"/>
  <c r="L21" i="1"/>
  <c r="A41" i="18" s="1"/>
  <c r="K22" i="1"/>
  <c r="A38" i="18"/>
  <c r="A38" i="4"/>
  <c r="H20" i="2"/>
  <c r="A9" i="3"/>
  <c r="I22" i="1" s="1"/>
  <c r="D236" i="2"/>
  <c r="D258" i="2"/>
  <c r="F474" i="4"/>
  <c r="F474" i="18"/>
  <c r="E249" i="1"/>
  <c r="E273" i="1" s="1"/>
  <c r="F448" i="4"/>
  <c r="F448" i="18"/>
  <c r="E256" i="1"/>
  <c r="E280" i="1" s="1"/>
  <c r="F462" i="4"/>
  <c r="F462" i="18"/>
  <c r="F458" i="4"/>
  <c r="E254" i="1"/>
  <c r="E278" i="1" s="1"/>
  <c r="F458" i="18"/>
  <c r="D253" i="2"/>
  <c r="D249" i="2"/>
  <c r="F488" i="4"/>
  <c r="F488" i="18"/>
  <c r="F468" i="18"/>
  <c r="E259" i="1"/>
  <c r="F468" i="4"/>
  <c r="F478" i="18"/>
  <c r="F478" i="4"/>
  <c r="F504" i="18"/>
  <c r="F504" i="4"/>
  <c r="E260" i="1"/>
  <c r="E284" i="1" s="1"/>
  <c r="F470" i="18"/>
  <c r="F470" i="4"/>
  <c r="F254" i="2"/>
  <c r="D230" i="2"/>
  <c r="D250" i="2"/>
  <c r="D257" i="2"/>
  <c r="D228" i="2"/>
  <c r="F252" i="2"/>
  <c r="F476" i="18"/>
  <c r="F476" i="4"/>
  <c r="E255" i="1"/>
  <c r="E279" i="1" s="1"/>
  <c r="F460" i="18"/>
  <c r="F460" i="4"/>
  <c r="E276" i="1" l="1"/>
  <c r="F502" i="4"/>
  <c r="F502" i="18"/>
  <c r="E274" i="1"/>
  <c r="F498" i="4"/>
  <c r="F498" i="18"/>
  <c r="E283" i="1"/>
  <c r="F514" i="18"/>
  <c r="J63" i="2"/>
  <c r="D124" i="18" a="1"/>
  <c r="D124" i="18" s="1"/>
  <c r="G65" i="1"/>
  <c r="D126" i="18" s="1" a="1"/>
  <c r="D126" i="18" s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F510" i="18"/>
  <c r="F510" i="4"/>
  <c r="F496" i="4"/>
  <c r="F496" i="18"/>
  <c r="F506" i="4"/>
  <c r="F506" i="18"/>
  <c r="F516" i="4"/>
  <c r="F508" i="18"/>
  <c r="F508" i="4"/>
  <c r="F518" i="4"/>
  <c r="D252" i="2"/>
  <c r="D254" i="2"/>
  <c r="D128" i="18" l="1" a="1"/>
  <c r="D128" i="18" s="1"/>
  <c r="J65" i="2"/>
  <c r="A58" i="3"/>
  <c r="G66" i="1"/>
  <c r="I22" i="2"/>
  <c r="C42" i="18"/>
  <c r="C42" i="4"/>
  <c r="H23" i="1"/>
  <c r="K24" i="1"/>
  <c r="L24" i="1"/>
  <c r="A47" i="18" s="1"/>
  <c r="I23" i="1"/>
  <c r="L23" i="1"/>
  <c r="A45" i="18" s="1"/>
  <c r="I24" i="1"/>
  <c r="G67" i="1" l="1"/>
  <c r="A59" i="3"/>
  <c r="J66" i="2"/>
  <c r="D130" i="18" a="1"/>
  <c r="D130" i="18" s="1"/>
  <c r="A46" i="4"/>
  <c r="H24" i="2"/>
  <c r="A46" i="18"/>
  <c r="K25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6" i="1"/>
  <c r="B46" i="18"/>
  <c r="B46" i="4"/>
  <c r="I25" i="1"/>
  <c r="K27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8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9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47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30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1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2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3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4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5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8" i="1"/>
  <c r="I36" i="2"/>
  <c r="C70" i="4"/>
  <c r="C70" i="18"/>
  <c r="L38" i="1"/>
  <c r="A75" i="18" s="1"/>
  <c r="A98" i="3" l="1"/>
  <c r="A72" i="18"/>
  <c r="A72" i="4"/>
  <c r="K39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40" i="1"/>
  <c r="H38" i="2"/>
  <c r="A74" i="18"/>
  <c r="A74" i="4"/>
  <c r="A100" i="3" l="1"/>
  <c r="L40" i="1"/>
  <c r="A79" i="18" s="1"/>
  <c r="I40" i="1"/>
  <c r="H39" i="2"/>
  <c r="A76" i="4"/>
  <c r="A76" i="18"/>
  <c r="K41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3" i="1"/>
  <c r="L42" i="1"/>
  <c r="A83" i="18" s="1"/>
  <c r="A103" i="3" l="1"/>
  <c r="L43" i="1"/>
  <c r="A85" i="18" s="1"/>
  <c r="B82" i="4"/>
  <c r="B82" i="18"/>
  <c r="K45" i="1"/>
  <c r="A104" i="3" l="1"/>
  <c r="B86" i="4"/>
  <c r="B86" i="18"/>
  <c r="H44" i="1"/>
  <c r="L44" i="1"/>
  <c r="A87" i="18" s="1"/>
  <c r="I44" i="1"/>
  <c r="A105" i="3" l="1"/>
  <c r="C86" i="4"/>
  <c r="I44" i="2"/>
  <c r="C86" i="18"/>
  <c r="K46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8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50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1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2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3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4" i="1"/>
  <c r="I53" i="1"/>
  <c r="I52" i="2"/>
  <c r="C102" i="18"/>
  <c r="C102" i="4"/>
  <c r="K55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D190" i="18" s="1" a="1"/>
  <c r="D190" i="18" s="1"/>
  <c r="G120" i="1"/>
  <c r="G117" i="1"/>
  <c r="G100" i="1"/>
  <c r="G129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J98" i="2"/>
  <c r="D194" i="18" a="1"/>
  <c r="D194" i="18" s="1"/>
  <c r="J112" i="2"/>
  <c r="D222" i="18" a="1"/>
  <c r="D222" i="18" s="1"/>
  <c r="J103" i="2"/>
  <c r="D204" i="18" a="1"/>
  <c r="D204" i="18" s="1"/>
  <c r="J127" i="2"/>
  <c r="D252" i="18" a="1"/>
  <c r="D252" i="18" s="1"/>
  <c r="J116" i="2"/>
  <c r="D230" i="18" a="1"/>
  <c r="D230" i="18" s="1"/>
  <c r="J106" i="2"/>
  <c r="D210" i="18" a="1"/>
  <c r="D210" i="18" s="1"/>
  <c r="J110" i="2"/>
  <c r="D218" i="18" a="1"/>
  <c r="D218" i="18" s="1"/>
  <c r="J119" i="2"/>
  <c r="D236" i="18" a="1"/>
  <c r="D236" i="18" s="1"/>
  <c r="J107" i="2"/>
  <c r="D212" i="18" a="1"/>
  <c r="D212" i="18" s="1"/>
  <c r="J121" i="2"/>
  <c r="D240" i="18" a="1"/>
  <c r="D240" i="18" s="1"/>
  <c r="J122" i="2"/>
  <c r="D242" i="18" a="1"/>
  <c r="D242" i="18" s="1"/>
  <c r="J124" i="2"/>
  <c r="D246" i="18" a="1"/>
  <c r="D246" i="18" s="1"/>
  <c r="J108" i="2"/>
  <c r="D214" i="18" a="1"/>
  <c r="D214" i="18" s="1"/>
  <c r="J97" i="2"/>
  <c r="D192" i="18" a="1"/>
  <c r="D192" i="18" s="1"/>
  <c r="J120" i="2"/>
  <c r="D238" i="18" a="1"/>
  <c r="D238" i="18" s="1"/>
  <c r="J117" i="2"/>
  <c r="D232" i="18" a="1"/>
  <c r="D232" i="18" s="1"/>
  <c r="J100" i="2"/>
  <c r="D198" i="18" a="1"/>
  <c r="D198" i="18" s="1"/>
  <c r="J129" i="2"/>
  <c r="D256" i="18" a="1"/>
  <c r="D256" i="18" s="1"/>
  <c r="J99" i="2"/>
  <c r="D196" i="18" a="1"/>
  <c r="D196" i="18" s="1"/>
  <c r="J114" i="2"/>
  <c r="D226" i="18" a="1"/>
  <c r="D226" i="18" s="1"/>
  <c r="J125" i="2"/>
  <c r="D248" i="18" a="1"/>
  <c r="D248" i="18" s="1"/>
  <c r="J115" i="2"/>
  <c r="D228" i="18" a="1"/>
  <c r="D228" i="18" s="1"/>
  <c r="J126" i="2"/>
  <c r="D250" i="18" a="1"/>
  <c r="D250" i="18" s="1"/>
  <c r="D202" i="18" a="1"/>
  <c r="D202" i="18" s="1"/>
  <c r="J102" i="2"/>
  <c r="D216" i="18" a="1"/>
  <c r="D216" i="18" s="1"/>
  <c r="J109" i="2"/>
  <c r="D220" i="18" a="1"/>
  <c r="D220" i="18" s="1"/>
  <c r="J111" i="2"/>
  <c r="J128" i="2"/>
  <c r="D254" i="18" a="1"/>
  <c r="D254" i="18" s="1"/>
  <c r="D200" i="18" a="1"/>
  <c r="D200" i="18" s="1"/>
  <c r="J101" i="2"/>
  <c r="D208" i="18" a="1"/>
  <c r="D208" i="18" s="1"/>
  <c r="J105" i="2"/>
  <c r="D224" i="18" a="1"/>
  <c r="D224" i="18" s="1"/>
  <c r="J113" i="2"/>
  <c r="D206" i="18" a="1"/>
  <c r="D206" i="18" s="1"/>
  <c r="J104" i="2"/>
  <c r="J118" i="2"/>
  <c r="D234" i="18" a="1"/>
  <c r="D234" i="18" s="1"/>
  <c r="J123" i="2"/>
  <c r="D244" i="18" a="1"/>
  <c r="D244" i="18" s="1"/>
  <c r="A106" i="18"/>
  <c r="A106" i="4"/>
  <c r="H55" i="1"/>
  <c r="I55" i="2" s="1"/>
  <c r="K56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7" i="1"/>
  <c r="J130" i="2" l="1"/>
  <c r="D258" i="18" a="1"/>
  <c r="D258" i="18" s="1"/>
  <c r="G131" i="1"/>
  <c r="G132" i="1"/>
  <c r="A130" i="3"/>
  <c r="H57" i="1"/>
  <c r="K58" i="1"/>
  <c r="L57" i="1"/>
  <c r="A113" i="18" s="1"/>
  <c r="I57" i="1"/>
  <c r="B110" i="18"/>
  <c r="B110" i="4"/>
  <c r="K59" i="1"/>
  <c r="D260" i="18" l="1" a="1"/>
  <c r="D260" i="18" s="1"/>
  <c r="J131" i="2"/>
  <c r="J132" i="2"/>
  <c r="D262" i="18" a="1"/>
  <c r="D262" i="18" s="1"/>
  <c r="A131" i="3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3" i="1"/>
  <c r="G134" i="1"/>
  <c r="G136" i="1"/>
  <c r="A133" i="3"/>
  <c r="G135" i="1" s="1"/>
  <c r="A134" i="3"/>
  <c r="C114" i="18"/>
  <c r="I58" i="2"/>
  <c r="C114" i="4"/>
  <c r="H59" i="1"/>
  <c r="K60" i="1"/>
  <c r="A114" i="4"/>
  <c r="A114" i="18"/>
  <c r="H58" i="2"/>
  <c r="L59" i="1"/>
  <c r="A117" i="18" s="1"/>
  <c r="I59" i="1"/>
  <c r="D264" i="18" l="1" a="1"/>
  <c r="D264" i="18" s="1"/>
  <c r="J133" i="2"/>
  <c r="J134" i="2"/>
  <c r="D266" i="18" a="1"/>
  <c r="D266" i="18" s="1"/>
  <c r="J135" i="2"/>
  <c r="D268" i="18" a="1"/>
  <c r="D268" i="18" s="1"/>
  <c r="J136" i="2"/>
  <c r="D270" i="18" a="1"/>
  <c r="D270" i="18" s="1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D272" i="18" a="1"/>
  <c r="D272" i="18" s="1"/>
  <c r="G138" i="1"/>
  <c r="G139" i="1"/>
  <c r="A137" i="3"/>
  <c r="C120" i="4"/>
  <c r="I61" i="2"/>
  <c r="C120" i="18"/>
  <c r="H62" i="1"/>
  <c r="L62" i="1"/>
  <c r="A123" i="18" s="1"/>
  <c r="J138" i="2" l="1"/>
  <c r="D274" i="18" a="1"/>
  <c r="D274" i="18" s="1"/>
  <c r="J139" i="2"/>
  <c r="D276" i="18" a="1"/>
  <c r="D276" i="18" s="1"/>
  <c r="A138" i="3"/>
  <c r="G140" i="1" s="1"/>
  <c r="J140" i="2" s="1"/>
  <c r="A139" i="3"/>
  <c r="G141" i="1" s="1"/>
  <c r="D278" i="18" s="1" a="1"/>
  <c r="D278" i="18" s="1"/>
  <c r="I62" i="2"/>
  <c r="C122" i="18"/>
  <c r="C122" i="4"/>
  <c r="I63" i="1"/>
  <c r="L63" i="1"/>
  <c r="A125" i="18" s="1"/>
  <c r="K64" i="1"/>
  <c r="H63" i="1"/>
  <c r="J141" i="2" l="1"/>
  <c r="D280" i="18" a="1"/>
  <c r="D280" i="18" s="1"/>
  <c r="A140" i="3"/>
  <c r="I64" i="1"/>
  <c r="H64" i="1"/>
  <c r="A124" i="18"/>
  <c r="H63" i="2"/>
  <c r="A124" i="4"/>
  <c r="I65" i="1"/>
  <c r="H65" i="1"/>
  <c r="I65" i="2" s="1"/>
  <c r="K65" i="1"/>
  <c r="C124" i="4"/>
  <c r="I63" i="2"/>
  <c r="C124" i="18"/>
  <c r="K66" i="1"/>
  <c r="B124" i="18"/>
  <c r="B124" i="4"/>
  <c r="L64" i="1"/>
  <c r="A127" i="18" s="1"/>
  <c r="L65" i="1"/>
  <c r="A129" i="18" s="1"/>
  <c r="G143" i="1" l="1"/>
  <c r="G142" i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3" i="2" l="1"/>
  <c r="D284" i="18" a="1"/>
  <c r="D284" i="18" s="1"/>
  <c r="J142" i="2"/>
  <c r="D282" i="18" a="1"/>
  <c r="D282" i="18" s="1"/>
  <c r="A142" i="3"/>
  <c r="G145" i="1" l="1"/>
  <c r="G144" i="1"/>
  <c r="A143" i="3"/>
  <c r="J145" i="2" l="1"/>
  <c r="D288" i="18" a="1"/>
  <c r="D288" i="18" s="1"/>
  <c r="D286" i="18" a="1"/>
  <c r="D286" i="18" s="1"/>
  <c r="J144" i="2"/>
  <c r="A144" i="3"/>
  <c r="A145" i="3" s="1"/>
  <c r="G146" i="1"/>
  <c r="A146" i="3" l="1"/>
  <c r="G148" i="1"/>
  <c r="G147" i="1"/>
  <c r="J146" i="2"/>
  <c r="D290" i="18" a="1"/>
  <c r="D290" i="18" s="1"/>
  <c r="A147" i="3" l="1"/>
  <c r="J148" i="2"/>
  <c r="D294" i="18" a="1"/>
  <c r="D294" i="18" s="1"/>
  <c r="J147" i="2"/>
  <c r="D292" i="18" a="1"/>
  <c r="D292" i="18" s="1"/>
  <c r="G149" i="1" l="1"/>
  <c r="G150" i="1"/>
  <c r="A148" i="3"/>
  <c r="D296" i="18" l="1" a="1"/>
  <c r="D296" i="18" s="1"/>
  <c r="J149" i="2"/>
  <c r="D298" i="18" a="1"/>
  <c r="D298" i="18" s="1"/>
  <c r="J150" i="2"/>
  <c r="A149" i="3"/>
  <c r="G151" i="1" l="1"/>
  <c r="A150" i="3"/>
  <c r="J151" i="2" l="1"/>
  <c r="D300" i="18" a="1"/>
  <c r="D300" i="18" s="1"/>
  <c r="A151" i="3"/>
  <c r="A164" i="3"/>
  <c r="A165" i="3" s="1"/>
  <c r="A166" i="3" s="1"/>
  <c r="A167" i="3" s="1"/>
  <c r="G153" i="1" l="1"/>
  <c r="A152" i="3"/>
  <c r="A168" i="3"/>
  <c r="D304" i="18" l="1" a="1"/>
  <c r="D304" i="18" s="1"/>
  <c r="J153" i="2"/>
  <c r="A153" i="3"/>
  <c r="A169" i="3"/>
  <c r="G155" i="1" l="1"/>
  <c r="G156" i="1"/>
  <c r="A154" i="3"/>
  <c r="A170" i="3"/>
  <c r="D308" i="18" l="1" a="1"/>
  <c r="D308" i="18" s="1"/>
  <c r="J155" i="2"/>
  <c r="D310" i="18" a="1"/>
  <c r="D310" i="18" s="1"/>
  <c r="J156" i="2"/>
  <c r="A155" i="3"/>
  <c r="A171" i="3"/>
  <c r="G157" i="1" l="1"/>
  <c r="G159" i="1"/>
  <c r="A156" i="3"/>
  <c r="A157" i="3" s="1"/>
  <c r="A158" i="3" s="1"/>
  <c r="A172" i="3"/>
  <c r="D312" i="18" l="1" a="1"/>
  <c r="D312" i="18" s="1"/>
  <c r="J157" i="2"/>
  <c r="D316" i="18" a="1"/>
  <c r="D316" i="18" s="1"/>
  <c r="J159" i="2"/>
  <c r="G161" i="1"/>
  <c r="G162" i="1"/>
  <c r="J162" i="2" s="1"/>
  <c r="G160" i="1"/>
  <c r="G158" i="1"/>
  <c r="G154" i="1"/>
  <c r="G152" i="1"/>
  <c r="A173" i="3"/>
  <c r="D320" i="18" l="1" a="1"/>
  <c r="D320" i="18" s="1"/>
  <c r="J161" i="2"/>
  <c r="J160" i="2"/>
  <c r="D318" i="18" a="1"/>
  <c r="D318" i="18" s="1"/>
  <c r="J158" i="2"/>
  <c r="D314" i="18" a="1"/>
  <c r="D314" i="18" s="1"/>
  <c r="D306" i="18" a="1"/>
  <c r="D306" i="18" s="1"/>
  <c r="J154" i="2"/>
  <c r="J152" i="2"/>
  <c r="D302" i="18" a="1"/>
  <c r="D302" i="18" s="1"/>
  <c r="A175" i="3"/>
  <c r="A176" i="3" l="1"/>
  <c r="A177" i="3" l="1"/>
  <c r="A178" i="3" l="1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D132" i="18" s="1" a="1"/>
  <c r="D132" i="18" s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D140" i="18" a="1"/>
  <c r="D140" i="18" s="1"/>
  <c r="J70" i="2"/>
  <c r="D138" i="18" a="1"/>
  <c r="D138" i="18" s="1"/>
  <c r="J69" i="2"/>
  <c r="D136" i="18" a="1"/>
  <c r="D136" i="18" s="1"/>
  <c r="J68" i="2"/>
  <c r="D134" i="18" a="1"/>
  <c r="D134" i="18" s="1"/>
  <c r="J73" i="2"/>
  <c r="D144" i="18" a="1"/>
  <c r="D144" i="18" s="1"/>
  <c r="J74" i="2"/>
  <c r="D146" i="18" a="1"/>
  <c r="D146" i="18" s="1"/>
  <c r="D148" i="18" a="1"/>
  <c r="D148" i="18" s="1"/>
  <c r="J75" i="2"/>
  <c r="J72" i="2"/>
  <c r="D142" i="18" a="1"/>
  <c r="D142" i="18" s="1"/>
  <c r="D154" i="18" a="1"/>
  <c r="D154" i="18" s="1"/>
  <c r="J78" i="2"/>
  <c r="J77" i="2"/>
  <c r="D152" i="18" a="1"/>
  <c r="D152" i="18" s="1"/>
  <c r="J83" i="2"/>
  <c r="D164" i="18" a="1"/>
  <c r="D164" i="18" s="1"/>
  <c r="J76" i="2"/>
  <c r="D150" i="18" a="1"/>
  <c r="D150" i="18" s="1"/>
  <c r="J79" i="2"/>
  <c r="D156" i="18" a="1"/>
  <c r="D156" i="18" s="1"/>
  <c r="D166" i="18" a="1"/>
  <c r="D166" i="18" s="1"/>
  <c r="J84" i="2"/>
  <c r="J81" i="2"/>
  <c r="D160" i="18" a="1"/>
  <c r="D160" i="18" s="1"/>
  <c r="J82" i="2"/>
  <c r="D162" i="18" a="1"/>
  <c r="D162" i="18" s="1"/>
  <c r="J85" i="2"/>
  <c r="D168" i="18" a="1"/>
  <c r="D168" i="18" s="1"/>
  <c r="J80" i="2"/>
  <c r="D158" i="18" a="1"/>
  <c r="D158" i="18" s="1"/>
  <c r="J87" i="2"/>
  <c r="D172" i="18" a="1"/>
  <c r="D172" i="18" s="1"/>
  <c r="J88" i="2"/>
  <c r="D174" i="18" a="1"/>
  <c r="D174" i="18" s="1"/>
  <c r="J86" i="2"/>
  <c r="D170" i="18" a="1"/>
  <c r="D170" i="18" s="1"/>
  <c r="J93" i="2"/>
  <c r="D184" i="18" a="1"/>
  <c r="D184" i="18" s="1"/>
  <c r="J91" i="2"/>
  <c r="D180" i="18" a="1"/>
  <c r="D180" i="18" s="1"/>
  <c r="J89" i="2"/>
  <c r="D176" i="18" a="1"/>
  <c r="D176" i="18" s="1"/>
  <c r="J95" i="2"/>
  <c r="D188" i="18" a="1"/>
  <c r="D188" i="18" s="1"/>
  <c r="J90" i="2"/>
  <c r="D178" i="18" a="1"/>
  <c r="D178" i="18" s="1"/>
  <c r="J92" i="2"/>
  <c r="D182" i="18" a="1"/>
  <c r="D182" i="18" s="1"/>
  <c r="J94" i="2"/>
  <c r="D186" i="18" a="1"/>
  <c r="D186" i="18" s="1"/>
  <c r="J2" i="2"/>
  <c r="D2" i="18" a="1"/>
  <c r="D2" i="18" s="1"/>
  <c r="J7" i="2"/>
  <c r="D12" i="18" a="1"/>
  <c r="D12" i="18" s="1"/>
  <c r="J4" i="2"/>
  <c r="D6" i="18" a="1"/>
  <c r="D6" i="18" s="1"/>
  <c r="A189" i="3" l="1"/>
  <c r="K68" i="1"/>
  <c r="K67" i="1"/>
  <c r="K69" i="1"/>
  <c r="L66" i="1"/>
  <c r="A131" i="18" s="1"/>
  <c r="L68" i="1"/>
  <c r="A135" i="18" s="1"/>
  <c r="L67" i="1"/>
  <c r="A133" i="18" s="1"/>
  <c r="I66" i="1"/>
  <c r="H66" i="1"/>
  <c r="K70" i="1"/>
  <c r="H68" i="1"/>
  <c r="I67" i="1"/>
  <c r="L70" i="1"/>
  <c r="A139" i="18" s="1"/>
  <c r="H67" i="1"/>
  <c r="I68" i="1"/>
  <c r="L69" i="1"/>
  <c r="A137" i="18" s="1"/>
  <c r="K71" i="1"/>
  <c r="I69" i="1"/>
  <c r="H69" i="1"/>
  <c r="H70" i="1"/>
  <c r="L71" i="1"/>
  <c r="A141" i="18" s="1"/>
  <c r="H71" i="1"/>
  <c r="K72" i="1"/>
  <c r="I70" i="1"/>
  <c r="L72" i="1"/>
  <c r="A143" i="18" s="1"/>
  <c r="K73" i="1"/>
  <c r="H74" i="1"/>
  <c r="I71" i="1"/>
  <c r="I72" i="1"/>
  <c r="H72" i="1"/>
  <c r="L73" i="1"/>
  <c r="A145" i="18" s="1"/>
  <c r="H73" i="1"/>
  <c r="H75" i="1"/>
  <c r="K84" i="1"/>
  <c r="L74" i="1"/>
  <c r="A147" i="18" s="1"/>
  <c r="L75" i="1"/>
  <c r="A149" i="18" s="1"/>
  <c r="K92" i="1"/>
  <c r="L76" i="1"/>
  <c r="A151" i="18" s="1"/>
  <c r="I79" i="1"/>
  <c r="I83" i="1"/>
  <c r="H76" i="1"/>
  <c r="L97" i="1"/>
  <c r="A193" i="18" s="1"/>
  <c r="L79" i="1"/>
  <c r="A157" i="18" s="1"/>
  <c r="K86" i="1"/>
  <c r="L83" i="1"/>
  <c r="A165" i="18" s="1"/>
  <c r="L77" i="1"/>
  <c r="A153" i="18" s="1"/>
  <c r="H96" i="1"/>
  <c r="K96" i="1"/>
  <c r="L90" i="1"/>
  <c r="A179" i="18" s="1"/>
  <c r="L86" i="1"/>
  <c r="A171" i="18" s="1"/>
  <c r="L80" i="1"/>
  <c r="A159" i="18" s="1"/>
  <c r="I82" i="1"/>
  <c r="H95" i="1"/>
  <c r="K90" i="1"/>
  <c r="L85" i="1"/>
  <c r="A169" i="18" s="1"/>
  <c r="K94" i="1"/>
  <c r="K88" i="1"/>
  <c r="L88" i="1"/>
  <c r="A175" i="18" s="1"/>
  <c r="I91" i="1"/>
  <c r="K81" i="1"/>
  <c r="K78" i="1"/>
  <c r="K89" i="1"/>
  <c r="H80" i="1"/>
  <c r="I90" i="1"/>
  <c r="K83" i="1"/>
  <c r="I89" i="1"/>
  <c r="L82" i="1"/>
  <c r="A163" i="18" s="1"/>
  <c r="I95" i="1"/>
  <c r="H82" i="1"/>
  <c r="H88" i="1"/>
  <c r="K80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7" i="1"/>
  <c r="K93" i="1"/>
  <c r="I81" i="1"/>
  <c r="I93" i="1"/>
  <c r="H90" i="1"/>
  <c r="L78" i="1"/>
  <c r="A155" i="18" s="1"/>
  <c r="H77" i="1"/>
  <c r="L96" i="1"/>
  <c r="A191" i="18" s="1"/>
  <c r="I80" i="1"/>
  <c r="K91" i="1"/>
  <c r="H89" i="1"/>
  <c r="K82" i="1"/>
  <c r="I78" i="1"/>
  <c r="K79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5" i="1"/>
  <c r="L81" i="1"/>
  <c r="A161" i="18" s="1"/>
  <c r="H98" i="1"/>
  <c r="L99" i="1"/>
  <c r="A197" i="18" s="1"/>
  <c r="L98" i="1"/>
  <c r="A195" i="18" s="1"/>
  <c r="H99" i="1"/>
  <c r="K101" i="1"/>
  <c r="L100" i="1"/>
  <c r="A199" i="18" s="1"/>
  <c r="I100" i="1"/>
  <c r="L102" i="1"/>
  <c r="A203" i="18" s="1"/>
  <c r="H101" i="1"/>
  <c r="I101" i="1"/>
  <c r="L101" i="1"/>
  <c r="A201" i="18" s="1"/>
  <c r="K102" i="1"/>
  <c r="K103" i="1"/>
  <c r="H102" i="1"/>
  <c r="I102" i="1"/>
  <c r="H103" i="1"/>
  <c r="L103" i="1"/>
  <c r="A205" i="18" s="1"/>
  <c r="K104" i="1"/>
  <c r="I103" i="1"/>
  <c r="H105" i="1"/>
  <c r="K105" i="1"/>
  <c r="K106" i="1"/>
  <c r="H104" i="1"/>
  <c r="I105" i="1"/>
  <c r="L104" i="1"/>
  <c r="A207" i="18" s="1"/>
  <c r="I104" i="1"/>
  <c r="L105" i="1"/>
  <c r="A209" i="18" s="1"/>
  <c r="I106" i="1"/>
  <c r="K107" i="1"/>
  <c r="I107" i="1"/>
  <c r="H106" i="1"/>
  <c r="L107" i="1"/>
  <c r="A213" i="18" s="1"/>
  <c r="L106" i="1"/>
  <c r="A211" i="18" s="1"/>
  <c r="K108" i="1"/>
  <c r="H107" i="1"/>
  <c r="H108" i="1"/>
  <c r="I108" i="1"/>
  <c r="K109" i="1"/>
  <c r="I109" i="1"/>
  <c r="K110" i="1"/>
  <c r="I110" i="1"/>
  <c r="L110" i="1"/>
  <c r="A219" i="18" s="1"/>
  <c r="H109" i="1"/>
  <c r="L109" i="1"/>
  <c r="A217" i="18" s="1"/>
  <c r="K111" i="1"/>
  <c r="I112" i="1"/>
  <c r="K112" i="1"/>
  <c r="I111" i="1"/>
  <c r="L111" i="1"/>
  <c r="A221" i="18" s="1"/>
  <c r="H112" i="1"/>
  <c r="K114" i="1"/>
  <c r="L112" i="1"/>
  <c r="A223" i="18" s="1"/>
  <c r="H113" i="1"/>
  <c r="I113" i="1"/>
  <c r="H100" i="1"/>
  <c r="H118" i="1"/>
  <c r="K118" i="1"/>
  <c r="K122" i="1"/>
  <c r="H115" i="1"/>
  <c r="K117" i="1"/>
  <c r="H116" i="1"/>
  <c r="L116" i="1"/>
  <c r="A231" i="18" s="1"/>
  <c r="I120" i="1"/>
  <c r="K116" i="1"/>
  <c r="I115" i="1"/>
  <c r="K120" i="1"/>
  <c r="I119" i="1"/>
  <c r="I116" i="1"/>
  <c r="H117" i="1"/>
  <c r="H114" i="1"/>
  <c r="I117" i="1"/>
  <c r="L117" i="1"/>
  <c r="A233" i="18" s="1"/>
  <c r="L119" i="1"/>
  <c r="A237" i="18" s="1"/>
  <c r="K113" i="1"/>
  <c r="K121" i="1"/>
  <c r="L118" i="1"/>
  <c r="A235" i="18" s="1"/>
  <c r="I121" i="1"/>
  <c r="H120" i="1"/>
  <c r="L115" i="1"/>
  <c r="A229" i="18" s="1"/>
  <c r="K115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8" i="1"/>
  <c r="B252" i="4" s="1"/>
  <c r="H128" i="1"/>
  <c r="C254" i="4" s="1"/>
  <c r="K129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1" i="1"/>
  <c r="L130" i="1"/>
  <c r="A259" i="18" s="1"/>
  <c r="K130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D14" i="18" a="1"/>
  <c r="D14" i="18" s="1"/>
  <c r="D20" i="18" a="1"/>
  <c r="D20" i="18" s="1"/>
  <c r="J11" i="2"/>
  <c r="H132" i="1"/>
  <c r="I132" i="1"/>
  <c r="K133" i="1"/>
  <c r="I131" i="1"/>
  <c r="L131" i="1"/>
  <c r="A261" i="18" s="1"/>
  <c r="K132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D8" i="18" a="1"/>
  <c r="D8" i="18" s="1"/>
  <c r="J13" i="2"/>
  <c r="D24" i="18" a="1"/>
  <c r="D24" i="18" s="1"/>
  <c r="A257" i="3"/>
  <c r="H134" i="1"/>
  <c r="I134" i="1"/>
  <c r="H133" i="1"/>
  <c r="K135" i="1"/>
  <c r="I133" i="1"/>
  <c r="L134" i="1"/>
  <c r="A267" i="18" s="1"/>
  <c r="L133" i="1"/>
  <c r="A265" i="18" s="1"/>
  <c r="K134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6" i="1"/>
  <c r="L135" i="1"/>
  <c r="A269" i="18" s="1"/>
  <c r="H135" i="1"/>
  <c r="K137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2" i="1"/>
  <c r="H137" i="1"/>
  <c r="K139" i="1"/>
  <c r="L138" i="1"/>
  <c r="A275" i="18" s="1"/>
  <c r="I2" i="1"/>
  <c r="L2" i="1"/>
  <c r="I138" i="1"/>
  <c r="H138" i="1"/>
  <c r="I137" i="1"/>
  <c r="I140" i="1"/>
  <c r="K140" i="1"/>
  <c r="K2" i="1"/>
  <c r="K138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1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D18" i="18" a="1"/>
  <c r="D18" i="18" s="1"/>
  <c r="J9" i="2"/>
  <c r="D16" i="18" a="1"/>
  <c r="D16" i="18" s="1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3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4" i="1"/>
  <c r="L144" i="1"/>
  <c r="A287" i="18" s="1"/>
  <c r="A267" i="3" l="1"/>
  <c r="H144" i="1"/>
  <c r="I144" i="1"/>
  <c r="H143" i="2"/>
  <c r="A284" i="18"/>
  <c r="A284" i="4"/>
  <c r="B284" i="18"/>
  <c r="B284" i="4"/>
  <c r="K145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6" i="1"/>
  <c r="H145" i="1"/>
  <c r="B286" i="4"/>
  <c r="B286" i="18"/>
  <c r="H283" i="1" l="1"/>
  <c r="H270" i="1"/>
  <c r="I261" i="1"/>
  <c r="H261" i="2" s="1"/>
  <c r="A269" i="3"/>
  <c r="G261" i="1"/>
  <c r="J261" i="2" s="1"/>
  <c r="I145" i="2"/>
  <c r="C288" i="4"/>
  <c r="C288" i="18"/>
  <c r="B288" i="4"/>
  <c r="B288" i="18"/>
  <c r="K147" i="1"/>
  <c r="L146" i="1"/>
  <c r="A291" i="18" s="1"/>
  <c r="G278" i="1" l="1"/>
  <c r="H281" i="1"/>
  <c r="G271" i="1"/>
  <c r="I264" i="1"/>
  <c r="H264" i="2" s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I264" i="2" s="1"/>
  <c r="G270" i="1"/>
  <c r="I262" i="1"/>
  <c r="H262" i="2" s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D4" i="18" a="1"/>
  <c r="D4" i="18" s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D322" i="18" s="1" a="1"/>
  <c r="D322" i="18" s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63" i="2" s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2" i="2" s="1"/>
  <c r="I267" i="1"/>
  <c r="H267" i="2" s="1"/>
  <c r="H263" i="1"/>
  <c r="I263" i="2" s="1"/>
  <c r="H261" i="1"/>
  <c r="I261" i="2" s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D26" i="18" l="1" a="1"/>
  <c r="D26" i="18" s="1"/>
  <c r="D508" i="18" a="1"/>
  <c r="D508" i="18" s="1"/>
  <c r="J255" i="2"/>
  <c r="D512" i="18" a="1"/>
  <c r="D512" i="18" s="1"/>
  <c r="J257" i="2"/>
  <c r="J253" i="2"/>
  <c r="D504" i="18" a="1"/>
  <c r="D504" i="18" s="1"/>
  <c r="J249" i="2"/>
  <c r="D496" i="18" a="1"/>
  <c r="D496" i="18" s="1"/>
  <c r="J252" i="2"/>
  <c r="D502" i="18" a="1"/>
  <c r="D502" i="18" s="1"/>
  <c r="J254" i="2"/>
  <c r="D506" i="18" a="1"/>
  <c r="D506" i="18" s="1"/>
  <c r="J251" i="2"/>
  <c r="D500" i="18" a="1"/>
  <c r="D500" i="18" s="1"/>
  <c r="J203" i="2"/>
  <c r="D404" i="18" a="1"/>
  <c r="D404" i="18" s="1"/>
  <c r="J220" i="2"/>
  <c r="D438" i="18" a="1"/>
  <c r="D438" i="18" s="1"/>
  <c r="J191" i="2"/>
  <c r="D380" i="18" a="1"/>
  <c r="D380" i="18" s="1"/>
  <c r="J196" i="2"/>
  <c r="D390" i="18" a="1"/>
  <c r="D390" i="18" s="1"/>
  <c r="J202" i="2"/>
  <c r="D402" i="18" a="1"/>
  <c r="D402" i="18" s="1"/>
  <c r="J245" i="2"/>
  <c r="D488" i="18" a="1"/>
  <c r="D488" i="18" s="1"/>
  <c r="J232" i="2"/>
  <c r="D462" i="18" a="1"/>
  <c r="D462" i="18" s="1"/>
  <c r="J174" i="2"/>
  <c r="D346" i="18" a="1"/>
  <c r="D346" i="18" s="1"/>
  <c r="J230" i="2"/>
  <c r="D458" i="18" a="1"/>
  <c r="D458" i="18" s="1"/>
  <c r="J197" i="2"/>
  <c r="D392" i="18" a="1"/>
  <c r="D392" i="18" s="1"/>
  <c r="J172" i="2"/>
  <c r="D342" i="18" a="1"/>
  <c r="D342" i="18" s="1"/>
  <c r="J224" i="2"/>
  <c r="D446" i="18" a="1"/>
  <c r="D446" i="18" s="1"/>
  <c r="J176" i="2"/>
  <c r="D350" i="18" a="1"/>
  <c r="D350" i="18" s="1"/>
  <c r="J242" i="2"/>
  <c r="D482" i="18" a="1"/>
  <c r="D482" i="18" s="1"/>
  <c r="J238" i="2"/>
  <c r="D474" i="18" a="1"/>
  <c r="D474" i="18" s="1"/>
  <c r="J209" i="2"/>
  <c r="D416" i="18" a="1"/>
  <c r="D416" i="18" s="1"/>
  <c r="J207" i="2"/>
  <c r="D412" i="18" a="1"/>
  <c r="D412" i="18" s="1"/>
  <c r="J182" i="2"/>
  <c r="D362" i="18" a="1"/>
  <c r="D362" i="18" s="1"/>
  <c r="D368" i="18" a="1"/>
  <c r="D368" i="18" s="1"/>
  <c r="J185" i="2"/>
  <c r="J210" i="2"/>
  <c r="D418" i="18" a="1"/>
  <c r="D418" i="18" s="1"/>
  <c r="J211" i="2"/>
  <c r="D420" i="18" a="1"/>
  <c r="D420" i="18" s="1"/>
  <c r="J235" i="2"/>
  <c r="D468" i="18" a="1"/>
  <c r="D468" i="18" s="1"/>
  <c r="J236" i="2"/>
  <c r="D470" i="18" a="1"/>
  <c r="D470" i="18" s="1"/>
  <c r="D378" i="18" a="1"/>
  <c r="D378" i="18" s="1"/>
  <c r="J190" i="2"/>
  <c r="J248" i="2"/>
  <c r="D494" i="18" a="1"/>
  <c r="D494" i="18" s="1"/>
  <c r="J222" i="2"/>
  <c r="D442" i="18" a="1"/>
  <c r="D442" i="18" s="1"/>
  <c r="J217" i="2"/>
  <c r="D432" i="18" a="1"/>
  <c r="D432" i="18" s="1"/>
  <c r="J204" i="2"/>
  <c r="D406" i="18" a="1"/>
  <c r="D406" i="18" s="1"/>
  <c r="J195" i="2"/>
  <c r="D388" i="18" a="1"/>
  <c r="D388" i="18" s="1"/>
  <c r="J170" i="2"/>
  <c r="D338" i="18" a="1"/>
  <c r="D338" i="18" s="1"/>
  <c r="J199" i="2"/>
  <c r="D396" i="18" a="1"/>
  <c r="D396" i="18" s="1"/>
  <c r="J237" i="2"/>
  <c r="D472" i="18" a="1"/>
  <c r="D472" i="18" s="1"/>
  <c r="J173" i="2"/>
  <c r="D344" i="18" a="1"/>
  <c r="D344" i="18" s="1"/>
  <c r="J181" i="2"/>
  <c r="D360" i="18" a="1"/>
  <c r="D360" i="18" s="1"/>
  <c r="J214" i="2"/>
  <c r="D426" i="18" a="1"/>
  <c r="D426" i="18" s="1"/>
  <c r="J231" i="2"/>
  <c r="D460" i="18" a="1"/>
  <c r="D460" i="18" s="1"/>
  <c r="J184" i="2"/>
  <c r="D366" i="18" a="1"/>
  <c r="D366" i="18" s="1"/>
  <c r="J234" i="2"/>
  <c r="D466" i="18" a="1"/>
  <c r="D466" i="18" s="1"/>
  <c r="J229" i="2"/>
  <c r="D456" i="18" a="1"/>
  <c r="D456" i="18" s="1"/>
  <c r="J193" i="2"/>
  <c r="D384" i="18" a="1"/>
  <c r="D384" i="18" s="1"/>
  <c r="J226" i="2"/>
  <c r="D450" i="18" a="1"/>
  <c r="D450" i="18" s="1"/>
  <c r="J233" i="2"/>
  <c r="D464" i="18" a="1"/>
  <c r="D464" i="18" s="1"/>
  <c r="J216" i="2"/>
  <c r="D430" i="18" a="1"/>
  <c r="D430" i="18" s="1"/>
  <c r="J175" i="2"/>
  <c r="D348" i="18" a="1"/>
  <c r="D348" i="18" s="1"/>
  <c r="J201" i="2"/>
  <c r="D400" i="18" a="1"/>
  <c r="D400" i="18" s="1"/>
  <c r="J208" i="2"/>
  <c r="D414" i="18" a="1"/>
  <c r="D414" i="18" s="1"/>
  <c r="J250" i="2"/>
  <c r="D498" i="18" a="1"/>
  <c r="D498" i="18" s="1"/>
  <c r="J206" i="2"/>
  <c r="D410" i="18" a="1"/>
  <c r="D410" i="18" s="1"/>
  <c r="J228" i="2"/>
  <c r="D454" i="18" a="1"/>
  <c r="D454" i="18" s="1"/>
  <c r="J244" i="2"/>
  <c r="D486" i="18" a="1"/>
  <c r="D486" i="18" s="1"/>
  <c r="J183" i="2"/>
  <c r="D364" i="18" a="1"/>
  <c r="D364" i="18" s="1"/>
  <c r="J223" i="2"/>
  <c r="D444" i="18" a="1"/>
  <c r="D444" i="18" s="1"/>
  <c r="J240" i="2"/>
  <c r="D478" i="18" a="1"/>
  <c r="D478" i="18" s="1"/>
  <c r="J189" i="2"/>
  <c r="D376" i="18" a="1"/>
  <c r="D376" i="18" s="1"/>
  <c r="J221" i="2"/>
  <c r="D440" i="18" a="1"/>
  <c r="D440" i="18" s="1"/>
  <c r="J239" i="2"/>
  <c r="D476" i="18" a="1"/>
  <c r="D476" i="18" s="1"/>
  <c r="J213" i="2"/>
  <c r="D424" i="18" a="1"/>
  <c r="D424" i="18" s="1"/>
  <c r="J198" i="2"/>
  <c r="D394" i="18" a="1"/>
  <c r="D394" i="18" s="1"/>
  <c r="J218" i="2"/>
  <c r="D434" i="18" a="1"/>
  <c r="D434" i="18" s="1"/>
  <c r="J215" i="2"/>
  <c r="D428" i="18" a="1"/>
  <c r="D428" i="18" s="1"/>
  <c r="J241" i="2"/>
  <c r="D480" i="18" a="1"/>
  <c r="D480" i="18" s="1"/>
  <c r="J247" i="2"/>
  <c r="D492" i="18" a="1"/>
  <c r="D492" i="18" s="1"/>
  <c r="J212" i="2"/>
  <c r="D422" i="18" a="1"/>
  <c r="D422" i="18" s="1"/>
  <c r="J246" i="2"/>
  <c r="D490" i="18" a="1"/>
  <c r="D490" i="18" s="1"/>
  <c r="D382" i="18" a="1"/>
  <c r="D382" i="18" s="1"/>
  <c r="J192" i="2"/>
  <c r="J194" i="2"/>
  <c r="D386" i="18" a="1"/>
  <c r="D386" i="18" s="1"/>
  <c r="J225" i="2"/>
  <c r="D448" i="18" a="1"/>
  <c r="D448" i="18" s="1"/>
  <c r="J205" i="2"/>
  <c r="D408" i="18" a="1"/>
  <c r="D408" i="18" s="1"/>
  <c r="D452" i="18" a="1"/>
  <c r="D452" i="18" s="1"/>
  <c r="J227" i="2"/>
  <c r="J243" i="2"/>
  <c r="D484" i="18" a="1"/>
  <c r="D484" i="18" s="1"/>
  <c r="J219" i="2"/>
  <c r="D436" i="18" a="1"/>
  <c r="D436" i="18" s="1"/>
  <c r="J200" i="2"/>
  <c r="D398" i="18" a="1"/>
  <c r="D398" i="18" s="1"/>
  <c r="J188" i="2"/>
  <c r="D374" i="18" a="1"/>
  <c r="D374" i="18" s="1"/>
  <c r="J187" i="2"/>
  <c r="D372" i="18" a="1"/>
  <c r="D372" i="18" s="1"/>
  <c r="J186" i="2"/>
  <c r="D370" i="18" a="1"/>
  <c r="D370" i="18" s="1"/>
  <c r="J180" i="2"/>
  <c r="D358" i="18" a="1"/>
  <c r="D358" i="18" s="1"/>
  <c r="D356" i="18" a="1"/>
  <c r="D356" i="18" s="1"/>
  <c r="J179" i="2"/>
  <c r="J178" i="2"/>
  <c r="D354" i="18" a="1"/>
  <c r="D354" i="18" s="1"/>
  <c r="J177" i="2"/>
  <c r="D352" i="18" a="1"/>
  <c r="D352" i="18" s="1"/>
  <c r="J171" i="2"/>
  <c r="D340" i="18" a="1"/>
  <c r="D340" i="18" s="1"/>
  <c r="J168" i="2"/>
  <c r="D334" i="18" a="1"/>
  <c r="D334" i="18" s="1"/>
  <c r="J169" i="2"/>
  <c r="D336" i="18" a="1"/>
  <c r="D336" i="18" s="1"/>
  <c r="J166" i="2"/>
  <c r="D330" i="18" a="1"/>
  <c r="D330" i="18" s="1"/>
  <c r="J165" i="2"/>
  <c r="D328" i="18" a="1"/>
  <c r="D328" i="18" s="1"/>
  <c r="J164" i="2"/>
  <c r="D326" i="18" a="1"/>
  <c r="D326" i="18" s="1"/>
  <c r="J167" i="2"/>
  <c r="D332" i="18" a="1"/>
  <c r="D332" i="18" s="1"/>
  <c r="J163" i="2"/>
  <c r="D324" i="18" a="1"/>
  <c r="D324" i="18" s="1"/>
  <c r="J256" i="2"/>
  <c r="D510" i="18" a="1"/>
  <c r="D510" i="18" s="1"/>
  <c r="D22" i="18" a="1"/>
  <c r="D22" i="18" s="1"/>
  <c r="J12" i="2"/>
  <c r="I146" i="2"/>
  <c r="A290" i="4"/>
  <c r="H146" i="2"/>
  <c r="C290" i="18"/>
  <c r="H147" i="1" l="1"/>
  <c r="L147" i="1"/>
  <c r="A293" i="18" s="1"/>
  <c r="I147" i="1"/>
  <c r="K148" i="1"/>
  <c r="B292" i="4" l="1"/>
  <c r="B292" i="18"/>
  <c r="K149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50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1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2" i="1"/>
  <c r="L152" i="1"/>
  <c r="A303" i="18" s="1"/>
  <c r="I152" i="1"/>
  <c r="H152" i="1"/>
  <c r="H151" i="2" l="1"/>
  <c r="A300" i="18"/>
  <c r="C300" i="4"/>
  <c r="C300" i="18"/>
  <c r="K153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4" i="1"/>
  <c r="I154" i="1"/>
  <c r="H153" i="2"/>
  <c r="A304" i="18"/>
  <c r="A304" i="4"/>
  <c r="A325" i="18" l="1"/>
  <c r="C304" i="18"/>
  <c r="I153" i="2"/>
  <c r="L154" i="1"/>
  <c r="A307" i="18" s="1"/>
  <c r="K155" i="1"/>
  <c r="B306" i="4" s="1"/>
  <c r="B304" i="4"/>
  <c r="B304" i="18"/>
  <c r="H154" i="1"/>
  <c r="I154" i="2" s="1"/>
  <c r="A306" i="18"/>
  <c r="A306" i="4"/>
  <c r="H154" i="2"/>
  <c r="H155" i="1"/>
  <c r="K37" i="1"/>
  <c r="K36" i="1"/>
  <c r="H39" i="1"/>
  <c r="H40" i="1"/>
  <c r="I42" i="1"/>
  <c r="I56" i="1"/>
  <c r="B306" i="18" l="1"/>
  <c r="C306" i="4"/>
  <c r="C306" i="18"/>
  <c r="C308" i="18"/>
  <c r="C308" i="4"/>
  <c r="I155" i="2"/>
  <c r="K156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7" i="1"/>
  <c r="I156" i="1"/>
  <c r="H156" i="2" s="1"/>
  <c r="K158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9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60" i="1"/>
  <c r="I159" i="1"/>
  <c r="H160" i="1"/>
  <c r="L160" i="1"/>
  <c r="A319" i="18" s="1"/>
  <c r="K161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2" i="1"/>
  <c r="I161" i="1" l="1"/>
  <c r="B320" i="18"/>
  <c r="B320" i="4"/>
  <c r="C320" i="18"/>
  <c r="C320" i="4"/>
  <c r="I161" i="2"/>
  <c r="K163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6" i="1"/>
  <c r="H165" i="1"/>
  <c r="I165" i="1"/>
  <c r="C328" i="4" l="1"/>
  <c r="I165" i="2"/>
  <c r="C328" i="18"/>
  <c r="H165" i="2"/>
  <c r="A328" i="18"/>
  <c r="A328" i="4"/>
  <c r="B328" i="4"/>
  <c r="B328" i="18"/>
  <c r="K167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8" i="1"/>
  <c r="B332" i="18" s="1"/>
  <c r="A332" i="18"/>
  <c r="A332" i="4"/>
  <c r="H167" i="2"/>
  <c r="I168" i="1"/>
  <c r="H168" i="2" s="1"/>
  <c r="B332" i="4" l="1"/>
  <c r="A334" i="18"/>
  <c r="C332" i="18"/>
  <c r="A334" i="4"/>
  <c r="K169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H173" i="1" l="1"/>
  <c r="C344" i="4" s="1"/>
  <c r="C342" i="4"/>
  <c r="I172" i="2"/>
  <c r="C342" i="18"/>
  <c r="L173" i="1"/>
  <c r="A345" i="18" s="1"/>
  <c r="I173" i="2" l="1"/>
  <c r="C344" i="18"/>
  <c r="L174" i="1"/>
  <c r="A347" i="18" s="1"/>
  <c r="L175" i="1"/>
  <c r="A349" i="18" s="1"/>
  <c r="I176" i="1" l="1"/>
  <c r="H176" i="1"/>
  <c r="K177" i="1" l="1"/>
  <c r="L176" i="1"/>
  <c r="A351" i="18" s="1"/>
  <c r="H176" i="2"/>
  <c r="A350" i="18"/>
  <c r="A350" i="4"/>
  <c r="L177" i="1"/>
  <c r="I177" i="1"/>
  <c r="C350" i="4"/>
  <c r="C350" i="18"/>
  <c r="I176" i="2"/>
  <c r="K178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9" i="1"/>
  <c r="H178" i="1"/>
  <c r="I177" i="2"/>
  <c r="L179" i="1"/>
  <c r="A357" i="18" s="1"/>
  <c r="I179" i="1"/>
  <c r="H179" i="1"/>
  <c r="K180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1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2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3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4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5" i="1"/>
  <c r="H184" i="1"/>
  <c r="I184" i="1"/>
  <c r="K186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8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9" i="1" l="1"/>
  <c r="B374" i="18" s="1"/>
  <c r="C374" i="4"/>
  <c r="C372" i="4"/>
  <c r="C372" i="18"/>
  <c r="I187" i="2"/>
  <c r="I188" i="2"/>
  <c r="I188" i="1"/>
  <c r="K190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1" i="1"/>
  <c r="H190" i="2"/>
  <c r="A378" i="4"/>
  <c r="A378" i="18"/>
  <c r="I191" i="1"/>
  <c r="L191" i="1"/>
  <c r="A381" i="18" s="1"/>
  <c r="H191" i="1"/>
  <c r="K192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3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4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5" i="1"/>
  <c r="B386" i="18" s="1"/>
  <c r="B384" i="4"/>
  <c r="B384" i="18"/>
  <c r="K196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7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8" i="1"/>
  <c r="I198" i="1"/>
  <c r="A394" i="4" s="1"/>
  <c r="L198" i="1"/>
  <c r="A395" i="18" s="1"/>
  <c r="K199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200" i="1"/>
  <c r="L200" i="1"/>
  <c r="A399" i="18" s="1"/>
  <c r="K201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1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2" i="1"/>
  <c r="H211" i="1" l="1"/>
  <c r="L211" i="1"/>
  <c r="A421" i="18" s="1"/>
  <c r="I211" i="1"/>
  <c r="L11" i="1"/>
  <c r="K213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4" i="1" l="1"/>
  <c r="L213" i="1"/>
  <c r="A425" i="18" s="1"/>
  <c r="I213" i="1"/>
  <c r="A422" i="18"/>
  <c r="H212" i="2"/>
  <c r="A422" i="4"/>
  <c r="C424" i="18"/>
  <c r="C424" i="4"/>
  <c r="I213" i="2"/>
  <c r="K215" i="1"/>
  <c r="I214" i="1" l="1"/>
  <c r="H214" i="1"/>
  <c r="L214" i="1"/>
  <c r="H213" i="2"/>
  <c r="A424" i="18"/>
  <c r="A424" i="4"/>
  <c r="B424" i="4"/>
  <c r="B424" i="18"/>
  <c r="H215" i="1"/>
  <c r="K216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7" i="1"/>
  <c r="L217" i="1"/>
  <c r="A433" i="18" s="1"/>
  <c r="H217" i="1"/>
  <c r="H216" i="2"/>
  <c r="A430" i="4"/>
  <c r="A430" i="18"/>
  <c r="I217" i="1" l="1"/>
  <c r="K218" i="1"/>
  <c r="B430" i="4"/>
  <c r="B430" i="18"/>
  <c r="C430" i="4"/>
  <c r="I216" i="2"/>
  <c r="C430" i="18"/>
  <c r="C432" i="18"/>
  <c r="C432" i="4"/>
  <c r="I217" i="2"/>
  <c r="I218" i="1"/>
  <c r="A434" i="4" s="1"/>
  <c r="A33" i="18"/>
  <c r="A31" i="18"/>
  <c r="A29" i="18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9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1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2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3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4" i="1"/>
  <c r="A444" i="18"/>
  <c r="A442" i="4"/>
  <c r="A442" i="18"/>
  <c r="H223" i="2"/>
  <c r="H224" i="1"/>
  <c r="I224" i="1"/>
  <c r="B444" i="4" l="1"/>
  <c r="B444" i="18"/>
  <c r="L224" i="1"/>
  <c r="A447" i="18" s="1"/>
  <c r="K225" i="1"/>
  <c r="I223" i="2"/>
  <c r="C444" i="18"/>
  <c r="C444" i="4"/>
  <c r="C446" i="18"/>
  <c r="I224" i="2"/>
  <c r="C446" i="4"/>
  <c r="A446" i="4"/>
  <c r="H224" i="2"/>
  <c r="A446" i="18"/>
  <c r="K226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7" i="1"/>
  <c r="I226" i="1"/>
  <c r="K228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20" i="1"/>
  <c r="H228" i="1"/>
  <c r="L228" i="1"/>
  <c r="A455" i="18" s="1"/>
  <c r="K229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30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1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2" i="1"/>
  <c r="K233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4" i="1"/>
  <c r="I233" i="1"/>
  <c r="A464" i="4" l="1"/>
  <c r="H233" i="2"/>
  <c r="A464" i="18"/>
  <c r="K235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6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7" i="1"/>
  <c r="L236" i="1"/>
  <c r="A471" i="18" s="1"/>
  <c r="B468" i="18"/>
  <c r="B468" i="4"/>
  <c r="K252" i="1" l="1"/>
  <c r="K245" i="1"/>
  <c r="L238" i="1"/>
  <c r="A475" i="18" s="1"/>
  <c r="L239" i="1"/>
  <c r="A477" i="18" s="1"/>
  <c r="L250" i="1"/>
  <c r="A499" i="18" s="1"/>
  <c r="I241" i="1"/>
  <c r="K240" i="1"/>
  <c r="K241" i="1"/>
  <c r="L246" i="1"/>
  <c r="A491" i="18" s="1"/>
  <c r="I237" i="1"/>
  <c r="I247" i="1"/>
  <c r="H244" i="1"/>
  <c r="L253" i="1"/>
  <c r="A505" i="18" s="1"/>
  <c r="L245" i="1"/>
  <c r="A489" i="18" s="1"/>
  <c r="L241" i="1"/>
  <c r="K246" i="1"/>
  <c r="K250" i="1"/>
  <c r="K253" i="1"/>
  <c r="H243" i="1"/>
  <c r="K248" i="1"/>
  <c r="K247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K244" i="1"/>
  <c r="L248" i="1"/>
  <c r="A495" i="18" s="1"/>
  <c r="H250" i="1"/>
  <c r="H238" i="1"/>
  <c r="I251" i="1"/>
  <c r="L6" i="1"/>
  <c r="A11" i="18" s="1"/>
  <c r="L237" i="1"/>
  <c r="A473" i="18" s="1"/>
  <c r="K238" i="1"/>
  <c r="L251" i="1"/>
  <c r="A501" i="18" s="1"/>
  <c r="I248" i="1"/>
  <c r="H6" i="1"/>
  <c r="I246" i="1"/>
  <c r="K239" i="1"/>
  <c r="I238" i="1"/>
  <c r="K251" i="1"/>
  <c r="I243" i="1"/>
  <c r="H249" i="1"/>
  <c r="H239" i="1"/>
  <c r="K243" i="1"/>
  <c r="C470" i="4"/>
  <c r="C470" i="18"/>
  <c r="I236" i="2"/>
  <c r="C472" i="4"/>
  <c r="I237" i="2"/>
  <c r="C472" i="18"/>
  <c r="B470" i="18"/>
  <c r="B470" i="4"/>
  <c r="K254" i="1" l="1"/>
  <c r="K259" i="1"/>
  <c r="B514" i="4" s="1"/>
  <c r="L260" i="1"/>
  <c r="L254" i="1"/>
  <c r="A507" i="18" s="1"/>
  <c r="I252" i="1"/>
  <c r="K260" i="1"/>
  <c r="K255" i="1"/>
  <c r="I256" i="1"/>
  <c r="A510" i="18" s="1"/>
  <c r="I259" i="1"/>
  <c r="L259" i="1"/>
  <c r="A515" i="18" s="1"/>
  <c r="I254" i="1"/>
  <c r="H257" i="1"/>
  <c r="I260" i="1"/>
  <c r="H260" i="2" s="1"/>
  <c r="H258" i="1"/>
  <c r="I258" i="2" s="1"/>
  <c r="H3" i="1"/>
  <c r="L257" i="1"/>
  <c r="A513" i="18" s="1"/>
  <c r="L255" i="1"/>
  <c r="A509" i="18" s="1"/>
  <c r="H253" i="1"/>
  <c r="L256" i="1"/>
  <c r="A511" i="18" s="1"/>
  <c r="H254" i="1"/>
  <c r="K258" i="1"/>
  <c r="H259" i="1"/>
  <c r="H252" i="1"/>
  <c r="I257" i="1"/>
  <c r="I255" i="1"/>
  <c r="I253" i="1"/>
  <c r="K257" i="1"/>
  <c r="B510" i="4" s="1"/>
  <c r="H255" i="1"/>
  <c r="L252" i="1"/>
  <c r="A503" i="18" s="1"/>
  <c r="I258" i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I260" i="2" s="1"/>
  <c r="H256" i="1"/>
  <c r="L240" i="1"/>
  <c r="A479" i="18" s="1"/>
  <c r="H246" i="1"/>
  <c r="I245" i="1"/>
  <c r="I249" i="1"/>
  <c r="K256" i="1"/>
  <c r="L244" i="1"/>
  <c r="H248" i="1"/>
  <c r="L247" i="1"/>
  <c r="A493" i="18" s="1"/>
  <c r="I240" i="1"/>
  <c r="K249" i="1"/>
  <c r="K242" i="1"/>
  <c r="K6" i="1"/>
  <c r="B516" i="4" l="1"/>
  <c r="B518" i="4"/>
  <c r="B514" i="18"/>
  <c r="A516" i="4"/>
  <c r="H259" i="2"/>
  <c r="A514" i="18"/>
  <c r="I259" i="2"/>
  <c r="C514" i="18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7" i="1" s="1"/>
  <c r="C414" i="4" l="1"/>
  <c r="C414" i="18"/>
  <c r="I208" i="2"/>
  <c r="I174" i="2"/>
  <c r="C346" i="18"/>
  <c r="C346" i="4"/>
  <c r="B370" i="4"/>
  <c r="B370" i="18"/>
  <c r="C174" i="3"/>
  <c r="E174" i="3"/>
  <c r="G258" i="8" l="1"/>
  <c r="I186" i="1"/>
  <c r="H258" i="8"/>
  <c r="H186" i="1"/>
  <c r="G248" i="8"/>
  <c r="H175" i="1"/>
  <c r="H248" i="8"/>
  <c r="A370" i="18" l="1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9" i="1"/>
  <c r="K74" i="1"/>
  <c r="I46" i="1"/>
  <c r="I60" i="1"/>
  <c r="K47" i="1"/>
  <c r="I12" i="1"/>
  <c r="A22" i="4" s="1"/>
  <c r="G107" i="8"/>
  <c r="I41" i="1"/>
  <c r="H41" i="2" s="1"/>
  <c r="I164" i="1"/>
  <c r="H164" i="2" s="1"/>
  <c r="K165" i="1"/>
  <c r="K95" i="1"/>
  <c r="K12" i="1"/>
  <c r="K42" i="1"/>
  <c r="I94" i="1"/>
  <c r="I163" i="1"/>
  <c r="K164" i="1"/>
  <c r="G237" i="8"/>
  <c r="K61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100" i="1"/>
  <c r="I209" i="1"/>
  <c r="A416" i="4" s="1"/>
  <c r="K176" i="1"/>
  <c r="I99" i="1"/>
  <c r="A196" i="18" s="1"/>
  <c r="K127" i="1"/>
  <c r="K210" i="1"/>
  <c r="K63" i="1"/>
  <c r="I126" i="1"/>
  <c r="K77" i="1"/>
  <c r="I62" i="1"/>
  <c r="K49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4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6" i="1"/>
  <c r="K62" i="1"/>
  <c r="I98" i="1"/>
  <c r="K175" i="1"/>
  <c r="I125" i="1"/>
  <c r="K126" i="1"/>
  <c r="I208" i="1"/>
  <c r="I75" i="1"/>
  <c r="A148" i="4" s="1"/>
  <c r="I61" i="1"/>
  <c r="H61" i="2" s="1"/>
  <c r="K99" i="1"/>
  <c r="I174" i="1"/>
  <c r="K209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5" i="1"/>
  <c r="I74" i="1"/>
  <c r="K125" i="1"/>
  <c r="K208" i="1"/>
  <c r="I207" i="1"/>
  <c r="K98" i="1"/>
  <c r="K174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7" i="1"/>
  <c r="K173" i="1"/>
  <c r="I206" i="1"/>
  <c r="I96" i="1"/>
  <c r="H96" i="2" s="1"/>
  <c r="K207" i="1"/>
  <c r="I172" i="1"/>
  <c r="A342" i="4" s="1"/>
  <c r="I123" i="1"/>
  <c r="K124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3" i="1"/>
  <c r="I122" i="1"/>
  <c r="I205" i="1"/>
  <c r="K206" i="1"/>
  <c r="I171" i="1"/>
  <c r="K172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5" i="1"/>
  <c r="K171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4" i="1"/>
  <c r="K170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3" i="1"/>
  <c r="A402" i="18" l="1"/>
  <c r="A402" i="4"/>
  <c r="B402" i="18"/>
  <c r="B402" i="4"/>
  <c r="G274" i="8"/>
  <c r="C196" i="11"/>
  <c r="E196" i="11" s="1"/>
  <c r="E196" i="3" s="1"/>
  <c r="D196" i="11"/>
  <c r="D196" i="3" s="1"/>
  <c r="K202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49" i="11"/>
  <c r="C35" i="11"/>
  <c r="C63" i="11"/>
  <c r="C86" i="11"/>
  <c r="D86" i="11"/>
  <c r="D86" i="3"/>
  <c r="C35" i="3"/>
  <c r="D35" i="11"/>
  <c r="C49" i="3"/>
  <c r="D49" i="11"/>
  <c r="C63" i="3"/>
  <c r="D63" i="11"/>
  <c r="D63" i="3"/>
  <c r="C86" i="3"/>
  <c r="C113" i="11"/>
  <c r="D113" i="11"/>
  <c r="D113" i="3"/>
  <c r="D35" i="3"/>
  <c r="D49" i="3"/>
  <c r="C1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<sst xmlns="http://schemas.openxmlformats.org/spreadsheetml/2006/main" count="3974" uniqueCount="479">
  <si>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</si>
  <si>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</si>
  <si>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</si>
  <si>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</si>
  <si>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</si>
  <si>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</si>
  <si>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</si>
  <si>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</si>
  <si>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</si>
  <si>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</si>
  <si>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</si>
  <si>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</si>
  <si>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</si>
  <si>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</si>
  <si>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</si>
  <si>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</si>
  <si>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</si>
  <si>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</si>
  <si>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</si>
  <si>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</si>
  <si>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</si>
  <si>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</si>
  <si>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</si>
  <si>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</si>
  <si>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</si>
  <si>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</si>
  <si>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</si>
  <si>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</si>
  <si>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</si>
  <si>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</si>
  <si>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</si>
  <si>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</si>
  <si>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</si>
  <si>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</si>
  <si>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</si>
  <si>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</si>
  <si>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</si>
  <si>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</si>
  <si>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</si>
  <si>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</si>
  <si>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</si>
  <si>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</si>
  <si>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</si>
  <si>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</si>
  <si>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</si>
  <si>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</si>
  <si>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</si>
  <si>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</si>
  <si>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</si>
  <si>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</si>
  <si>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</si>
  <si>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</si>
  <si>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</si>
  <si>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</si>
  <si>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</si>
  <si>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</si>
  <si>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</si>
  <si>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</si>
  <si>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</si>
  <si>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</si>
  <si>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</si>
  <si>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</si>
  <si>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</si>
  <si>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</si>
  <si>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</si>
  <si>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</si>
  <si>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</si>
  <si>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</si>
  <si>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</si>
  <si>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</si>
  <si>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</si>
  <si>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</si>
  <si>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</si>
  <si>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</si>
  <si>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</si>
  <si>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</si>
  <si>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</si>
  <si>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</si>
  <si>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</si>
  <si>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</si>
  <si>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</si>
  <si>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</si>
  <si>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</si>
  <si>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</si>
  <si>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</si>
  <si>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</si>
  <si>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</si>
  <si>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</si>
  <si>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</si>
  <si>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</si>
  <si>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</si>
  <si>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</si>
  <si>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</si>
  <si>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</si>
  <si>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Fortes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</si>
  <si>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</si>
  <si>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</si>
  <si>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</si>
  <si>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</si>
  <si>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</si>
  <si>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</si>
  <si>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</si>
  <si>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</si>
  <si>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</si>
  <si>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</si>
  <si>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</si>
  <si>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</si>
  <si>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</si>
  <si>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</si>
  <si>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</si>
  <si>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</si>
  <si>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</si>
  <si>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</si>
  <si>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</si>
  <si>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</si>
  <si>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</si>
  <si>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</si>
  <si>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</si>
  <si>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</si>
  <si>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</si>
  <si>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</si>
  <si>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</si>
  <si>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</si>
  <si>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</si>
  <si>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</si>
  <si>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</si>
  <si>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</si>
  <si>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</si>
  <si>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</si>
  <si>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</si>
  <si>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</si>
  <si>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</si>
  <si>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</si>
  <si>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</si>
  <si>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</si>
  <si>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</si>
  <si>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</si>
  <si>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</si>
  <si>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</si>
  <si>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</si>
  <si>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</si>
  <si>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</si>
  <si>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</si>
  <si>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</si>
  <si>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</si>
  <si>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</si>
  <si>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</si>
  <si>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</si>
  <si>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</si>
  <si>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</si>
  <si>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</si>
  <si>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</si>
  <si>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</si>
  <si>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</si>
  <si>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</si>
  <si>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</si>
  <si>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</si>
  <si>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 xml:space="preserve">Happiness osarugue  Deji 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</si>
  <si>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</si>
  <si>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</si>
  <si>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</si>
  <si>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</si>
  <si>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</si>
  <si>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</si>
  <si>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</si>
  <si>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</si>
  <si>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</si>
  <si>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</si>
  <si>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</si>
  <si>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</si>
  <si>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</si>
  <si>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</si>
  <si>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</si>
  <si>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</si>
  <si>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</si>
  <si>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</si>
  <si>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</si>
  <si>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</si>
  <si>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</si>
  <si>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</si>
  <si>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</si>
  <si>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</si>
  <si>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</si>
  <si>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</si>
  <si>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</si>
  <si>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</si>
  <si>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</si>
  <si>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</si>
  <si>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</si>
  <si>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</si>
  <si>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</si>
  <si>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</si>
  <si>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</si>
  <si>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</si>
  <si>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</si>
  <si>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</si>
  <si>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</si>
  <si>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</si>
  <si>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</si>
  <si>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</si>
  <si>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</si>
  <si>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</si>
  <si>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</si>
  <si>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</si>
  <si>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</si>
  <si>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</si>
  <si>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</si>
  <si>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</si>
  <si>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</si>
  <si>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</si>
  <si>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</si>
  <si>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</si>
  <si>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</si>
  <si>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</si>
  <si>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</si>
  <si>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</si>
  <si>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</si>
  <si>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</si>
  <si>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</si>
  <si>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</si>
  <si>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</si>
  <si>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</si>
  <si>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</si>
  <si>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</si>
  <si>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</si>
  <si>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</si>
  <si>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</si>
  <si>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</si>
  <si>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</si>
  <si>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</si>
  <si>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</si>
  <si>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</si>
  <si>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</si>
  <si>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</si>
  <si>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</si>
  <si>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</si>
  <si>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</si>
  <si>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</si>
  <si>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</si>
  <si>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</si>
  <si>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</si>
  <si>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</si>
  <si>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</si>
  <si>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</si>
  <si>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</si>
  <si>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</si>
  <si>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</si>
  <si>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</si>
  <si>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</si>
  <si>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</si>
  <si>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</si>
  <si>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</si>
  <si>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</si>
  <si>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</si>
  <si>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</si>
  <si>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</si>
  <si>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</si>
  <si>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</si>
  <si>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</si>
  <si>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</si>
  <si>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</si>
  <si>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</si>
  <si>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</si>
  <si>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</si>
  <si>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</si>
  <si>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</si>
  <si>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</si>
  <si>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</si>
  <si>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</si>
  <si>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</si>
  <si>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</si>
  <si>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</si>
  <si>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</si>
  <si>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</si>
  <si>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</si>
  <si>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</si>
  <si>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</si>
  <si>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</si>
  <si>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</si>
  <si>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</si>
  <si>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</si>
  <si>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</si>
  <si>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</si>
  <si>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</si>
  <si>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</si>
  <si>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</si>
  <si>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</si>
  <si>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</si>
  <si>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</si>
  <si>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</si>
  <si>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</si>
  <si>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</si>
  <si>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</si>
  <si>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</si>
  <si>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</si>
  <si>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</si>
  <si>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</si>
  <si>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</si>
  <si>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</si>
  <si>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</si>
  <si>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</si>
  <si>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</si>
  <si>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</si>
  <si>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</si>
  <si>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</si>
  <si>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</si>
  <si>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</si>
  <si>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</si>
  <si>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</si>
  <si>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</si>
  <si>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</si>
  <si>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</si>
  <si>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</si>
  <si>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</si>
  <si>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</si>
  <si>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</si>
  <si>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</si>
  <si>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</si>
  <si>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</si>
  <si>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</si>
  <si>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</si>
  <si>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</si>
  <si>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</si>
  <si>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</si>
  <si>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</si>
  <si>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</si>
  <si>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</si>
  <si>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</si>
  <si>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</si>
  <si>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</si>
  <si>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</si>
  <si>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</si>
  <si>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</si>
  <si>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</si>
  <si>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</si>
  <si>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</si>
  <si>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</si>
  <si>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</si>
  <si>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</si>
  <si>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</si>
  <si>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</si>
  <si>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</si>
  <si>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</si>
  <si>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</si>
  <si>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</si>
  <si>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</si>
  <si>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</si>
  <si>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</si>
  <si>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</si>
  <si>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</si>
  <si>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</si>
  <si>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</si>
  <si>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</si>
  <si>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</si>
  <si>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</si>
  <si>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</si>
  <si>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</si>
  <si>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</si>
  <si>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</si>
  <si>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</si>
  <si>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</si>
  <si>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</si>
  <si>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</si>
  <si>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</si>
  <si>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</si>
  <si>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</si>
  <si>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</si>
  <si>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</si>
  <si>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</si>
  <si>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</si>
  <si>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</si>
  <si>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</si>
  <si>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</si>
  <si>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</si>
  <si>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</si>
  <si>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</si>
  <si>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</si>
  <si>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</si>
  <si>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</si>
  <si>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</si>
  <si>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</si>
  <si>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</si>
  <si>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</si>
  <si>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</si>
  <si>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</si>
  <si>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</si>
  <si>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</si>
  <si>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</si>
  <si>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</si>
  <si>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</si>
  <si>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</si>
  <si>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</si>
  <si>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 xml:space="preserve">(Uh-zra) - The "Uh" part is more slower than the next part "zra". The zra part is quicker, and you roll the r. "Kud-reech" - you also roll the r, and my last name goes by slower. If you can't pronounce it, you can say, "Ah-zra" "Kadrick"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</si>
  <si>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</si>
  <si>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</si>
  <si>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</si>
  <si>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</si>
  <si>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</si>
  <si>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</si>
  <si>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</si>
  <si>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</si>
  <si>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</si>
  <si>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</si>
  <si>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</si>
  <si>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</si>
  <si>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</si>
  <si>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</si>
  <si>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</si>
  <si>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</si>
  <si>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</si>
  <si>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</si>
  <si>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</si>
  <si>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</si>
  <si>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</si>
  <si>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</si>
  <si>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</si>
  <si>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</si>
  <si>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</si>
  <si>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</si>
  <si>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</si>
  <si>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</si>
  <si>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</si>
  <si>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</si>
  <si>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</si>
  <si>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</si>
  <si>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</si>
  <si>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</si>
  <si>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</si>
  <si>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</si>
  <si>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</si>
  <si>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</si>
  <si>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</si>
  <si>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</si>
  <si>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</si>
  <si>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</si>
  <si>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</si>
  <si>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</si>
  <si>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</si>
  <si>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</si>
  <si>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</si>
  <si>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Mason Buddy Moll Not Walking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</si>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</sst>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454</v>
      </c>
    </row>
    <row r="3" spans="1:15" x14ac:dyDescent="0.2">
      <c r="N3" s="24" t="s">
        <v>30</v>
      </c>
      <c r="O3" s="24" t="s">
        <v>455</v>
      </c>
    </row>
    <row r="4" spans="1:15" x14ac:dyDescent="0.2">
      <c r="A4" s="24" t="s">
        <v>2</v>
      </c>
      <c r="N4" s="24" t="s">
        <v>31</v>
      </c>
      <c r="O4" s="24" t="s">
        <v>456</v>
      </c>
    </row>
    <row r="5" spans="1:15" x14ac:dyDescent="0.2">
      <c r="A5" s="24" t="s">
        <v>3</v>
      </c>
      <c r="N5" s="24" t="s">
        <v>32</v>
      </c>
      <c r="O5" s="24" t="s">
        <v>457</v>
      </c>
    </row>
    <row r="6" spans="1:15" x14ac:dyDescent="0.2">
      <c r="N6" s="24" t="s">
        <v>33</v>
      </c>
      <c r="O6" s="24" t="s">
        <v>458</v>
      </c>
    </row>
    <row r="7" spans="1:15" x14ac:dyDescent="0.2">
      <c r="N7" s="24" t="s">
        <v>34</v>
      </c>
      <c r="O7" s="24" t="s">
        <v>459</v>
      </c>
    </row>
    <row r="8" spans="1:15" x14ac:dyDescent="0.2">
      <c r="A8" s="24" t="s">
        <v>4</v>
      </c>
      <c r="N8" s="24" t="s">
        <v>35</v>
      </c>
      <c r="O8" s="24" t="s">
        <v>460</v>
      </c>
    </row>
    <row r="9" spans="1:15" x14ac:dyDescent="0.2">
      <c r="N9" s="24" t="s">
        <v>36</v>
      </c>
      <c r="O9" s="24" t="s">
        <v>461</v>
      </c>
    </row>
    <row r="10" spans="1:15" x14ac:dyDescent="0.2">
      <c r="N10" s="24" t="s">
        <v>37</v>
      </c>
      <c r="O10" s="24" t="s">
        <v>462</v>
      </c>
    </row>
    <row r="11" spans="1:15" x14ac:dyDescent="0.2">
      <c r="N11" s="24" t="s">
        <v>38</v>
      </c>
      <c r="O11" s="24" t="s">
        <v>462</v>
      </c>
    </row>
    <row r="12" spans="1:15" x14ac:dyDescent="0.2">
      <c r="N12" s="24" t="s">
        <v>39</v>
      </c>
      <c r="O12" s="24" t="s">
        <v>462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462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462</v>
      </c>
    </row>
    <row r="15" spans="1:15" x14ac:dyDescent="0.2">
      <c r="A15" s="24" t="s">
        <v>9</v>
      </c>
      <c r="G15" s="24" t="s">
        <v>10</v>
      </c>
      <c r="N15" s="24" t="s">
        <v>463</v>
      </c>
      <c r="O15" s="24" t="s">
        <v>462</v>
      </c>
    </row>
    <row r="16" spans="1:15" x14ac:dyDescent="0.2">
      <c r="A16" s="24" t="s">
        <v>11</v>
      </c>
      <c r="G16" s="24" t="s">
        <v>12</v>
      </c>
      <c r="N16" s="24" t="s">
        <v>464</v>
      </c>
      <c r="O16" s="24" t="s">
        <v>462</v>
      </c>
    </row>
    <row r="17" spans="1:15" x14ac:dyDescent="0.2">
      <c r="A17" s="24" t="s">
        <v>13</v>
      </c>
      <c r="G17" s="24" t="s">
        <v>14</v>
      </c>
      <c r="N17" s="24" t="s">
        <v>465</v>
      </c>
      <c r="O17" s="24" t="s">
        <v>462</v>
      </c>
    </row>
    <row r="18" spans="1:15" x14ac:dyDescent="0.2">
      <c r="A18" s="24" t="s">
        <v>15</v>
      </c>
      <c r="N18" s="24" t="s">
        <v>42</v>
      </c>
      <c r="O18" s="24" t="s">
        <v>466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workbookViewId="0">
      <selection activeCell="E6" sqref="E6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95</v>
      </c>
    </row>
    <row r="2" spans="1:9" ht="15" x14ac:dyDescent="0.25">
      <c r="A2" s="45" t="s">
        <v>96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352</v>
      </c>
      <c r="H2" t="s">
        <v>21</v>
      </c>
      <c r="I2" t="s">
        <v>22</v>
      </c>
    </row>
    <row r="3" spans="1:9" ht="15" x14ac:dyDescent="0.25">
      <c r="A3" s="41" t="s">
        <v>97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98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353</v>
      </c>
    </row>
    <row r="5" spans="1:9" ht="15" x14ac:dyDescent="0.25">
      <c r="A5" s="41" t="s">
        <v>99</v>
      </c>
      <c r="B5" s="41"/>
      <c r="C5" s="40" t="str">
        <f t="shared" si="0"/>
        <v>Luis</v>
      </c>
      <c r="D5" s="49" t="s">
        <v>478</v>
      </c>
      <c r="E5" s="49" t="s">
        <v>477</v>
      </c>
      <c r="F5" s="41" t="s">
        <v>354</v>
      </c>
      <c r="H5" t="s">
        <v>25</v>
      </c>
      <c r="I5" t="s">
        <v>26</v>
      </c>
    </row>
    <row r="6" spans="1:9" ht="15" x14ac:dyDescent="0.25">
      <c r="A6" s="46" t="s">
        <v>100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355</v>
      </c>
    </row>
    <row r="7" spans="1:9" ht="15" x14ac:dyDescent="0.25">
      <c r="A7" s="41" t="s">
        <v>101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356</v>
      </c>
    </row>
    <row r="8" spans="1:9" ht="15" x14ac:dyDescent="0.25">
      <c r="A8" s="45" t="s">
        <v>102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102</v>
      </c>
    </row>
    <row r="9" spans="1:9" ht="15" x14ac:dyDescent="0.25">
      <c r="A9" s="41" t="s">
        <v>103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357</v>
      </c>
    </row>
    <row r="10" spans="1:9" ht="15" x14ac:dyDescent="0.25">
      <c r="A10" s="45" t="s">
        <v>104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105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106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107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358</v>
      </c>
    </row>
    <row r="14" spans="1:9" ht="15" x14ac:dyDescent="0.25">
      <c r="A14" s="45" t="s">
        <v>108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109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359</v>
      </c>
    </row>
    <row r="16" spans="1:9" ht="15" x14ac:dyDescent="0.25">
      <c r="A16" s="46" t="s">
        <v>110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360</v>
      </c>
    </row>
    <row r="17" spans="1:6" ht="15" x14ac:dyDescent="0.25">
      <c r="A17" s="46" t="s">
        <v>111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112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113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114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361</v>
      </c>
    </row>
    <row r="21" spans="1:6" ht="15" x14ac:dyDescent="0.25">
      <c r="A21" s="41" t="s">
        <v>115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362</v>
      </c>
    </row>
    <row r="22" spans="1:6" ht="15" x14ac:dyDescent="0.25">
      <c r="A22" s="45" t="s">
        <v>116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363</v>
      </c>
    </row>
    <row r="23" spans="1:6" ht="15" x14ac:dyDescent="0.25">
      <c r="A23" s="46" t="s">
        <v>117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118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119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364</v>
      </c>
    </row>
    <row r="26" spans="1:6" ht="15" x14ac:dyDescent="0.25">
      <c r="A26" s="46" t="s">
        <v>120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121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365</v>
      </c>
    </row>
    <row r="28" spans="1:6" ht="15" x14ac:dyDescent="0.25">
      <c r="A28" s="46" t="s">
        <v>122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123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366</v>
      </c>
    </row>
    <row r="30" spans="1:6" ht="15" x14ac:dyDescent="0.25">
      <c r="A30" s="45" t="s">
        <v>445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124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125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126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127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128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129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130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131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132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367</v>
      </c>
    </row>
    <row r="40" spans="1:6" ht="15" x14ac:dyDescent="0.25">
      <c r="A40" s="46" t="s">
        <v>133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134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135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136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137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138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368</v>
      </c>
    </row>
    <row r="46" spans="1:6" ht="15" x14ac:dyDescent="0.25">
      <c r="A46" s="45" t="s">
        <v>139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140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141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142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143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369</v>
      </c>
    </row>
    <row r="51" spans="1:6" ht="15" x14ac:dyDescent="0.25">
      <c r="A51" s="41" t="s">
        <v>447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144</v>
      </c>
    </row>
    <row r="52" spans="1:6" ht="15" x14ac:dyDescent="0.25">
      <c r="A52" s="45" t="s">
        <v>145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146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146</v>
      </c>
    </row>
    <row r="54" spans="1:6" ht="15" x14ac:dyDescent="0.25">
      <c r="A54" s="45" t="s">
        <v>147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148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149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150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151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152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153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448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154</v>
      </c>
      <c r="B62" s="41"/>
      <c r="C62" s="40" t="str">
        <f t="shared" si="3"/>
        <v>Walick</v>
      </c>
      <c r="D62" s="40" t="str">
        <f t="shared" si="4"/>
        <v>Da</v>
      </c>
      <c r="E62" s="40" t="str">
        <f t="shared" si="5"/>
        <v>Silva</v>
      </c>
      <c r="F62" s="45" t="s">
        <v>370</v>
      </c>
    </row>
    <row r="63" spans="1:6" ht="15" x14ac:dyDescent="0.25">
      <c r="A63" s="47" t="s">
        <v>155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156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371</v>
      </c>
    </row>
    <row r="65" spans="1:6" ht="15" x14ac:dyDescent="0.25">
      <c r="A65" s="41" t="s">
        <v>157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372</v>
      </c>
    </row>
    <row r="66" spans="1:6" ht="15" x14ac:dyDescent="0.25">
      <c r="A66" s="45" t="s">
        <v>158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159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373</v>
      </c>
    </row>
    <row r="68" spans="1:6" ht="15" x14ac:dyDescent="0.25">
      <c r="A68" s="46" t="s">
        <v>160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161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374</v>
      </c>
    </row>
    <row r="70" spans="1:6" ht="15" x14ac:dyDescent="0.25">
      <c r="A70" s="45" t="s">
        <v>162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375</v>
      </c>
    </row>
    <row r="71" spans="1:6" ht="15" x14ac:dyDescent="0.25">
      <c r="A71" s="46" t="s">
        <v>163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164</v>
      </c>
      <c r="B72" s="41"/>
      <c r="C72" s="40" t="str">
        <f t="shared" si="6"/>
        <v>Alana</v>
      </c>
      <c r="D72" s="49" t="s">
        <v>474</v>
      </c>
      <c r="E72" s="49" t="s">
        <v>475</v>
      </c>
      <c r="F72" s="46" t="s">
        <v>376</v>
      </c>
    </row>
    <row r="73" spans="1:6" ht="15" x14ac:dyDescent="0.25">
      <c r="A73" s="41" t="s">
        <v>165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166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377</v>
      </c>
    </row>
    <row r="75" spans="1:6" ht="15" x14ac:dyDescent="0.25">
      <c r="A75" s="46" t="s">
        <v>167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168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169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452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170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171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378</v>
      </c>
    </row>
    <row r="81" spans="1:6" ht="15" x14ac:dyDescent="0.25">
      <c r="A81" s="46" t="s">
        <v>172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379</v>
      </c>
    </row>
    <row r="82" spans="1:6" ht="15" x14ac:dyDescent="0.25">
      <c r="A82" s="45" t="s">
        <v>173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380</v>
      </c>
    </row>
    <row r="83" spans="1:6" ht="15" x14ac:dyDescent="0.25">
      <c r="A83" s="41" t="s">
        <v>174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175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176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177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470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178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179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381</v>
      </c>
    </row>
    <row r="90" spans="1:6" ht="15" x14ac:dyDescent="0.25">
      <c r="A90" s="45" t="s">
        <v>180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181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182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382</v>
      </c>
    </row>
    <row r="93" spans="1:6" ht="15" x14ac:dyDescent="0.25">
      <c r="A93" s="41" t="s">
        <v>183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184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185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383</v>
      </c>
    </row>
    <row r="96" spans="1:6" ht="15" x14ac:dyDescent="0.25">
      <c r="A96" s="45" t="s">
        <v>186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187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187</v>
      </c>
    </row>
    <row r="98" spans="1:6" ht="15" x14ac:dyDescent="0.25">
      <c r="A98" s="45" t="s">
        <v>188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384</v>
      </c>
    </row>
    <row r="99" spans="1:6" ht="15" x14ac:dyDescent="0.25">
      <c r="A99" s="41" t="s">
        <v>189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190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191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192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193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194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195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385</v>
      </c>
    </row>
    <row r="106" spans="1:6" ht="15" x14ac:dyDescent="0.25">
      <c r="A106" s="45" t="s">
        <v>196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386</v>
      </c>
    </row>
    <row r="107" spans="1:6" ht="15" x14ac:dyDescent="0.25">
      <c r="A107" s="46" t="s">
        <v>197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198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199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200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387</v>
      </c>
    </row>
    <row r="111" spans="1:6" ht="15" x14ac:dyDescent="0.25">
      <c r="A111" s="41" t="s">
        <v>201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202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203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204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205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206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388</v>
      </c>
    </row>
    <row r="117" spans="1:6" ht="15" x14ac:dyDescent="0.25">
      <c r="A117" s="41" t="s">
        <v>207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208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209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441</v>
      </c>
    </row>
    <row r="120" spans="1:6" ht="15" x14ac:dyDescent="0.25">
      <c r="A120" s="45" t="s">
        <v>210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211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389</v>
      </c>
    </row>
    <row r="122" spans="1:6" ht="15" x14ac:dyDescent="0.25">
      <c r="A122" s="45" t="s">
        <v>212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213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390</v>
      </c>
    </row>
    <row r="124" spans="1:6" ht="15" x14ac:dyDescent="0.25">
      <c r="A124" s="46" t="s">
        <v>214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215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216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217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218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219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220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221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222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391</v>
      </c>
    </row>
    <row r="133" spans="1:6" ht="15" x14ac:dyDescent="0.25">
      <c r="A133" s="46" t="s">
        <v>223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392</v>
      </c>
    </row>
    <row r="134" spans="1:6" ht="15" x14ac:dyDescent="0.25">
      <c r="A134" s="45" t="s">
        <v>224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393</v>
      </c>
    </row>
    <row r="135" spans="1:6" ht="15" x14ac:dyDescent="0.25">
      <c r="A135" s="46" t="s">
        <v>225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394</v>
      </c>
    </row>
    <row r="136" spans="1:6" ht="15" x14ac:dyDescent="0.25">
      <c r="A136" s="46" t="s">
        <v>226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395</v>
      </c>
    </row>
    <row r="137" spans="1:6" ht="15" x14ac:dyDescent="0.25">
      <c r="A137" s="41" t="s">
        <v>453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227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228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396</v>
      </c>
    </row>
    <row r="140" spans="1:6" ht="15" x14ac:dyDescent="0.25">
      <c r="A140" s="45" t="s">
        <v>229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397</v>
      </c>
    </row>
    <row r="141" spans="1:6" ht="15" x14ac:dyDescent="0.25">
      <c r="A141" s="41" t="s">
        <v>230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231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398</v>
      </c>
    </row>
    <row r="143" spans="1:6" ht="15" x14ac:dyDescent="0.25">
      <c r="A143" s="41" t="s">
        <v>232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233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234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235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236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237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238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399</v>
      </c>
    </row>
    <row r="150" spans="1:6" ht="15" x14ac:dyDescent="0.25">
      <c r="A150" s="46" t="s">
        <v>239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400</v>
      </c>
    </row>
    <row r="151" spans="1:6" ht="15" x14ac:dyDescent="0.25">
      <c r="A151" s="46" t="s">
        <v>240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241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401</v>
      </c>
    </row>
    <row r="153" spans="1:6" ht="15" x14ac:dyDescent="0.25">
      <c r="A153" s="41" t="s">
        <v>242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243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244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402</v>
      </c>
    </row>
    <row r="156" spans="1:6" ht="15" x14ac:dyDescent="0.25">
      <c r="A156" s="45" t="s">
        <v>245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246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247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247</v>
      </c>
    </row>
    <row r="159" spans="1:6" ht="15" x14ac:dyDescent="0.25">
      <c r="A159" s="41" t="s">
        <v>248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248</v>
      </c>
    </row>
    <row r="160" spans="1:6" ht="15" x14ac:dyDescent="0.25">
      <c r="A160" s="46" t="s">
        <v>249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449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450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250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251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252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253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254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403</v>
      </c>
    </row>
    <row r="168" spans="1:6" ht="15" x14ac:dyDescent="0.25">
      <c r="A168" s="45" t="s">
        <v>255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404</v>
      </c>
    </row>
    <row r="169" spans="1:6" ht="15" x14ac:dyDescent="0.25">
      <c r="A169" s="41" t="s">
        <v>256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257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258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259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405</v>
      </c>
    </row>
    <row r="173" spans="1:6" ht="15" x14ac:dyDescent="0.25">
      <c r="A173" s="41" t="s">
        <v>260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440</v>
      </c>
      <c r="B174" s="41"/>
      <c r="C174" s="40" t="str">
        <f t="shared" si="9"/>
        <v>Mason</v>
      </c>
      <c r="D174" s="40" t="str">
        <f t="shared" si="10"/>
        <v/>
      </c>
      <c r="E174" s="40" t="str">
        <f t="shared" si="11"/>
        <v>dy Moll Not Walking</v>
      </c>
      <c r="F174" s="48"/>
    </row>
    <row r="175" spans="1:6" ht="15" x14ac:dyDescent="0.25">
      <c r="A175" s="41" t="s">
        <v>261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406</v>
      </c>
    </row>
    <row r="176" spans="1:6" ht="15" x14ac:dyDescent="0.25">
      <c r="A176" s="45" t="s">
        <v>262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407</v>
      </c>
    </row>
    <row r="177" spans="1:6" ht="15" x14ac:dyDescent="0.25">
      <c r="A177" s="41" t="s">
        <v>263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264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265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266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408</v>
      </c>
    </row>
    <row r="181" spans="1:6" ht="15" x14ac:dyDescent="0.25">
      <c r="A181" s="46" t="s">
        <v>267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267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268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269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270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409</v>
      </c>
    </row>
    <row r="186" spans="1:6" ht="15" x14ac:dyDescent="0.25">
      <c r="A186" s="46" t="s">
        <v>271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272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410</v>
      </c>
    </row>
    <row r="188" spans="1:6" ht="15" x14ac:dyDescent="0.25">
      <c r="A188" s="45" t="s">
        <v>273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274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411</v>
      </c>
    </row>
    <row r="190" spans="1:6" ht="15" x14ac:dyDescent="0.25">
      <c r="A190" s="45" t="s">
        <v>275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275</v>
      </c>
    </row>
    <row r="191" spans="1:6" ht="15" x14ac:dyDescent="0.25">
      <c r="A191" s="46" t="s">
        <v>276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277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412</v>
      </c>
    </row>
    <row r="193" spans="1:6" ht="15" x14ac:dyDescent="0.25">
      <c r="A193" s="41" t="s">
        <v>278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279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413</v>
      </c>
    </row>
    <row r="195" spans="1:6" ht="15" x14ac:dyDescent="0.25">
      <c r="A195" s="41" t="s">
        <v>280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451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281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414</v>
      </c>
    </row>
    <row r="198" spans="1:6" ht="15" x14ac:dyDescent="0.25">
      <c r="A198" s="45" t="s">
        <v>282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415</v>
      </c>
    </row>
    <row r="199" spans="1:6" ht="15" x14ac:dyDescent="0.25">
      <c r="A199" s="46" t="s">
        <v>439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283</v>
      </c>
    </row>
    <row r="200" spans="1:6" ht="15" x14ac:dyDescent="0.25">
      <c r="A200" s="46" t="s">
        <v>284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416</v>
      </c>
    </row>
    <row r="201" spans="1:6" ht="15" x14ac:dyDescent="0.25">
      <c r="A201" s="46" t="s">
        <v>285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286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287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288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417</v>
      </c>
    </row>
    <row r="205" spans="1:6" ht="15" x14ac:dyDescent="0.25">
      <c r="A205" s="46" t="s">
        <v>289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418</v>
      </c>
    </row>
    <row r="206" spans="1:6" ht="15" x14ac:dyDescent="0.25">
      <c r="A206" s="45" t="s">
        <v>290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291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292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293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294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295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419</v>
      </c>
    </row>
    <row r="212" spans="1:6" ht="15" x14ac:dyDescent="0.25">
      <c r="A212" s="46" t="s">
        <v>296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476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297</v>
      </c>
    </row>
    <row r="214" spans="1:6" ht="15" x14ac:dyDescent="0.25">
      <c r="A214" s="45" t="s">
        <v>298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420</v>
      </c>
    </row>
    <row r="215" spans="1:6" ht="15" x14ac:dyDescent="0.25">
      <c r="A215" s="41" t="s">
        <v>299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421</v>
      </c>
    </row>
    <row r="216" spans="1:6" ht="15" x14ac:dyDescent="0.25">
      <c r="A216" s="46" t="s">
        <v>300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301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302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422</v>
      </c>
    </row>
    <row r="219" spans="1:6" ht="15" x14ac:dyDescent="0.25">
      <c r="A219" s="41" t="s">
        <v>303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304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305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423</v>
      </c>
    </row>
    <row r="222" spans="1:6" ht="15" x14ac:dyDescent="0.25">
      <c r="A222" s="45" t="s">
        <v>471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306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307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424</v>
      </c>
    </row>
    <row r="225" spans="1:6" ht="15" x14ac:dyDescent="0.25">
      <c r="A225" s="41" t="s">
        <v>308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309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425</v>
      </c>
    </row>
    <row r="227" spans="1:6" ht="15" x14ac:dyDescent="0.25">
      <c r="A227" s="46" t="s">
        <v>310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311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426</v>
      </c>
    </row>
    <row r="229" spans="1:6" ht="15" x14ac:dyDescent="0.25">
      <c r="A229" s="41" t="s">
        <v>312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312</v>
      </c>
    </row>
    <row r="230" spans="1:6" ht="15" x14ac:dyDescent="0.25">
      <c r="A230" s="46" t="s">
        <v>313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314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315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427</v>
      </c>
    </row>
    <row r="233" spans="1:6" ht="15" x14ac:dyDescent="0.25">
      <c r="A233" s="41" t="s">
        <v>316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317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318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319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428</v>
      </c>
    </row>
    <row r="237" spans="1:6" ht="15" x14ac:dyDescent="0.25">
      <c r="A237" s="46" t="s">
        <v>320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429</v>
      </c>
    </row>
    <row r="238" spans="1:6" ht="15" x14ac:dyDescent="0.25">
      <c r="A238" s="45" t="s">
        <v>321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322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322</v>
      </c>
    </row>
    <row r="240" spans="1:6" ht="15" x14ac:dyDescent="0.25">
      <c r="A240" s="46" t="s">
        <v>323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324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325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430</v>
      </c>
    </row>
    <row r="243" spans="1:6" ht="15" x14ac:dyDescent="0.25">
      <c r="A243" s="41" t="s">
        <v>326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431</v>
      </c>
    </row>
    <row r="244" spans="1:6" ht="15" x14ac:dyDescent="0.25">
      <c r="A244" s="45" t="s">
        <v>327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327</v>
      </c>
    </row>
    <row r="245" spans="1:6" ht="15" x14ac:dyDescent="0.25">
      <c r="A245" s="41" t="s">
        <v>328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329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432</v>
      </c>
    </row>
    <row r="247" spans="1:6" ht="15" x14ac:dyDescent="0.25">
      <c r="A247" s="46" t="s">
        <v>330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433</v>
      </c>
    </row>
    <row r="248" spans="1:6" ht="15" x14ac:dyDescent="0.25">
      <c r="A248" s="45" t="s">
        <v>331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332</v>
      </c>
      <c r="B249" s="41"/>
      <c r="C249" s="40" t="str">
        <f t="shared" si="12"/>
        <v>Colby</v>
      </c>
      <c r="D249" s="40" t="str">
        <f t="shared" si="13"/>
        <v>Van</v>
      </c>
      <c r="E249" s="40" t="str">
        <f t="shared" si="14"/>
        <v>Horn</v>
      </c>
      <c r="F249" s="41"/>
    </row>
    <row r="250" spans="1:6" ht="15" x14ac:dyDescent="0.25">
      <c r="A250" s="45" t="s">
        <v>333</v>
      </c>
      <c r="B250" s="41"/>
      <c r="C250" s="40" t="str">
        <f t="shared" si="12"/>
        <v>Katherine</v>
      </c>
      <c r="D250" s="49" t="s">
        <v>472</v>
      </c>
      <c r="E250" s="49" t="s">
        <v>473</v>
      </c>
      <c r="F250" s="45"/>
    </row>
    <row r="251" spans="1:6" ht="15" x14ac:dyDescent="0.25">
      <c r="A251" s="41" t="s">
        <v>334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335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434</v>
      </c>
    </row>
    <row r="253" spans="1:6" ht="15" x14ac:dyDescent="0.25">
      <c r="A253" s="46" t="s">
        <v>336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435</v>
      </c>
    </row>
    <row r="254" spans="1:6" ht="15" x14ac:dyDescent="0.25">
      <c r="A254" s="46" t="s">
        <v>337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338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339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340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341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342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343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344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345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446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436</v>
      </c>
    </row>
    <row r="264" spans="1:6" ht="15" x14ac:dyDescent="0.25">
      <c r="A264" s="45" t="s">
        <v>346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347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348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349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350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437</v>
      </c>
    </row>
    <row r="269" spans="1:6" ht="15" x14ac:dyDescent="0.25">
      <c r="A269" s="41" t="s">
        <v>351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438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abSelected="1" topLeftCell="A40" workbookViewId="0">
      <selection activeCell="C61" sqref="C61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442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444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443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467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454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455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469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456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457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458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459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460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461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462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462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462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462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462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463</v>
      </c>
      <c r="M21" t="s">
        <v>462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464</v>
      </c>
      <c r="M22" t="s">
        <v>462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465</v>
      </c>
      <c r="M23" t="s">
        <v>462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466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 t="str">
        <f>'Raw Name Splitter'!D62</f>
        <v>Da</v>
      </c>
      <c r="E62" s="39" t="str">
        <f>'Raw Name Splitter'!E62</f>
        <v>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>
        <f t="shared" si="2"/>
        <v>70</v>
      </c>
      <c r="B77" s="39">
        <f t="shared" si="2"/>
        <v>70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71</v>
      </c>
      <c r="B78" s="39">
        <f t="shared" si="2"/>
        <v>71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72</v>
      </c>
      <c r="B79" s="39">
        <f t="shared" si="2"/>
        <v>72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73</v>
      </c>
      <c r="B80" s="39">
        <f t="shared" si="2"/>
        <v>73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74</v>
      </c>
      <c r="B81" s="39">
        <f t="shared" si="2"/>
        <v>74</v>
      </c>
      <c r="C81" s="39" t="str">
        <f>'Raw Name Splitter'!C81</f>
        <v>Samuel</v>
      </c>
      <c r="D81" s="39" t="str">
        <f>'Raw Name Splitter'!D81</f>
        <v/>
      </c>
      <c r="E81" s="39" t="s">
        <v>94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75</v>
      </c>
      <c r="B82" s="39">
        <f t="shared" si="2"/>
        <v>75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76</v>
      </c>
      <c r="B83" s="39">
        <f t="shared" si="2"/>
        <v>76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77</v>
      </c>
      <c r="B84" s="39">
        <f t="shared" si="2"/>
        <v>77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78</v>
      </c>
      <c r="B85" s="39">
        <f t="shared" si="2"/>
        <v>78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79</v>
      </c>
      <c r="B87" s="39">
        <f t="shared" si="3"/>
        <v>79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80</v>
      </c>
      <c r="B88" s="39">
        <f t="shared" si="3"/>
        <v>80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81</v>
      </c>
      <c r="B89" s="39">
        <f t="shared" si="3"/>
        <v>81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82</v>
      </c>
      <c r="B90" s="39">
        <f t="shared" si="3"/>
        <v>82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83</v>
      </c>
      <c r="B91" s="39">
        <f t="shared" si="3"/>
        <v>83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84</v>
      </c>
      <c r="B92" s="39">
        <f t="shared" si="3"/>
        <v>84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85</v>
      </c>
      <c r="B93" s="39">
        <f t="shared" si="3"/>
        <v>85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86</v>
      </c>
      <c r="B94" s="39">
        <f t="shared" si="3"/>
        <v>86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87</v>
      </c>
      <c r="B95" s="39">
        <f t="shared" si="3"/>
        <v>87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88</v>
      </c>
      <c r="B96" s="39">
        <f t="shared" si="3"/>
        <v>88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89</v>
      </c>
      <c r="B97" s="39">
        <f t="shared" si="3"/>
        <v>89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90</v>
      </c>
      <c r="B98" s="39">
        <f t="shared" si="3"/>
        <v>90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91</v>
      </c>
      <c r="B99" s="39">
        <f t="shared" si="3"/>
        <v>91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92</v>
      </c>
      <c r="B100" s="39">
        <f t="shared" si="3"/>
        <v>92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93</v>
      </c>
      <c r="B101" s="39">
        <f t="shared" si="3"/>
        <v>93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94</v>
      </c>
      <c r="B102" s="39">
        <f t="shared" si="3"/>
        <v>94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95</v>
      </c>
      <c r="B103" s="39">
        <f t="shared" si="4"/>
        <v>95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96</v>
      </c>
      <c r="B104" s="39">
        <f t="shared" si="4"/>
        <v>96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97</v>
      </c>
      <c r="B105" s="39">
        <f t="shared" si="4"/>
        <v>97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98</v>
      </c>
      <c r="B106" s="39">
        <f t="shared" si="4"/>
        <v>98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99</v>
      </c>
      <c r="B107" s="39">
        <f t="shared" si="4"/>
        <v>99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100</v>
      </c>
      <c r="B108" s="39">
        <f t="shared" si="4"/>
        <v>100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101</v>
      </c>
      <c r="B109" s="39">
        <f t="shared" si="4"/>
        <v>101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102</v>
      </c>
      <c r="B110" s="39">
        <f t="shared" si="4"/>
        <v>102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103</v>
      </c>
      <c r="B111" s="39">
        <f t="shared" si="4"/>
        <v>103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104</v>
      </c>
      <c r="B112" s="39">
        <f t="shared" si="4"/>
        <v>104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105</v>
      </c>
      <c r="B114" s="39">
        <f t="shared" si="4"/>
        <v>105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106</v>
      </c>
      <c r="B116" s="39">
        <f t="shared" si="4"/>
        <v>106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107</v>
      </c>
      <c r="B117" s="39">
        <f t="shared" si="4"/>
        <v>107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108</v>
      </c>
      <c r="B119" s="39">
        <f t="shared" si="5"/>
        <v>108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109</v>
      </c>
      <c r="B120" s="39">
        <f t="shared" si="5"/>
        <v>109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110</v>
      </c>
      <c r="B121" s="39">
        <f t="shared" si="5"/>
        <v>110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111</v>
      </c>
      <c r="B122" s="39">
        <f t="shared" si="5"/>
        <v>111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112</v>
      </c>
      <c r="B123" s="39">
        <f t="shared" si="5"/>
        <v>112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113</v>
      </c>
      <c r="B124" s="39">
        <f t="shared" si="5"/>
        <v>113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114</v>
      </c>
      <c r="B125" s="39">
        <f t="shared" si="5"/>
        <v>114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115</v>
      </c>
      <c r="B126" s="39">
        <f t="shared" si="5"/>
        <v>115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116</v>
      </c>
      <c r="B127" s="39">
        <f t="shared" si="5"/>
        <v>116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117</v>
      </c>
      <c r="B128" s="39">
        <f t="shared" si="5"/>
        <v>117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118</v>
      </c>
      <c r="B129" s="39">
        <f t="shared" si="5"/>
        <v>118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119</v>
      </c>
      <c r="B130" s="39">
        <f t="shared" si="5"/>
        <v>119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120</v>
      </c>
      <c r="B131" s="39">
        <f t="shared" si="5"/>
        <v>120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121</v>
      </c>
      <c r="B132" s="39">
        <f t="shared" si="5"/>
        <v>121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122</v>
      </c>
      <c r="B133" s="39">
        <f t="shared" si="5"/>
        <v>122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H133" s="42"/>
      <c r="I133" s="42"/>
    </row>
    <row r="134" spans="1:9" x14ac:dyDescent="0.25">
      <c r="A134" s="39">
        <f t="shared" si="5"/>
        <v>123</v>
      </c>
      <c r="B134" s="39">
        <f t="shared" si="5"/>
        <v>123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124</v>
      </c>
      <c r="B135" s="39">
        <f t="shared" si="6"/>
        <v>124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125</v>
      </c>
      <c r="B136" s="39">
        <f t="shared" si="6"/>
        <v>125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126</v>
      </c>
      <c r="B137" s="39">
        <f t="shared" si="6"/>
        <v>126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127</v>
      </c>
      <c r="B138" s="39">
        <f t="shared" si="6"/>
        <v>127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128</v>
      </c>
      <c r="B139" s="39">
        <f t="shared" si="6"/>
        <v>128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129</v>
      </c>
      <c r="B140" s="39">
        <f t="shared" si="6"/>
        <v>129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130</v>
      </c>
      <c r="B141" s="39">
        <f t="shared" si="6"/>
        <v>130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131</v>
      </c>
      <c r="B142" s="39">
        <f t="shared" si="6"/>
        <v>131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132</v>
      </c>
      <c r="B143" s="39">
        <f t="shared" si="6"/>
        <v>132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133</v>
      </c>
      <c r="B144" s="39">
        <f t="shared" si="6"/>
        <v>133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134</v>
      </c>
      <c r="B145" s="39">
        <f t="shared" si="6"/>
        <v>134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135</v>
      </c>
      <c r="B146" s="39">
        <f t="shared" si="6"/>
        <v>135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136</v>
      </c>
      <c r="B147" s="39">
        <f t="shared" si="6"/>
        <v>136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137</v>
      </c>
      <c r="B148" s="39">
        <f t="shared" si="6"/>
        <v>137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138</v>
      </c>
      <c r="B149" s="39">
        <f t="shared" si="6"/>
        <v>138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139</v>
      </c>
      <c r="B150" s="39">
        <f t="shared" si="6"/>
        <v>139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140</v>
      </c>
      <c r="B151" s="39">
        <f t="shared" si="7"/>
        <v>140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141</v>
      </c>
      <c r="B152" s="39">
        <f t="shared" si="7"/>
        <v>141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142</v>
      </c>
      <c r="B153" s="39">
        <f t="shared" si="7"/>
        <v>142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143</v>
      </c>
      <c r="B154" s="39">
        <f t="shared" si="7"/>
        <v>143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144</v>
      </c>
      <c r="B155" s="39">
        <f t="shared" si="7"/>
        <v>144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145</v>
      </c>
      <c r="B156" s="39">
        <f t="shared" si="7"/>
        <v>145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146</v>
      </c>
      <c r="B157" s="39">
        <f t="shared" si="7"/>
        <v>146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147</v>
      </c>
      <c r="B158" s="39">
        <f t="shared" si="7"/>
        <v>147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149</v>
      </c>
      <c r="B163" s="39">
        <v>149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150</v>
      </c>
      <c r="B164" s="39">
        <f t="shared" si="7"/>
        <v>150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151</v>
      </c>
      <c r="B165" s="39">
        <f t="shared" si="7"/>
        <v>151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152</v>
      </c>
      <c r="B166" s="39">
        <f t="shared" si="7"/>
        <v>152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153</v>
      </c>
      <c r="B167" s="39">
        <f t="shared" si="8"/>
        <v>153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154</v>
      </c>
      <c r="B168" s="39">
        <f t="shared" si="8"/>
        <v>154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155</v>
      </c>
      <c r="B169" s="39">
        <f t="shared" si="8"/>
        <v>155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156</v>
      </c>
      <c r="B170" s="39">
        <f t="shared" si="8"/>
        <v>156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157</v>
      </c>
      <c r="B171" s="39">
        <f t="shared" si="8"/>
        <v>157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si="8"/>
        <v>158</v>
      </c>
      <c r="B172" s="39">
        <f t="shared" si="8"/>
        <v>158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si="8"/>
        <v>159</v>
      </c>
      <c r="B173" s="39">
        <f t="shared" si="8"/>
        <v>159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 t="s">
        <v>42</v>
      </c>
      <c r="B174" s="39" t="s">
        <v>42</v>
      </c>
      <c r="C174" s="39" t="str">
        <f>'Raw Name Splitter'!C174</f>
        <v>Mason</v>
      </c>
      <c r="D174" s="39" t="str">
        <f>'Raw Name Splitter'!D174</f>
        <v/>
      </c>
      <c r="E174" s="39" t="str">
        <f>'Raw Name Splitter'!E174</f>
        <v>dy Moll Not Walking</v>
      </c>
      <c r="F174" s="39">
        <f>'Raw Name Splitter'!F174</f>
        <v>0</v>
      </c>
      <c r="H174" s="42"/>
      <c r="I174" s="42"/>
    </row>
    <row r="175" spans="1:9" x14ac:dyDescent="0.25">
      <c r="A175" s="39">
        <f t="shared" si="8"/>
        <v>160</v>
      </c>
      <c r="B175" s="39">
        <f t="shared" si="8"/>
        <v>160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si="8"/>
        <v>161</v>
      </c>
      <c r="B176" s="39">
        <f t="shared" si="8"/>
        <v>161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si="8"/>
        <v>162</v>
      </c>
      <c r="B177" s="39">
        <f t="shared" si="8"/>
        <v>162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si="8"/>
        <v>163</v>
      </c>
      <c r="B178" s="39">
        <f t="shared" si="8"/>
        <v>163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164</v>
      </c>
      <c r="B179" s="39">
        <f t="shared" si="8"/>
        <v>164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165</v>
      </c>
      <c r="B180" s="39">
        <f t="shared" si="8"/>
        <v>165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166</v>
      </c>
      <c r="B182" s="39">
        <f t="shared" si="8"/>
        <v>166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9">IF(ISTEXT(A183)=TRUE,IF(ISTEXT(A182)=TRUE,A181+1,A182+1),A183+1)</f>
        <v>167</v>
      </c>
      <c r="B184" s="39">
        <f t="shared" si="9"/>
        <v>167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9"/>
        <v>168</v>
      </c>
      <c r="B185" s="39">
        <f t="shared" si="9"/>
        <v>168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9"/>
        <v>169</v>
      </c>
      <c r="B186" s="39">
        <f t="shared" si="9"/>
        <v>169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9"/>
        <v>170</v>
      </c>
      <c r="B187" s="39">
        <f t="shared" si="9"/>
        <v>170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9"/>
        <v>171</v>
      </c>
      <c r="B188" s="39">
        <f t="shared" si="9"/>
        <v>171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9"/>
        <v>172</v>
      </c>
      <c r="B189" s="39">
        <f t="shared" si="9"/>
        <v>172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9"/>
        <v>173</v>
      </c>
      <c r="B190" s="39">
        <f t="shared" si="9"/>
        <v>173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9"/>
        <v>174</v>
      </c>
      <c r="B191" s="39">
        <f t="shared" si="9"/>
        <v>174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9"/>
        <v>175</v>
      </c>
      <c r="B192" s="39">
        <f t="shared" si="9"/>
        <v>175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9"/>
        <v>176</v>
      </c>
      <c r="B193" s="39">
        <f t="shared" si="9"/>
        <v>176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9"/>
        <v>177</v>
      </c>
      <c r="B194" s="39">
        <f t="shared" si="9"/>
        <v>177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9"/>
        <v>178</v>
      </c>
      <c r="B195" s="39">
        <f t="shared" si="9"/>
        <v>178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9"/>
        <v>179</v>
      </c>
      <c r="B197" s="39">
        <f t="shared" si="9"/>
        <v>179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9"/>
        <v>180</v>
      </c>
      <c r="B198" s="39">
        <f t="shared" si="9"/>
        <v>180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0">IF(ISTEXT(A198)=TRUE,IF(ISTEXT(A197)=TRUE,A196+1,A197+1),A198+1)</f>
        <v>181</v>
      </c>
      <c r="B199" s="39">
        <f t="shared" si="10"/>
        <v>181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0"/>
        <v>182</v>
      </c>
      <c r="B200" s="39">
        <f t="shared" si="10"/>
        <v>182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0"/>
        <v>183</v>
      </c>
      <c r="B201" s="39">
        <f t="shared" si="10"/>
        <v>183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0"/>
        <v>184</v>
      </c>
      <c r="B202" s="39">
        <f t="shared" si="10"/>
        <v>184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0"/>
        <v>185</v>
      </c>
      <c r="B203" s="39">
        <f t="shared" si="10"/>
        <v>185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0"/>
        <v>186</v>
      </c>
      <c r="B204" s="39">
        <f t="shared" si="10"/>
        <v>186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0"/>
        <v>187</v>
      </c>
      <c r="B205" s="39">
        <f t="shared" si="10"/>
        <v>187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0"/>
        <v>188</v>
      </c>
      <c r="B206" s="39">
        <f t="shared" si="10"/>
        <v>188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0"/>
        <v>189</v>
      </c>
      <c r="B207" s="39">
        <f t="shared" si="10"/>
        <v>189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0"/>
        <v>190</v>
      </c>
      <c r="B208" s="39">
        <f t="shared" si="10"/>
        <v>190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0"/>
        <v>191</v>
      </c>
      <c r="B209" s="39">
        <f t="shared" si="10"/>
        <v>191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0"/>
        <v>192</v>
      </c>
      <c r="B210" s="39">
        <f t="shared" si="10"/>
        <v>192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0"/>
        <v>193</v>
      </c>
      <c r="B211" s="39">
        <f t="shared" si="10"/>
        <v>193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0"/>
        <v>194</v>
      </c>
      <c r="B212" s="39">
        <f t="shared" si="10"/>
        <v>194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0"/>
        <v>195</v>
      </c>
      <c r="B213" s="39">
        <f t="shared" si="10"/>
        <v>195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0"/>
        <v>196</v>
      </c>
      <c r="B214" s="39">
        <f t="shared" si="10"/>
        <v>196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1">IF(ISTEXT(A214)=TRUE,IF(ISTEXT(A213)=TRUE,A212+1,A213+1),A214+1)</f>
        <v>197</v>
      </c>
      <c r="B215" s="39">
        <f t="shared" si="11"/>
        <v>197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1"/>
        <v>198</v>
      </c>
      <c r="B216" s="39">
        <f t="shared" si="11"/>
        <v>198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1"/>
        <v>199</v>
      </c>
      <c r="B217" s="39">
        <f t="shared" si="11"/>
        <v>199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1"/>
        <v>200</v>
      </c>
      <c r="B218" s="39">
        <f t="shared" si="11"/>
        <v>200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1"/>
        <v>201</v>
      </c>
      <c r="B219" s="39">
        <f t="shared" si="11"/>
        <v>201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1"/>
        <v>202</v>
      </c>
      <c r="B220" s="39">
        <f t="shared" si="11"/>
        <v>202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1"/>
        <v>203</v>
      </c>
      <c r="B221" s="39">
        <f t="shared" si="11"/>
        <v>203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1"/>
        <v>204</v>
      </c>
      <c r="B222" s="39">
        <f t="shared" si="11"/>
        <v>204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1"/>
        <v>205</v>
      </c>
      <c r="B223" s="39">
        <f t="shared" si="11"/>
        <v>205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1"/>
        <v>206</v>
      </c>
      <c r="B224" s="39">
        <f t="shared" si="11"/>
        <v>206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1"/>
        <v>207</v>
      </c>
      <c r="B225" s="39">
        <f t="shared" si="11"/>
        <v>207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1"/>
        <v>208</v>
      </c>
      <c r="B226" s="39">
        <f t="shared" si="11"/>
        <v>208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1"/>
        <v>209</v>
      </c>
      <c r="B227" s="39">
        <f t="shared" si="11"/>
        <v>209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1"/>
        <v>210</v>
      </c>
      <c r="B228" s="39">
        <f t="shared" si="11"/>
        <v>210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1"/>
        <v>211</v>
      </c>
      <c r="B229" s="39">
        <f t="shared" si="11"/>
        <v>211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1"/>
        <v>212</v>
      </c>
      <c r="B230" s="39">
        <f t="shared" si="11"/>
        <v>212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2">IF(ISTEXT(A230)=TRUE,IF(ISTEXT(A229)=TRUE,A228+1,A229+1),A230+1)</f>
        <v>213</v>
      </c>
      <c r="B231" s="39">
        <f t="shared" si="12"/>
        <v>213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2"/>
        <v>214</v>
      </c>
      <c r="B232" s="39">
        <f t="shared" si="12"/>
        <v>214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2"/>
        <v>215</v>
      </c>
      <c r="B233" s="39">
        <f t="shared" si="12"/>
        <v>215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2"/>
        <v>216</v>
      </c>
      <c r="B234" s="39">
        <f t="shared" si="12"/>
        <v>216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2"/>
        <v>217</v>
      </c>
      <c r="B235" s="39">
        <f t="shared" si="12"/>
        <v>217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2"/>
        <v>218</v>
      </c>
      <c r="B236" s="39">
        <f t="shared" si="12"/>
        <v>218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2"/>
        <v>219</v>
      </c>
      <c r="B238" s="39">
        <f t="shared" si="12"/>
        <v>219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2"/>
        <v>220</v>
      </c>
      <c r="B239" s="39">
        <f t="shared" si="12"/>
        <v>220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2"/>
        <v>221</v>
      </c>
      <c r="B240" s="39">
        <f t="shared" si="12"/>
        <v>221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2"/>
        <v>222</v>
      </c>
      <c r="B241" s="39">
        <f t="shared" si="12"/>
        <v>222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2"/>
        <v>223</v>
      </c>
      <c r="B242" s="39">
        <f t="shared" si="12"/>
        <v>223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2"/>
        <v>224</v>
      </c>
      <c r="B243" s="39">
        <f t="shared" si="12"/>
        <v>224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2"/>
        <v>225</v>
      </c>
      <c r="B244" s="39">
        <f t="shared" si="12"/>
        <v>225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2"/>
        <v>226</v>
      </c>
      <c r="B245" s="39">
        <f t="shared" si="12"/>
        <v>226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2"/>
        <v>227</v>
      </c>
      <c r="B246" s="39">
        <f t="shared" si="12"/>
        <v>227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13">IF(ISTEXT(A246)=TRUE,IF(ISTEXT(A245)=TRUE,A244+1,A245+1),A246+1)</f>
        <v>228</v>
      </c>
      <c r="B247" s="39">
        <f t="shared" si="13"/>
        <v>228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13"/>
        <v>229</v>
      </c>
      <c r="B248" s="39">
        <f t="shared" si="13"/>
        <v>229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13"/>
        <v>230</v>
      </c>
      <c r="B249" s="39">
        <f t="shared" si="13"/>
        <v>230</v>
      </c>
      <c r="C249" s="39" t="str">
        <f>'Raw Name Splitter'!C249</f>
        <v>Colby</v>
      </c>
      <c r="D249" s="39" t="str">
        <f>'Raw Name Splitter'!D249</f>
        <v>Van</v>
      </c>
      <c r="E249" s="39" t="str">
        <f>'Raw Name Splitter'!E249</f>
        <v>Horn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13"/>
        <v>231</v>
      </c>
      <c r="B250" s="39">
        <f t="shared" si="13"/>
        <v>231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13"/>
        <v>232</v>
      </c>
      <c r="B251" s="39">
        <f t="shared" si="13"/>
        <v>232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13"/>
        <v>233</v>
      </c>
      <c r="B252" s="39">
        <f t="shared" si="13"/>
        <v>233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13"/>
        <v>234</v>
      </c>
      <c r="B253" s="39">
        <f t="shared" si="13"/>
        <v>234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13"/>
        <v>235</v>
      </c>
      <c r="B256" s="39">
        <f t="shared" si="13"/>
        <v>235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13"/>
        <v>236</v>
      </c>
      <c r="B257" s="39">
        <f t="shared" si="13"/>
        <v>236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13"/>
        <v>237</v>
      </c>
      <c r="B258" s="39">
        <f t="shared" si="13"/>
        <v>237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13"/>
        <v>238</v>
      </c>
      <c r="B259" s="39">
        <f t="shared" si="13"/>
        <v>238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13"/>
        <v>239</v>
      </c>
      <c r="B260" s="39">
        <f t="shared" si="13"/>
        <v>239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13"/>
        <v>240</v>
      </c>
      <c r="B261" s="39">
        <f t="shared" si="13"/>
        <v>240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13"/>
        <v>241</v>
      </c>
      <c r="B262" s="39">
        <f t="shared" si="13"/>
        <v>241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14">IF(ISTEXT(A262)=TRUE,IF(ISTEXT(A261)=TRUE,A260+1,A261+1),A262+1)</f>
        <v>242</v>
      </c>
      <c r="B263" s="39">
        <f t="shared" si="14"/>
        <v>242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14"/>
        <v>243</v>
      </c>
      <c r="B265" s="39">
        <f t="shared" si="14"/>
        <v>243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14"/>
        <v>244</v>
      </c>
      <c r="B266" s="39">
        <f t="shared" si="14"/>
        <v>244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14"/>
        <v>245</v>
      </c>
      <c r="B267" s="39">
        <f t="shared" si="14"/>
        <v>245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14"/>
        <v>246</v>
      </c>
      <c r="B268" s="39">
        <f t="shared" si="14"/>
        <v>246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14"/>
        <v>247</v>
      </c>
      <c r="B269" s="39">
        <f t="shared" si="14"/>
        <v>247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468</v>
      </c>
      <c r="E270" s="39" t="s">
        <v>468</v>
      </c>
      <c r="F270" s="39" t="s">
        <v>468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" activePane="bottomLeft" state="frozen"/>
      <selection pane="bottomLeft" activeCell="J14" sqref="J14:J289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VLOOKUP(J19,'Names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VLOOKUP(J20,'Names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VLOOKUP(J21,'Names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VLOOKUP(J22,'Names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VLOOKUP(J23,'Names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VLOOKUP(J24,'Names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VLOOKUP(J25,'Names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VLOOKUP(J26,'Names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VLOOKUP(J27,'Names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VLOOKUP(J28,'Names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t="str">
        <f>VLOOKUP(J29,'Names with Seat Code'!A:E,4,FALSE)</f>
        <v/>
      </c>
      <c r="L30" s="1">
        <f>VLOOKUP(J30,'Names with Seat Code'!A:F,6,FALSE)</f>
        <v>0</v>
      </c>
    </row>
    <row r="31" spans="1:12" ht="19.5" thickTop="1" thickBot="1" x14ac:dyDescent="0.3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s="3" t="str">
        <f>VLOOKUP(J30,'Names with Seat Code'!A:E,4,FALSE)</f>
        <v/>
      </c>
      <c r="L31" s="1">
        <f>VLOOKUP(J31,'Names with Seat Code'!A:F,6,FALSE)</f>
        <v>0</v>
      </c>
    </row>
    <row r="32" spans="1:12" ht="18.75" thickTop="1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VLOOKUP(J31,'Names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VLOOKUP(J32,'Names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VLOOKUP(J33,'Names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VLOOKUP(J34,'Names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VLOOKUP(J35,'Names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VLOOKUP(J36,'Names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VLOOKUP(J37,'Names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VLOOKUP(J38,'Names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VLOOKUP(J39,'Names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VLOOKUP(J40,'Names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t="str">
        <f>VLOOKUP(J41,'Names with Seat Code'!A:E,4,FALSE)</f>
        <v/>
      </c>
      <c r="L42" s="1">
        <f>VLOOKUP(J42,'Names with Seat Code'!A:F,6,FALSE)</f>
        <v>0</v>
      </c>
    </row>
    <row r="43" spans="1:12" ht="19.5" thickTop="1" thickBot="1" x14ac:dyDescent="0.3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s="3" t="str">
        <f>VLOOKUP(J42,'Names with Seat Code'!A:E,4,FALSE)</f>
        <v/>
      </c>
      <c r="L43" s="1">
        <f>VLOOKUP(J43,'Names with Seat Code'!A:F,6,FALSE)</f>
        <v>0</v>
      </c>
    </row>
    <row r="44" spans="1:12" ht="18.75" thickTop="1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VLOOKUP(J43,'Names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VLOOKUP(J44,'Names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VLOOKUP(J45,'Names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VLOOKUP(J46,'Names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VLOOKUP(J47,'Names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VLOOKUP(J48,'Names with Seat Code'!A:E,4,FALSE)</f>
        <v/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VLOOKUP(J49,'Names with Seat Code'!A:E,4,FALSE)</f>
        <v>Joseph</v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VLOOKUP(J50,'Names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VLOOKUP(J51,'Names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VLOOKUP(J52,'Names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t="str">
        <f>VLOOKUP(J53,'Names with Seat Code'!A:E,4,FALSE)</f>
        <v/>
      </c>
      <c r="L54" s="1" t="str">
        <f>VLOOKUP(J54,'Names with Seat Code'!A:F,6,FALSE)</f>
        <v xml:space="preserve">Suh-row-nee </v>
      </c>
    </row>
    <row r="55" spans="1:12" ht="19.5" thickTop="1" thickBot="1" x14ac:dyDescent="0.3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s="3" t="str">
        <f>VLOOKUP(J54,'Names with Seat Code'!A:E,4,FALSE)</f>
        <v>Marie</v>
      </c>
      <c r="L55" s="1">
        <f>VLOOKUP(J55,'Names with Seat Code'!A:F,6,FALSE)</f>
        <v>0</v>
      </c>
    </row>
    <row r="56" spans="1:12" ht="18.75" thickTop="1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VLOOKUP(J55,'Names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VLOOKUP(J56,'Names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VLOOKUP(J57,'Names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VLOOKUP(J58,'Names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VLOOKUP(J59,'Names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VLOOKUP(J60,'Names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VLOOKUP(J61,'Names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VLOOKUP(J62,'Names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VLOOKUP(J63,'Names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VLOOKUP(J64,'Names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t="str">
        <f>VLOOKUP(J65,'Names with Seat Code'!A:E,4,FALSE)</f>
        <v/>
      </c>
      <c r="L66" s="1">
        <f>VLOOKUP(J66,'Names with Seat Code'!A:F,6,FALSE)</f>
        <v>0</v>
      </c>
    </row>
    <row r="67" spans="1:12" ht="19.5" thickTop="1" thickBot="1" x14ac:dyDescent="0.3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s="3" t="str">
        <f>VLOOKUP(J66,'Names with Seat Code'!A:E,4,FALSE)</f>
        <v/>
      </c>
      <c r="L67" s="1">
        <f>VLOOKUP(J67,'Names with Seat Code'!A:F,6,FALSE)</f>
        <v>0</v>
      </c>
    </row>
    <row r="68" spans="1:12" ht="18.75" thickTop="1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VLOOKUP(J67,'Names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Silva</v>
      </c>
      <c r="I69" s="1" t="str">
        <f>VLOOKUP(J69,'Names with Seat Code'!A:E,3,FALSE)</f>
        <v>Walick</v>
      </c>
      <c r="J69">
        <v>56</v>
      </c>
      <c r="K69" t="str">
        <f>VLOOKUP(J68,'Names with Seat Code'!A:E,4,FALSE)</f>
        <v/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VLOOKUP(J69,'Names with Seat Code'!A:E,4,FALSE)</f>
        <v>Da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VLOOKUP(J70,'Names with Seat Code'!A:E,4,FALSE)</f>
        <v>Joseph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VLOOKUP(J71,'Names with Seat Code'!A:E,4,FALSE)</f>
        <v>osarugue</v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VLOOKUP(J72,'Names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Dante</v>
      </c>
      <c r="J74" s="3">
        <v>61</v>
      </c>
      <c r="K74" t="str">
        <f>VLOOKUP(J73,'Names with Seat Code'!A:E,4,FALSE)</f>
        <v/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Antonio</v>
      </c>
      <c r="J75">
        <v>62</v>
      </c>
      <c r="K75" t="str">
        <f>VLOOKUP(J74,'Names with Seat Code'!A:E,4,FALSE)</f>
        <v/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VLOOKUP(J75,'Names with Seat Code'!A:E,4,FALSE)</f>
        <v>Joseph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VLOOKUP(J76,'Names with Seat Code'!A:E,4,FALSE)</f>
        <v>Anne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t="str">
        <f>VLOOKUP(J77,'Names with Seat Code'!A:E,4,FALSE)</f>
        <v>Kendall</v>
      </c>
      <c r="L78" s="1" t="str">
        <f>VLOOKUP(J78,'Names with Seat Code'!A:F,6,FALSE)</f>
        <v>Ah-lah-na May-Lynn Yah-mah-key Door-o-kez</v>
      </c>
    </row>
    <row r="79" spans="1:12" ht="19.5" thickTop="1" thickBot="1" x14ac:dyDescent="0.3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s="3" t="str">
        <f>VLOOKUP(J78,'Names with Seat Code'!A:E,4,FALSE)</f>
        <v>Mei-Lin Yamaki</v>
      </c>
      <c r="L79" s="1">
        <f>VLOOKUP(J79,'Names with Seat Code'!A:F,6,FALSE)</f>
        <v>0</v>
      </c>
    </row>
    <row r="80" spans="1:12" ht="18.75" thickTop="1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VLOOKUP(J79,'Names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VLOOKUP(J80,'Names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VLOOKUP(J81,'Names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Eliet</v>
      </c>
      <c r="I83" s="1" t="str">
        <f>VLOOKUP(J83,'Names with Seat Code'!A:E,3,FALSE)</f>
        <v>Luca</v>
      </c>
      <c r="J83">
        <v>70</v>
      </c>
      <c r="K83" t="str">
        <f>VLOOKUP(J82,'Names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Ellis</v>
      </c>
      <c r="I84" s="1" t="str">
        <f>VLOOKUP(J84,'Names with Seat Code'!A:E,3,FALSE)</f>
        <v>Finn</v>
      </c>
      <c r="J84">
        <v>71</v>
      </c>
      <c r="K84" t="str">
        <f>VLOOKUP(J83,'Names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Emmanuel</v>
      </c>
      <c r="I85" s="1" t="str">
        <f>VLOOKUP(J85,'Names with Seat Code'!A:E,3,FALSE)</f>
        <v>Levi</v>
      </c>
      <c r="J85">
        <v>72</v>
      </c>
      <c r="K85" t="str">
        <f>VLOOKUP(J84,'Names with Seat Code'!A:E,4,FALSE)</f>
        <v/>
      </c>
      <c r="L85" s="1">
        <f>VLOOKUP(J85,'Names with Seat Code'!A:F,6,FALSE)</f>
        <v>0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Encarnacao</v>
      </c>
      <c r="I86" s="1" t="str">
        <f>VLOOKUP(J86,'Names with Seat Code'!A:E,3,FALSE)</f>
        <v>Kamryn</v>
      </c>
      <c r="J86" s="3">
        <v>73</v>
      </c>
      <c r="K86" t="str">
        <f>VLOOKUP(J85,'Names with Seat Code'!A:E,4,FALSE)</f>
        <v/>
      </c>
      <c r="L86" s="1" t="str">
        <f>VLOOKUP(J86,'Names with Seat Code'!A:F,6,FALSE)</f>
        <v>In - car - naw - see - oh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Fortes</v>
      </c>
      <c r="I87" s="1" t="str">
        <f>VLOOKUP(J87,'Names with Seat Code'!A:E,3,FALSE)</f>
        <v>Samuel</v>
      </c>
      <c r="J87">
        <v>74</v>
      </c>
      <c r="K87" t="str">
        <f>VLOOKUP(J86,'Names with Seat Code'!A:E,4,FALSE)</f>
        <v/>
      </c>
      <c r="L87" s="1" t="str">
        <f>VLOOKUP(J87,'Names with Seat Code'!A:F,6,FALSE)</f>
        <v xml:space="preserve">Eee-wald 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Fantasia</v>
      </c>
      <c r="I88" s="1" t="str">
        <f>VLOOKUP(J88,'Names with Seat Code'!A:E,3,FALSE)</f>
        <v>Kaylie</v>
      </c>
      <c r="J88">
        <v>75</v>
      </c>
      <c r="K88" t="str">
        <f>VLOOKUP(J87,'Names with Seat Code'!A:E,4,FALSE)</f>
        <v/>
      </c>
      <c r="L88" s="1" t="str">
        <f>VLOOKUP(J88,'Names with Seat Code'!A:F,6,FALSE)</f>
        <v>kay-lee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Farnham</v>
      </c>
      <c r="I89" s="1" t="str">
        <f>VLOOKUP(J89,'Names with Seat Code'!A:E,3,FALSE)</f>
        <v>Vince</v>
      </c>
      <c r="J89">
        <v>76</v>
      </c>
      <c r="K89" t="str">
        <f>VLOOKUP(J88,'Names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Farris</v>
      </c>
      <c r="I90" s="2" t="str">
        <f>VLOOKUP(J90,'Names with Seat Code'!A:E,3,FALSE)</f>
        <v>Colby</v>
      </c>
      <c r="J90">
        <v>77</v>
      </c>
      <c r="K90" t="str">
        <f>VLOOKUP(J89,'Names with Seat Code'!A:E,4,FALSE)</f>
        <v/>
      </c>
      <c r="L90" s="1">
        <f>VLOOKUP(J90,'Names with Seat Code'!A:F,6,FALSE)</f>
        <v>0</v>
      </c>
    </row>
    <row r="91" spans="1:12" ht="19.5" thickTop="1" thickBot="1" x14ac:dyDescent="0.3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Fernandez</v>
      </c>
      <c r="I91" s="1" t="str">
        <f>VLOOKUP(J91,'Names with Seat Code'!A:E,3,FALSE)</f>
        <v>Bryan</v>
      </c>
      <c r="J91">
        <v>78</v>
      </c>
      <c r="K91" s="3" t="str">
        <f>VLOOKUP(J90,'Names with Seat Code'!A:E,4,FALSE)</f>
        <v/>
      </c>
      <c r="L91" s="1">
        <f>VLOOKUP(J91,'Names with Seat Code'!A:F,6,FALSE)</f>
        <v>0</v>
      </c>
    </row>
    <row r="92" spans="1:12" ht="18.75" thickTop="1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Fiore</v>
      </c>
      <c r="I92" s="1" t="str">
        <f>VLOOKUP(J92,'Names with Seat Code'!A:E,3,FALSE)</f>
        <v>Thomas</v>
      </c>
      <c r="J92">
        <v>79</v>
      </c>
      <c r="K92" t="str">
        <f>VLOOKUP(J91,'Names with Seat Code'!A:E,4,FALSE)</f>
        <v/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Flaherty</v>
      </c>
      <c r="I93" s="1" t="str">
        <f>VLOOKUP(J93,'Names with Seat Code'!A:E,3,FALSE)</f>
        <v>Finn</v>
      </c>
      <c r="J93">
        <v>80</v>
      </c>
      <c r="K93" t="str">
        <f>VLOOKUP(J92,'Names with Seat Code'!A:E,4,FALSE)</f>
        <v/>
      </c>
      <c r="L93" s="1">
        <f>VLOOKUP(J93,'Names with Seat Code'!A:F,6,FALSE)</f>
        <v>0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Forse</v>
      </c>
      <c r="I94" s="1" t="str">
        <f>VLOOKUP(J94,'Names with Seat Code'!A:E,3,FALSE)</f>
        <v>Matthew</v>
      </c>
      <c r="J94">
        <v>81</v>
      </c>
      <c r="K94" t="str">
        <f>VLOOKUP(J93,'Names with Seat Code'!A:E,4,FALSE)</f>
        <v>Patrick</v>
      </c>
      <c r="L94" s="1" t="str">
        <f>VLOOKUP(J94,'Names with Seat Code'!A:F,6,FALSE)</f>
        <v xml:space="preserve">"Force",   rhymes with HORSE 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Frank</v>
      </c>
      <c r="I95" s="1" t="str">
        <f>VLOOKUP(J95,'Names with Seat Code'!A:E,3,FALSE)</f>
        <v>Jacob</v>
      </c>
      <c r="J95">
        <v>82</v>
      </c>
      <c r="K95" t="str">
        <f>VLOOKUP(J94,'Names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Fratto</v>
      </c>
      <c r="I96" s="1" t="str">
        <f>VLOOKUP(J96,'Names with Seat Code'!A:E,3,FALSE)</f>
        <v>Anthony</v>
      </c>
      <c r="J96">
        <v>83</v>
      </c>
      <c r="K96" t="str">
        <f>VLOOKUP(J95,'Names with Seat Code'!A:E,4,FALSE)</f>
        <v/>
      </c>
      <c r="L96" s="1">
        <f>VLOOKUP(J96,'Names with Seat Code'!A:F,6,FALSE)</f>
        <v>0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Fucarile</v>
      </c>
      <c r="I97" s="1" t="str">
        <f>VLOOKUP(J97,'Names with Seat Code'!A:E,3,FALSE)</f>
        <v>Gavin</v>
      </c>
      <c r="J97">
        <v>84</v>
      </c>
      <c r="K97" t="str">
        <f>VLOOKUP(J96,'Names with Seat Code'!A:E,4,FALSE)</f>
        <v/>
      </c>
      <c r="L97" s="1" t="str">
        <f>VLOOKUP(J97,'Names with Seat Code'!A:F,6,FALSE)</f>
        <v>Fuke-ah-rill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Fusco</v>
      </c>
      <c r="I98" s="1" t="str">
        <f>VLOOKUP(J98,'Names with Seat Code'!A:E,3,FALSE)</f>
        <v>Cole</v>
      </c>
      <c r="J98" s="3">
        <v>85</v>
      </c>
      <c r="K98" t="str">
        <f>VLOOKUP(J97,'Names with Seat Code'!A:E,4,FALSE)</f>
        <v/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Gaeta</v>
      </c>
      <c r="I99" s="1" t="str">
        <f>VLOOKUP(J99,'Names with Seat Code'!A:E,3,FALSE)</f>
        <v>Paul</v>
      </c>
      <c r="J99">
        <v>86</v>
      </c>
      <c r="K99" t="str">
        <f>VLOOKUP(J98,'Names with Seat Code'!A:E,4,FALSE)</f>
        <v/>
      </c>
      <c r="L99" s="1">
        <f>VLOOKUP(J99,'Names with Seat Code'!A:F,6,FALSE)</f>
        <v>0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Gager</v>
      </c>
      <c r="I100" s="1" t="str">
        <f>VLOOKUP(J100,'Names with Seat Code'!A:E,3,FALSE)</f>
        <v>Lucas</v>
      </c>
      <c r="J100">
        <v>87</v>
      </c>
      <c r="K100" t="str">
        <f>VLOOKUP(J99,'Names with Seat Code'!A:E,4,FALSE)</f>
        <v>Richard</v>
      </c>
      <c r="L100" s="1" t="str">
        <f>VLOOKUP(J100,'Names with Seat Code'!A:F,6,FALSE)</f>
        <v>Gay-jer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Galindo</v>
      </c>
      <c r="I101" s="1" t="str">
        <f>VLOOKUP(J101,'Names with Seat Code'!A:E,3,FALSE)</f>
        <v>Nevaeh</v>
      </c>
      <c r="J101">
        <v>88</v>
      </c>
      <c r="K101" t="str">
        <f>VLOOKUP(J100,'Names with Seat Code'!A:E,4,FALSE)</f>
        <v/>
      </c>
      <c r="L101" s="1">
        <f>VLOOKUP(J101,'Names with Seat Code'!A:F,6,FALSE)</f>
        <v>0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Gallagher</v>
      </c>
      <c r="I102" s="2" t="str">
        <f>VLOOKUP(J102,'Names with Seat Code'!A:E,3,FALSE)</f>
        <v>Joseph</v>
      </c>
      <c r="J102">
        <v>89</v>
      </c>
      <c r="K102" t="str">
        <f>VLOOKUP(J101,'Names with Seat Code'!A:E,4,FALSE)</f>
        <v/>
      </c>
      <c r="L102" s="1" t="str">
        <f>VLOOKUP(J102,'Names with Seat Code'!A:F,6,FALSE)</f>
        <v>Joseph Gallagher</v>
      </c>
    </row>
    <row r="103" spans="1:12" ht="19.5" thickTop="1" thickBot="1" x14ac:dyDescent="0.3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Gauvin</v>
      </c>
      <c r="I103" s="1" t="str">
        <f>VLOOKUP(J103,'Names with Seat Code'!A:E,3,FALSE)</f>
        <v>Brendan</v>
      </c>
      <c r="J103">
        <v>90</v>
      </c>
      <c r="K103" s="3" t="str">
        <f>VLOOKUP(J102,'Names with Seat Code'!A:E,4,FALSE)</f>
        <v/>
      </c>
      <c r="L103" s="1" t="str">
        <f>VLOOKUP(J103,'Names with Seat Code'!A:F,6,FALSE)</f>
        <v>Gau-vin</v>
      </c>
    </row>
    <row r="104" spans="1:12" ht="18.75" thickTop="1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Gebeyaw</v>
      </c>
      <c r="I104" s="1" t="str">
        <f>VLOOKUP(J104,'Names with Seat Code'!A:E,3,FALSE)</f>
        <v>Bereket</v>
      </c>
      <c r="J104">
        <v>91</v>
      </c>
      <c r="K104" t="str">
        <f>VLOOKUP(J103,'Names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Gellot</v>
      </c>
      <c r="I105" s="1" t="str">
        <f>VLOOKUP(J105,'Names with Seat Code'!A:E,3,FALSE)</f>
        <v>Alix</v>
      </c>
      <c r="J105">
        <v>92</v>
      </c>
      <c r="K105" t="str">
        <f>VLOOKUP(J104,'Names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Gigler</v>
      </c>
      <c r="I106" s="1" t="str">
        <f>VLOOKUP(J106,'Names with Seat Code'!A:E,3,FALSE)</f>
        <v>Cameron</v>
      </c>
      <c r="J106">
        <v>93</v>
      </c>
      <c r="K106" t="str">
        <f>VLOOKUP(J105,'Names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Gisetto</v>
      </c>
      <c r="I107" s="1" t="str">
        <f>VLOOKUP(J107,'Names with Seat Code'!A:E,3,FALSE)</f>
        <v>Alex</v>
      </c>
      <c r="J107">
        <v>94</v>
      </c>
      <c r="K107" t="str">
        <f>VLOOKUP(J106,'Names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Goldlust</v>
      </c>
      <c r="I108" s="1" t="str">
        <f>VLOOKUP(J108,'Names with Seat Code'!A:E,3,FALSE)</f>
        <v>Benjamin</v>
      </c>
      <c r="J108">
        <v>95</v>
      </c>
      <c r="K108" t="str">
        <f>VLOOKUP(J107,'Names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Goodfellow</v>
      </c>
      <c r="I109" s="1" t="str">
        <f>VLOOKUP(J109,'Names with Seat Code'!A:E,3,FALSE)</f>
        <v>Jack</v>
      </c>
      <c r="J109">
        <v>96</v>
      </c>
      <c r="K109" t="str">
        <f>VLOOKUP(J108,'Names with Seat Code'!A:E,4,FALSE)</f>
        <v/>
      </c>
      <c r="L109" s="1">
        <f>VLOOKUP(J109,'Names with Seat Code'!A:F,6,FALSE)</f>
        <v>0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Gorski</v>
      </c>
      <c r="I110" s="1" t="str">
        <f>VLOOKUP(J110,'Names with Seat Code'!A:E,3,FALSE)</f>
        <v>Drew</v>
      </c>
      <c r="J110" s="3">
        <v>97</v>
      </c>
      <c r="K110" t="str">
        <f>VLOOKUP(J109,'Names with Seat Code'!A:E,4,FALSE)</f>
        <v/>
      </c>
      <c r="L110" s="1" t="str">
        <f>VLOOKUP(J110,'Names with Seat Code'!A:F,6,FALSE)</f>
        <v>Drew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Gosdanian</v>
      </c>
      <c r="I111" s="1" t="str">
        <f>VLOOKUP(J111,'Names with Seat Code'!A:E,3,FALSE)</f>
        <v>Lila</v>
      </c>
      <c r="J111">
        <v>98</v>
      </c>
      <c r="K111" t="str">
        <f>VLOOKUP(J110,'Names with Seat Code'!A:E,4,FALSE)</f>
        <v/>
      </c>
      <c r="L111" s="1" t="str">
        <f>VLOOKUP(J111,'Names with Seat Code'!A:F,6,FALSE)</f>
        <v>Lylah Gosdainian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Grant</v>
      </c>
      <c r="I112" s="1" t="str">
        <f>VLOOKUP(J112,'Names with Seat Code'!A:E,3,FALSE)</f>
        <v>Cole</v>
      </c>
      <c r="J112">
        <v>99</v>
      </c>
      <c r="K112" t="str">
        <f>VLOOKUP(J111,'Names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Graves</v>
      </c>
      <c r="I113" s="1" t="str">
        <f>VLOOKUP(J113,'Names with Seat Code'!A:E,3,FALSE)</f>
        <v>Kendall</v>
      </c>
      <c r="J113">
        <v>100</v>
      </c>
      <c r="K113" t="str">
        <f>VLOOKUP(J112,'Names with Seat Code'!A:E,4,FALSE)</f>
        <v>Sebastian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Haggerty</v>
      </c>
      <c r="I114" s="2" t="str">
        <f>VLOOKUP(J114,'Names with Seat Code'!A:E,3,FALSE)</f>
        <v>Griffin</v>
      </c>
      <c r="J114">
        <v>101</v>
      </c>
      <c r="K114" t="str">
        <f>VLOOKUP(J113,'Names with Seat Code'!A:E,4,FALSE)</f>
        <v/>
      </c>
      <c r="L114" s="1">
        <f>VLOOKUP(J114,'Names with Seat Code'!A:F,6,FALSE)</f>
        <v>0</v>
      </c>
    </row>
    <row r="115" spans="1:12" ht="19.5" thickTop="1" thickBot="1" x14ac:dyDescent="0.3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Hall</v>
      </c>
      <c r="I115" s="1" t="str">
        <f>VLOOKUP(J115,'Names with Seat Code'!A:E,3,FALSE)</f>
        <v>Andrea</v>
      </c>
      <c r="J115">
        <v>102</v>
      </c>
      <c r="K115" s="3" t="str">
        <f>VLOOKUP(J114,'Names with Seat Code'!A:E,4,FALSE)</f>
        <v>James</v>
      </c>
      <c r="L115" s="1" t="str">
        <f>VLOOKUP(J115,'Names with Seat Code'!A:F,6,FALSE)</f>
        <v>Alpha, November, Delta, Romeo, Echo, alpha</v>
      </c>
    </row>
    <row r="116" spans="1:12" ht="18.75" thickTop="1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Hamilton</v>
      </c>
      <c r="I116" s="1" t="str">
        <f>VLOOKUP(J116,'Names with Seat Code'!A:E,3,FALSE)</f>
        <v>Sarah</v>
      </c>
      <c r="J116">
        <v>103</v>
      </c>
      <c r="K116" t="str">
        <f>VLOOKUP(J115,'Names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Hanifan</v>
      </c>
      <c r="I117" s="1" t="str">
        <f>VLOOKUP(J117,'Names with Seat Code'!A:E,3,FALSE)</f>
        <v>Margaret</v>
      </c>
      <c r="J117">
        <v>104</v>
      </c>
      <c r="K117" t="str">
        <f>VLOOKUP(J116,'Names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Harrigan</v>
      </c>
      <c r="I118" s="1" t="str">
        <f>VLOOKUP(J118,'Names with Seat Code'!A:E,3,FALSE)</f>
        <v>Cameron</v>
      </c>
      <c r="J118">
        <v>105</v>
      </c>
      <c r="K118" t="str">
        <f>VLOOKUP(J117,'Names with Seat Code'!A:E,4,FALSE)</f>
        <v/>
      </c>
      <c r="L118" s="1">
        <f>VLOOKUP(J118,'Names with Seat Code'!A:F,6,FALSE)</f>
        <v>0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</v>
      </c>
      <c r="I119" s="1" t="str">
        <f>VLOOKUP(J119,'Names with Seat Code'!A:E,3,FALSE)</f>
        <v>Victoria</v>
      </c>
      <c r="J119">
        <v>106</v>
      </c>
      <c r="K119" t="str">
        <f>VLOOKUP(J118,'Names with Seat Code'!A:E,4,FALSE)</f>
        <v/>
      </c>
      <c r="L119" s="1" t="str">
        <f>VLOOKUP(J119,'Names with Seat Code'!A:F,6,FALSE)</f>
        <v>Vic-tor-ee-a Hen-ree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Henrique</v>
      </c>
      <c r="I120" s="1" t="str">
        <f>VLOOKUP(J120,'Names with Seat Code'!A:E,3,FALSE)</f>
        <v>Kayke</v>
      </c>
      <c r="J120">
        <v>107</v>
      </c>
      <c r="K120" t="str">
        <f>VLOOKUP(J119,'Names with Seat Code'!A:E,4,FALSE)</f>
        <v/>
      </c>
      <c r="L120" s="1">
        <f>VLOOKUP(J120,'Names with Seat Code'!A:F,6,FALSE)</f>
        <v>0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Hobson</v>
      </c>
      <c r="I121" s="1" t="str">
        <f>VLOOKUP(J121,'Names with Seat Code'!A:E,3,FALSE)</f>
        <v>Jahkye</v>
      </c>
      <c r="J121">
        <v>108</v>
      </c>
      <c r="K121" t="str">
        <f>VLOOKUP(J120,'Names with Seat Code'!A:E,4,FALSE)</f>
        <v/>
      </c>
      <c r="L121" s="1" t="str">
        <f>VLOOKUP(J121,'Names with Seat Code'!A:F,6,FALSE)</f>
        <v>JAH-KIA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Holt</v>
      </c>
      <c r="I122" s="1" t="str">
        <f>VLOOKUP(J122,'Names with Seat Code'!A:E,3,FALSE)</f>
        <v>Sam</v>
      </c>
      <c r="J122" s="3">
        <v>109</v>
      </c>
      <c r="K122" t="str">
        <f>VLOOKUP(J121,'Names with Seat Code'!A:E,4,FALSE)</f>
        <v/>
      </c>
      <c r="L122" s="1">
        <f>VLOOKUP(J122,'Names with Seat Code'!A:F,6,FALSE)</f>
        <v>0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Houle</v>
      </c>
      <c r="I123" s="1" t="str">
        <f>VLOOKUP(J123,'Names with Seat Code'!A:E,3,FALSE)</f>
        <v>Benjamin</v>
      </c>
      <c r="J123">
        <v>110</v>
      </c>
      <c r="K123" t="str">
        <f>VLOOKUP(J122,'Names with Seat Code'!A:E,4,FALSE)</f>
        <v/>
      </c>
      <c r="L123" s="1" t="str">
        <f>VLOOKUP(J123,'Names with Seat Code'!A:F,6,FALSE)</f>
        <v>H-oo-l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Howell</v>
      </c>
      <c r="I124" s="1" t="str">
        <f>VLOOKUP(J124,'Names with Seat Code'!A:E,3,FALSE)</f>
        <v>Evin</v>
      </c>
      <c r="J124">
        <v>111</v>
      </c>
      <c r="K124" t="str">
        <f>VLOOKUP(J123,'Names with Seat Code'!A:E,4,FALSE)</f>
        <v/>
      </c>
      <c r="L124" s="1">
        <f>VLOOKUP(J124,'Names with Seat Code'!A:F,6,FALSE)</f>
        <v>0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Iosua</v>
      </c>
      <c r="I125" s="1" t="str">
        <f>VLOOKUP(J125,'Names with Seat Code'!A:E,3,FALSE)</f>
        <v>Paul</v>
      </c>
      <c r="J125">
        <v>112</v>
      </c>
      <c r="K125" t="str">
        <f>VLOOKUP(J124,'Names with Seat Code'!A:E,4,FALSE)</f>
        <v/>
      </c>
      <c r="L125" s="1" t="str">
        <f>VLOOKUP(J125,'Names with Seat Code'!A:F,6,FALSE)</f>
        <v>I-osh-u-ah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Jackvony</v>
      </c>
      <c r="I126" s="2" t="str">
        <f>VLOOKUP(J126,'Names with Seat Code'!A:E,3,FALSE)</f>
        <v>Leah</v>
      </c>
      <c r="J126">
        <v>113</v>
      </c>
      <c r="K126" t="str">
        <f>VLOOKUP(J125,'Names with Seat Code'!A:E,4,FALSE)</f>
        <v>Joseph</v>
      </c>
      <c r="L126" s="1">
        <f>VLOOKUP(J126,'Names with Seat Code'!A:F,6,FALSE)</f>
        <v>0</v>
      </c>
    </row>
    <row r="127" spans="1:12" ht="19.5" thickTop="1" thickBot="1" x14ac:dyDescent="0.3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Jankun</v>
      </c>
      <c r="I127" s="1" t="str">
        <f>VLOOKUP(J127,'Names with Seat Code'!A:E,3,FALSE)</f>
        <v>Wayne</v>
      </c>
      <c r="J127">
        <v>114</v>
      </c>
      <c r="K127" s="3" t="str">
        <f>VLOOKUP(J126,'Names with Seat Code'!A:E,4,FALSE)</f>
        <v/>
      </c>
      <c r="L127" s="1">
        <f>VLOOKUP(J127,'Names with Seat Code'!A:F,6,FALSE)</f>
        <v>0</v>
      </c>
    </row>
    <row r="128" spans="1:12" ht="18.75" thickTop="1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Jenkins</v>
      </c>
      <c r="I128" s="1" t="str">
        <f>VLOOKUP(J128,'Names with Seat Code'!A:E,3,FALSE)</f>
        <v>Tristan</v>
      </c>
      <c r="J128">
        <v>115</v>
      </c>
      <c r="K128" t="str">
        <f>VLOOKUP(J127,'Names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Evan</v>
      </c>
      <c r="J129">
        <v>116</v>
      </c>
      <c r="K129" t="str">
        <f>VLOOKUP(J128,'Names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Jenney</v>
      </c>
      <c r="I130" s="1" t="str">
        <f>VLOOKUP(J130,'Names with Seat Code'!A:E,3,FALSE)</f>
        <v>Michael</v>
      </c>
      <c r="J130">
        <v>117</v>
      </c>
      <c r="K130" t="str">
        <f>VLOOKUP(J129,'Names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Johnson</v>
      </c>
      <c r="I131" s="1" t="str">
        <f>VLOOKUP(J131,'Names with Seat Code'!A:E,3,FALSE)</f>
        <v>Luke</v>
      </c>
      <c r="J131">
        <v>118</v>
      </c>
      <c r="K131" t="str">
        <f>VLOOKUP(J130,'Names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Jones</v>
      </c>
      <c r="I132" s="1" t="str">
        <f>VLOOKUP(J132,'Names with Seat Code'!A:E,3,FALSE)</f>
        <v>Maeve</v>
      </c>
      <c r="J132">
        <v>119</v>
      </c>
      <c r="K132" t="str">
        <f>VLOOKUP(J131,'Names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Jordan</v>
      </c>
      <c r="I133" s="1" t="str">
        <f>VLOOKUP(J133,'Names with Seat Code'!A:E,3,FALSE)</f>
        <v>Nolan</v>
      </c>
      <c r="J133">
        <v>120</v>
      </c>
      <c r="K133" t="str">
        <f>VLOOKUP(J132,'Names with Seat Code'!A:E,4,FALSE)</f>
        <v/>
      </c>
      <c r="L133" s="1">
        <f>VLOOKUP(J133,'Names with Seat Code'!A:F,6,FALSE)</f>
        <v>0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Kaberle</v>
      </c>
      <c r="I134" s="1" t="str">
        <f>VLOOKUP(J134,'Names with Seat Code'!A:E,3,FALSE)</f>
        <v>Emma</v>
      </c>
      <c r="J134" s="3">
        <v>121</v>
      </c>
      <c r="K134" t="str">
        <f>VLOOKUP(J133,'Names with Seat Code'!A:E,4,FALSE)</f>
        <v/>
      </c>
      <c r="L134" s="1" t="str">
        <f>VLOOKUP(J134,'Names with Seat Code'!A:F,6,FALSE)</f>
        <v xml:space="preserve">K-ber-le 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Kadric</v>
      </c>
      <c r="I135" s="1" t="str">
        <f>VLOOKUP(J135,'Names with Seat Code'!A:E,3,FALSE)</f>
        <v>Azra</v>
      </c>
      <c r="J135">
        <v>122</v>
      </c>
      <c r="K135" t="str">
        <f>VLOOKUP(J134,'Names with Seat Code'!A:E,4,FALSE)</f>
        <v/>
      </c>
      <c r="L135" s="1" t="str">
        <f>VLOOKUP(J135,'Names with Seat Code'!A:F,6,FALSE)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Keaveney</v>
      </c>
      <c r="I136" s="1" t="str">
        <f>VLOOKUP(J136,'Names with Seat Code'!A:E,3,FALSE)</f>
        <v>Brady</v>
      </c>
      <c r="J136">
        <v>123</v>
      </c>
      <c r="K136" t="str">
        <f>VLOOKUP(J135,'Names with Seat Code'!A:E,4,FALSE)</f>
        <v/>
      </c>
      <c r="L136" s="1" t="str">
        <f>VLOOKUP(J136,'Names with Seat Code'!A:F,6,FALSE)</f>
        <v>Key van e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Kenton</v>
      </c>
      <c r="I137" s="1" t="str">
        <f>VLOOKUP(J137,'Names with Seat Code'!A:E,3,FALSE)</f>
        <v>Hannah</v>
      </c>
      <c r="J137">
        <v>124</v>
      </c>
      <c r="K137" t="str">
        <f>VLOOKUP(J136,'Names with Seat Code'!A:E,4,FALSE)</f>
        <v/>
      </c>
      <c r="L137" s="1" t="str">
        <f>VLOOKUP(J137,'Names with Seat Code'!A:F,6,FALSE)</f>
        <v xml:space="preserve">Ken-tin 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Kiley</v>
      </c>
      <c r="I138" s="2" t="str">
        <f>VLOOKUP(J138,'Names with Seat Code'!A:E,3,FALSE)</f>
        <v>Aiden</v>
      </c>
      <c r="J138">
        <v>125</v>
      </c>
      <c r="K138" t="str">
        <f>VLOOKUP(J137,'Names with Seat Code'!A:E,4,FALSE)</f>
        <v/>
      </c>
      <c r="L138" s="1" t="str">
        <f>VLOOKUP(J138,'Names with Seat Code'!A:F,6,FALSE)</f>
        <v>Aiden Liley</v>
      </c>
    </row>
    <row r="139" spans="1:12" ht="19.5" thickTop="1" thickBot="1" x14ac:dyDescent="0.3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King</v>
      </c>
      <c r="I139" s="1" t="str">
        <f>VLOOKUP(J139,'Names with Seat Code'!A:E,3,FALSE)</f>
        <v>Clinton</v>
      </c>
      <c r="J139">
        <v>126</v>
      </c>
      <c r="K139" s="3" t="str">
        <f>VLOOKUP(J138,'Names with Seat Code'!A:E,4,FALSE)</f>
        <v/>
      </c>
      <c r="L139" s="1">
        <f>VLOOKUP(J139,'Names with Seat Code'!A:F,6,FALSE)</f>
        <v>0</v>
      </c>
    </row>
    <row r="140" spans="1:12" ht="18.75" thickTop="1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Koster</v>
      </c>
      <c r="I140" s="1" t="str">
        <f>VLOOKUP(J140,'Names with Seat Code'!A:E,3,FALSE)</f>
        <v>Kyle</v>
      </c>
      <c r="J140">
        <v>127</v>
      </c>
      <c r="K140" t="str">
        <f>VLOOKUP(J139,'Names with Seat Code'!A:E,4,FALSE)</f>
        <v/>
      </c>
      <c r="L140" s="1">
        <f>VLOOKUP(J140,'Names with Seat Code'!A:F,6,FALSE)</f>
        <v>0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Lalicata</v>
      </c>
      <c r="I141" s="1" t="str">
        <f>VLOOKUP(J141,'Names with Seat Code'!A:E,3,FALSE)</f>
        <v>Enzo</v>
      </c>
      <c r="J141">
        <v>128</v>
      </c>
      <c r="K141" t="str">
        <f>VLOOKUP(J140,'Names with Seat Code'!A:E,4,FALSE)</f>
        <v/>
      </c>
      <c r="L141" s="1" t="str">
        <f>VLOOKUP(J141,'Names with Seat Code'!A:F,6,FALSE)</f>
        <v>Enzo George Lahlicatah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Matthew</v>
      </c>
      <c r="J142">
        <v>129</v>
      </c>
      <c r="K142" t="str">
        <f>VLOOKUP(J141,'Names with Seat Code'!A:E,4,FALSE)</f>
        <v>George</v>
      </c>
      <c r="L142" s="1" t="str">
        <f>VLOOKUP(J142,'Names with Seat Code'!A:F,6,FALSE)</f>
        <v>Matthew La-Ree-No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Laurino</v>
      </c>
      <c r="I143" s="1" t="str">
        <f>VLOOKUP(J143,'Names with Seat Code'!A:E,3,FALSE)</f>
        <v>Jonathan</v>
      </c>
      <c r="J143">
        <v>130</v>
      </c>
      <c r="K143" t="str">
        <f>VLOOKUP(J142,'Names with Seat Code'!A:E,4,FALSE)</f>
        <v/>
      </c>
      <c r="L143" s="1">
        <f>VLOOKUP(J143,'Names with Seat Code'!A:F,6,FALSE)</f>
        <v>0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Layne</v>
      </c>
      <c r="I144" s="1" t="str">
        <f>VLOOKUP(J144,'Names with Seat Code'!A:E,3,FALSE)</f>
        <v>Asad</v>
      </c>
      <c r="J144">
        <v>131</v>
      </c>
      <c r="K144" t="str">
        <f>VLOOKUP(J143,'Names with Seat Code'!A:E,4,FALSE)</f>
        <v/>
      </c>
      <c r="L144" s="1" t="str">
        <f>VLOOKUP(J144,'Names with Seat Code'!A:F,6,FALSE)</f>
        <v>Uh-Sod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Jonathan</v>
      </c>
      <c r="J145">
        <v>132</v>
      </c>
      <c r="K145" t="str">
        <f>VLOOKUP(J144,'Names with Seat Code'!A:E,4,FALSE)</f>
        <v/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Lee</v>
      </c>
      <c r="I146" s="1" t="str">
        <f>VLOOKUP(J146,'Names with Seat Code'!A:E,3,FALSE)</f>
        <v>Austin</v>
      </c>
      <c r="J146" s="3">
        <v>133</v>
      </c>
      <c r="K146" t="str">
        <f>VLOOKUP(J145,'Names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Lethin</v>
      </c>
      <c r="I147" s="1" t="str">
        <f>VLOOKUP(J147,'Names with Seat Code'!A:E,3,FALSE)</f>
        <v>Desmond</v>
      </c>
      <c r="J147">
        <v>134</v>
      </c>
      <c r="K147" t="str">
        <f>VLOOKUP(J146,'Names with Seat Code'!A:E,4,FALSE)</f>
        <v>James</v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Lewis</v>
      </c>
      <c r="I148" s="1" t="str">
        <f>VLOOKUP(J148,'Names with Seat Code'!A:E,3,FALSE)</f>
        <v>Katie</v>
      </c>
      <c r="J148">
        <v>135</v>
      </c>
      <c r="K148" t="str">
        <f>VLOOKUP(J147,'Names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Lightbody</v>
      </c>
      <c r="I149" s="1" t="str">
        <f>VLOOKUP(J149,'Names with Seat Code'!A:E,3,FALSE)</f>
        <v>Isabelle</v>
      </c>
      <c r="J149">
        <v>136</v>
      </c>
      <c r="K149" t="str">
        <f>VLOOKUP(J148,'Names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Lin</v>
      </c>
      <c r="I150" s="2" t="str">
        <f>VLOOKUP(J150,'Names with Seat Code'!A:E,3,FALSE)</f>
        <v>Steven</v>
      </c>
      <c r="J150">
        <v>137</v>
      </c>
      <c r="K150" t="str">
        <f>VLOOKUP(J149,'Names with Seat Code'!A:E,4,FALSE)</f>
        <v/>
      </c>
      <c r="L150" s="1">
        <f>VLOOKUP(J150,'Names with Seat Code'!A:F,6,FALSE)</f>
        <v>0</v>
      </c>
    </row>
    <row r="151" spans="1:12" ht="19.5" thickTop="1" thickBot="1" x14ac:dyDescent="0.3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Lizotte</v>
      </c>
      <c r="I151" s="1" t="str">
        <f>VLOOKUP(J151,'Names with Seat Code'!A:E,3,FALSE)</f>
        <v>Zackary</v>
      </c>
      <c r="J151">
        <v>138</v>
      </c>
      <c r="K151" s="3" t="str">
        <f>VLOOKUP(J150,'Names with Seat Code'!A:E,4,FALSE)</f>
        <v/>
      </c>
      <c r="L151" s="1" t="str">
        <f>VLOOKUP(J151,'Names with Seat Code'!A:F,6,FALSE)</f>
        <v>Liz-ought</v>
      </c>
    </row>
    <row r="152" spans="1:12" ht="18.75" thickTop="1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Lusk</v>
      </c>
      <c r="I152" s="1" t="str">
        <f>VLOOKUP(J152,'Names with Seat Code'!A:E,3,FALSE)</f>
        <v>Isla</v>
      </c>
      <c r="J152">
        <v>139</v>
      </c>
      <c r="K152" t="str">
        <f>VLOOKUP(J151,'Names with Seat Code'!A:E,4,FALSE)</f>
        <v/>
      </c>
      <c r="L152" s="1" t="str">
        <f>VLOOKUP(J152,'Names with Seat Code'!A:F,6,FALSE)</f>
        <v>eye-la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Madden</v>
      </c>
      <c r="I153" s="1" t="str">
        <f>VLOOKUP(J153,'Names with Seat Code'!A:E,3,FALSE)</f>
        <v>Lilyana</v>
      </c>
      <c r="J153">
        <v>140</v>
      </c>
      <c r="K153" t="str">
        <f>VLOOKUP(J152,'Names with Seat Code'!A:E,4,FALSE)</f>
        <v/>
      </c>
      <c r="L153" s="1">
        <f>VLOOKUP(J153,'Names with Seat Code'!A:F,6,FALSE)</f>
        <v>0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Rosalia</v>
      </c>
      <c r="J154">
        <v>141</v>
      </c>
      <c r="K154" t="str">
        <f>VLOOKUP(J153,'Names with Seat Code'!A:E,4,FALSE)</f>
        <v/>
      </c>
      <c r="L154" s="1" t="str">
        <f>VLOOKUP(J154,'Names with Seat Code'!A:F,6,FALSE)</f>
        <v>Rose uh Leah - Mag An Zee Knee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Maganzini</v>
      </c>
      <c r="I155" s="1" t="str">
        <f>VLOOKUP(J155,'Names with Seat Code'!A:E,3,FALSE)</f>
        <v>Trent</v>
      </c>
      <c r="J155">
        <v>142</v>
      </c>
      <c r="K155" t="str">
        <f>VLOOKUP(J154,'Names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Mahoney</v>
      </c>
      <c r="I156" s="1" t="str">
        <f>VLOOKUP(J156,'Names with Seat Code'!A:E,3,FALSE)</f>
        <v>Emma</v>
      </c>
      <c r="J156">
        <v>143</v>
      </c>
      <c r="K156" t="str">
        <f>VLOOKUP(J155,'Names with Seat Code'!A:E,4,FALSE)</f>
        <v>Joseph</v>
      </c>
      <c r="L156" s="1">
        <f>VLOOKUP(J156,'Names with Seat Code'!A:F,6,FALSE)</f>
        <v>0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Maness</v>
      </c>
      <c r="I157" s="1" t="str">
        <f>VLOOKUP(J157,'Names with Seat Code'!A:E,3,FALSE)</f>
        <v>Charles</v>
      </c>
      <c r="J157">
        <v>144</v>
      </c>
      <c r="K157" t="str">
        <f>VLOOKUP(J156,'Names with Seat Code'!A:E,4,FALSE)</f>
        <v/>
      </c>
      <c r="L157" s="1" t="str">
        <f>VLOOKUP(J157,'Names with Seat Code'!A:F,6,FALSE)</f>
        <v>May-ness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Manfredi</v>
      </c>
      <c r="I158" s="1" t="str">
        <f>VLOOKUP(J158,'Names with Seat Code'!A:E,3,FALSE)</f>
        <v>Evan</v>
      </c>
      <c r="J158" s="3">
        <v>145</v>
      </c>
      <c r="K158" t="str">
        <f>VLOOKUP(J157,'Names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Manning</v>
      </c>
      <c r="I159" s="1" t="str">
        <f>VLOOKUP(J159,'Names with Seat Code'!A:E,3,FALSE)</f>
        <v>Syler</v>
      </c>
      <c r="J159">
        <v>146</v>
      </c>
      <c r="K159" t="str">
        <f>VLOOKUP(J158,'Names with Seat Code'!A:E,4,FALSE)</f>
        <v/>
      </c>
      <c r="L159" s="1">
        <f>VLOOKUP(J159,'Names with Seat Code'!A:F,6,FALSE)</f>
        <v>0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Marchlik</v>
      </c>
      <c r="I160" s="1" t="str">
        <f>VLOOKUP(J160,'Names with Seat Code'!A:E,3,FALSE)</f>
        <v>Tyler</v>
      </c>
      <c r="J160">
        <v>147</v>
      </c>
      <c r="K160" t="str">
        <f>VLOOKUP(J159,'Names with Seat Code'!A:E,4,FALSE)</f>
        <v/>
      </c>
      <c r="L160" s="1" t="str">
        <f>VLOOKUP(J160,'Names with Seat Code'!A:F,6,FALSE)</f>
        <v>Tyler Marchlik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 t="e">
        <f>VLOOKUP(J161,'Names with Seat Code'!A:I,9,FALSE)</f>
        <v>#N/A</v>
      </c>
      <c r="H161" s="1" t="e">
        <f>VLOOKUP(J161,'Names with Seat Code'!A:E,5,FALSE)</f>
        <v>#N/A</v>
      </c>
      <c r="I161" s="1" t="e">
        <f>VLOOKUP(J161,'Names with Seat Code'!A:E,3,FALSE)</f>
        <v>#N/A</v>
      </c>
      <c r="J161">
        <v>148</v>
      </c>
      <c r="K161" t="str">
        <f>VLOOKUP(J160,'Names with Seat Code'!A:E,4,FALSE)</f>
        <v/>
      </c>
      <c r="L161" s="1" t="e">
        <f>VLOOKUP(J161,'Names with Seat Code'!A:F,6,FALSE)</f>
        <v>#N/A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Mathews</v>
      </c>
      <c r="I162" s="2" t="str">
        <f>VLOOKUP(J162,'Names with Seat Code'!A:E,3,FALSE)</f>
        <v>Addyson</v>
      </c>
      <c r="J162">
        <v>149</v>
      </c>
      <c r="K162" t="e">
        <f>VLOOKUP(J161,'Names with Seat Code'!A:E,4,FALSE)</f>
        <v>#N/A</v>
      </c>
      <c r="L162" s="1">
        <f>VLOOKUP(J162,'Names with Seat Code'!A:F,6,FALSE)</f>
        <v>0</v>
      </c>
    </row>
    <row r="163" spans="1:12" ht="19.5" thickTop="1" thickBot="1" x14ac:dyDescent="0.3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May</v>
      </c>
      <c r="I163" s="1" t="str">
        <f>VLOOKUP(J163,'Names with Seat Code'!A:E,3,FALSE)</f>
        <v>Charlie</v>
      </c>
      <c r="J163">
        <v>150</v>
      </c>
      <c r="K163" s="3" t="str">
        <f>VLOOKUP(J162,'Names with Seat Code'!A:E,4,FALSE)</f>
        <v>Collette</v>
      </c>
      <c r="L163" s="1">
        <f>VLOOKUP(J163,'Names with Seat Code'!A:F,6,FALSE)</f>
        <v>0</v>
      </c>
    </row>
    <row r="164" spans="1:12" ht="18.75" thickTop="1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McGonagle</v>
      </c>
      <c r="I164" s="1" t="str">
        <f>VLOOKUP(J164,'Names with Seat Code'!A:E,3,FALSE)</f>
        <v>Caleb</v>
      </c>
      <c r="J164">
        <v>151</v>
      </c>
      <c r="K164" t="str">
        <f>VLOOKUP(J163,'Names with Seat Code'!A:E,4,FALSE)</f>
        <v/>
      </c>
      <c r="L164" s="1">
        <f>VLOOKUP(J164,'Names with Seat Code'!A:F,6,FALSE)</f>
        <v>0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McGrath</v>
      </c>
      <c r="I165" s="1" t="str">
        <f>VLOOKUP(J165,'Names with Seat Code'!A:E,3,FALSE)</f>
        <v>Makenna</v>
      </c>
      <c r="J165">
        <v>152</v>
      </c>
      <c r="K165" t="str">
        <f>VLOOKUP(J164,'Names with Seat Code'!A:E,4,FALSE)</f>
        <v/>
      </c>
      <c r="L165" s="1">
        <f>VLOOKUP(J165,'Names with Seat Code'!A:F,6,FALSE)</f>
        <v>0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McLaughlin-Shostak</v>
      </c>
      <c r="I166" s="1" t="str">
        <f>VLOOKUP(J166,'Names with Seat Code'!A:E,3,FALSE)</f>
        <v>Zoe</v>
      </c>
      <c r="J166">
        <v>153</v>
      </c>
      <c r="K166" t="str">
        <f>VLOOKUP(J165,'Names with Seat Code'!A:E,4,FALSE)</f>
        <v/>
      </c>
      <c r="L166" s="1" t="str">
        <f>VLOOKUP(J166,'Names with Seat Code'!A:F,6,FALSE)</f>
        <v>Zo-Ee Mick-Glock-Linn Show-Stack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McMenimen</v>
      </c>
      <c r="I167" s="1" t="str">
        <f>VLOOKUP(J167,'Names with Seat Code'!A:E,3,FALSE)</f>
        <v>Ella</v>
      </c>
      <c r="J167">
        <v>154</v>
      </c>
      <c r="K167" t="str">
        <f>VLOOKUP(J166,'Names with Seat Code'!A:E,4,FALSE)</f>
        <v/>
      </c>
      <c r="L167" s="1" t="str">
        <f>VLOOKUP(J167,'Names with Seat Code'!A:F,6,FALSE)</f>
        <v xml:space="preserve">mick - men - o - men 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Melly</v>
      </c>
      <c r="I168" s="1" t="str">
        <f>VLOOKUP(J168,'Names with Seat Code'!A:E,3,FALSE)</f>
        <v>Jack</v>
      </c>
      <c r="J168">
        <v>155</v>
      </c>
      <c r="K168" t="str">
        <f>VLOOKUP(J167,'Names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Merkle</v>
      </c>
      <c r="I169" s="1" t="str">
        <f>VLOOKUP(J169,'Names with Seat Code'!A:E,3,FALSE)</f>
        <v>Alex</v>
      </c>
      <c r="J169">
        <v>156</v>
      </c>
      <c r="K169" t="str">
        <f>VLOOKUP(J168,'Names with Seat Code'!A:E,4,FALSE)</f>
        <v/>
      </c>
      <c r="L169" s="1">
        <f>VLOOKUP(J169,'Names with Seat Code'!A:F,6,FALSE)</f>
        <v>0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Merkle</v>
      </c>
      <c r="I170" s="1" t="str">
        <f>VLOOKUP(J170,'Names with Seat Code'!A:E,3,FALSE)</f>
        <v>Will</v>
      </c>
      <c r="J170" s="3">
        <v>157</v>
      </c>
      <c r="K170" t="str">
        <f>VLOOKUP(J169,'Names with Seat Code'!A:E,4,FALSE)</f>
        <v/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Miceli</v>
      </c>
      <c r="I171" s="1" t="str">
        <f>VLOOKUP(J171,'Names with Seat Code'!A:E,3,FALSE)</f>
        <v>Gianna</v>
      </c>
      <c r="J171">
        <v>158</v>
      </c>
      <c r="K171" t="str">
        <f>VLOOKUP(J170,'Names with Seat Code'!A:E,4,FALSE)</f>
        <v/>
      </c>
      <c r="L171" s="1" t="str">
        <f>VLOOKUP(J171,'Names with Seat Code'!A:F,6,FALSE)</f>
        <v>Mi-tch-elli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Mirville</v>
      </c>
      <c r="I172" s="1" t="str">
        <f>VLOOKUP(J172,'Names with Seat Code'!A:E,3,FALSE)</f>
        <v>Karmani</v>
      </c>
      <c r="J172">
        <v>159</v>
      </c>
      <c r="K172" t="str">
        <f>VLOOKUP(J171,'Names with Seat Code'!A:E,4,FALSE)</f>
        <v/>
      </c>
      <c r="L172" s="1">
        <f>VLOOKUP(J172,'Names with Seat Code'!A:F,6,FALSE)</f>
        <v>0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Moller</v>
      </c>
      <c r="I173" s="1" t="str">
        <f>VLOOKUP(J173,'Names with Seat Code'!A:E,3,FALSE)</f>
        <v>Marcus</v>
      </c>
      <c r="J173">
        <v>160</v>
      </c>
      <c r="K173" t="str">
        <f>VLOOKUP(J172,'Names with Seat Code'!A:E,4,FALSE)</f>
        <v>Isaiah</v>
      </c>
      <c r="L173" s="1" t="str">
        <f>VLOOKUP(J173,'Names with Seat Code'!A:F,6,FALSE)</f>
        <v>Mole - er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Moreira</v>
      </c>
      <c r="I174" s="2" t="str">
        <f>VLOOKUP(J174,'Names with Seat Code'!A:E,3,FALSE)</f>
        <v>Evangeline</v>
      </c>
      <c r="J174">
        <v>161</v>
      </c>
      <c r="K174" t="str">
        <f>VLOOKUP(J173,'Names with Seat Code'!A:E,4,FALSE)</f>
        <v/>
      </c>
      <c r="L174" s="1" t="str">
        <f>VLOOKUP(J174,'Names with Seat Code'!A:F,6,FALSE)</f>
        <v>Eh-van-jeh-lean More-air-ah</v>
      </c>
    </row>
    <row r="175" spans="1:12" ht="19.5" thickTop="1" thickBot="1" x14ac:dyDescent="0.3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</v>
      </c>
      <c r="I175" s="1" t="str">
        <f>VLOOKUP(J175,'Names with Seat Code'!A:E,3,FALSE)</f>
        <v>Bobby</v>
      </c>
      <c r="J175">
        <v>162</v>
      </c>
      <c r="K175" s="3" t="str">
        <f>VLOOKUP(J174,'Names with Seat Code'!A:E,4,FALSE)</f>
        <v/>
      </c>
      <c r="L175" s="1">
        <f>VLOOKUP(J175,'Names with Seat Code'!A:F,6,FALSE)</f>
        <v>0</v>
      </c>
    </row>
    <row r="176" spans="1:12" ht="18.75" thickTop="1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Morrison</v>
      </c>
      <c r="I176" s="1" t="str">
        <f>VLOOKUP(J176,'Names with Seat Code'!A:E,3,FALSE)</f>
        <v>Kaiden</v>
      </c>
      <c r="J176">
        <v>163</v>
      </c>
      <c r="K176" t="str">
        <f>VLOOKUP(J175,'Names with Seat Code'!A:E,4,FALSE)</f>
        <v/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Mughal</v>
      </c>
      <c r="I177" s="1" t="str">
        <f>VLOOKUP(J177,'Names with Seat Code'!A:E,3,FALSE)</f>
        <v>Abdul</v>
      </c>
      <c r="J177">
        <v>164</v>
      </c>
      <c r="K177" t="str">
        <f>VLOOKUP(J176,'Names with Seat Code'!A:E,4,FALSE)</f>
        <v/>
      </c>
      <c r="L177" s="1">
        <f>VLOOKUP(J177,'Names with Seat Code'!A:F,6,FALSE)</f>
        <v>0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Muller</v>
      </c>
      <c r="I178" s="1" t="str">
        <f>VLOOKUP(J178,'Names with Seat Code'!A:E,3,FALSE)</f>
        <v>William</v>
      </c>
      <c r="J178">
        <v>165</v>
      </c>
      <c r="K178" t="str">
        <f>VLOOKUP(J177,'Names with Seat Code'!A:E,4,FALSE)</f>
        <v>Raheem</v>
      </c>
      <c r="L178" s="1" t="str">
        <f>VLOOKUP(J178,'Names with Seat Code'!A:F,6,FALSE)</f>
        <v>William Mull-er (rhymes with color)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Murphy</v>
      </c>
      <c r="I179" s="1" t="str">
        <f>VLOOKUP(J179,'Names with Seat Code'!A:E,3,FALSE)</f>
        <v>Jack</v>
      </c>
      <c r="J179">
        <v>166</v>
      </c>
      <c r="K179" t="str">
        <f>VLOOKUP(J178,'Names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Nelson</v>
      </c>
      <c r="I180" s="1" t="str">
        <f>VLOOKUP(J180,'Names with Seat Code'!A:E,3,FALSE)</f>
        <v>Abigail</v>
      </c>
      <c r="J180">
        <v>167</v>
      </c>
      <c r="K180" t="str">
        <f>VLOOKUP(J179,'Names with Seat Code'!A:E,4,FALSE)</f>
        <v/>
      </c>
      <c r="L180" s="1">
        <f>VLOOKUP(J180,'Names with Seat Code'!A:F,6,FALSE)</f>
        <v>0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Nguyen</v>
      </c>
      <c r="I181" s="1" t="str">
        <f>VLOOKUP(J181,'Names with Seat Code'!A:E,3,FALSE)</f>
        <v>Patience</v>
      </c>
      <c r="J181">
        <v>168</v>
      </c>
      <c r="K181" t="str">
        <f>VLOOKUP(J180,'Names with Seat Code'!A:E,4,FALSE)</f>
        <v/>
      </c>
      <c r="L181" s="1" t="str">
        <f>VLOOKUP(J181,'Names with Seat Code'!A:F,6,FALSE)</f>
        <v xml:space="preserve">Patience Nuh-win 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Nolty</v>
      </c>
      <c r="I182" s="1" t="str">
        <f>VLOOKUP(J182,'Names with Seat Code'!A:E,3,FALSE)</f>
        <v>Charlotte</v>
      </c>
      <c r="J182" s="3">
        <v>169</v>
      </c>
      <c r="K182" t="str">
        <f>VLOOKUP(J181,'Names with Seat Code'!A:E,4,FALSE)</f>
        <v/>
      </c>
      <c r="L182" s="1">
        <f>VLOOKUP(J182,'Names with Seat Code'!A:F,6,FALSE)</f>
        <v>0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Norris</v>
      </c>
      <c r="I183" s="1" t="str">
        <f>VLOOKUP(J183,'Names with Seat Code'!A:E,3,FALSE)</f>
        <v>Mackenzie</v>
      </c>
      <c r="J183">
        <v>170</v>
      </c>
      <c r="K183" t="str">
        <f>VLOOKUP(J182,'Names with Seat Code'!A:E,4,FALSE)</f>
        <v/>
      </c>
      <c r="L183" s="1" t="str">
        <f>VLOOKUP(J183,'Names with Seat Code'!A:F,6,FALSE)</f>
        <v>Ma - ken - zee  Nor - is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Ohlson</v>
      </c>
      <c r="I184" s="1" t="str">
        <f>VLOOKUP(J184,'Names with Seat Code'!A:E,3,FALSE)</f>
        <v>Michelle</v>
      </c>
      <c r="J184">
        <v>171</v>
      </c>
      <c r="K184" t="str">
        <f>VLOOKUP(J183,'Names with Seat Code'!A:E,4,FALSE)</f>
        <v/>
      </c>
      <c r="L184" s="1">
        <f>VLOOKUP(J184,'Names with Seat Code'!A:F,6,FALSE)</f>
        <v>0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Ortins</v>
      </c>
      <c r="I185" s="1" t="str">
        <f>VLOOKUP(J185,'Names with Seat Code'!A:E,3,FALSE)</f>
        <v>Natalie</v>
      </c>
      <c r="J185">
        <v>172</v>
      </c>
      <c r="K185" t="str">
        <f>VLOOKUP(J184,'Names with Seat Code'!A:E,4,FALSE)</f>
        <v/>
      </c>
      <c r="L185" s="1" t="str">
        <f>VLOOKUP(J185,'Names with Seat Code'!A:F,6,FALSE)</f>
        <v>Please don't say Orteens; It is OrtINs and the i is like the i in it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Ortiz</v>
      </c>
      <c r="I186" s="2" t="str">
        <f>VLOOKUP(J186,'Names with Seat Code'!A:E,3,FALSE)</f>
        <v>Franklin</v>
      </c>
      <c r="J186">
        <v>173</v>
      </c>
      <c r="K186" t="str">
        <f>VLOOKUP(J185,'Names with Seat Code'!A:E,4,FALSE)</f>
        <v/>
      </c>
      <c r="L186" s="1" t="str">
        <f>VLOOKUP(J186,'Names with Seat Code'!A:F,6,FALSE)</f>
        <v>Franklin Ortiz</v>
      </c>
    </row>
    <row r="187" spans="1:12" ht="19.5" thickTop="1" thickBot="1" x14ac:dyDescent="0.3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Parent</v>
      </c>
      <c r="I187" s="1" t="str">
        <f>VLOOKUP(J187,'Names with Seat Code'!A:E,3,FALSE)</f>
        <v>Isabelle</v>
      </c>
      <c r="J187">
        <v>174</v>
      </c>
      <c r="K187" s="3" t="str">
        <f>VLOOKUP(J186,'Names with Seat Code'!A:E,4,FALSE)</f>
        <v/>
      </c>
      <c r="L187" s="1">
        <f>VLOOKUP(J187,'Names with Seat Code'!A:F,6,FALSE)</f>
        <v>0</v>
      </c>
    </row>
    <row r="188" spans="1:12" ht="18.75" thickTop="1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Patel</v>
      </c>
      <c r="I188" s="1" t="str">
        <f>VLOOKUP(J188,'Names with Seat Code'!A:E,3,FALSE)</f>
        <v>Saloni</v>
      </c>
      <c r="J188">
        <v>175</v>
      </c>
      <c r="K188" t="str">
        <f>VLOOKUP(J187,'Names with Seat Code'!A:E,4,FALSE)</f>
        <v>Grace</v>
      </c>
      <c r="L188" s="1" t="str">
        <f>VLOOKUP(J188,'Names with Seat Code'!A:F,6,FALSE)</f>
        <v>Sa-low-knee Pa-tel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Peat</v>
      </c>
      <c r="I189" s="1" t="str">
        <f>VLOOKUP(J189,'Names with Seat Code'!A:E,3,FALSE)</f>
        <v>Lerika</v>
      </c>
      <c r="J189">
        <v>176</v>
      </c>
      <c r="K189" t="str">
        <f>VLOOKUP(J188,'Names with Seat Code'!A:E,4,FALSE)</f>
        <v/>
      </c>
      <c r="L189" s="1">
        <f>VLOOKUP(J189,'Names with Seat Code'!A:F,6,FALSE)</f>
        <v>0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Petrin</v>
      </c>
      <c r="I190" s="1" t="str">
        <f>VLOOKUP(J190,'Names with Seat Code'!A:E,3,FALSE)</f>
        <v>Jacob</v>
      </c>
      <c r="J190">
        <v>177</v>
      </c>
      <c r="K190" t="str">
        <f>VLOOKUP(J189,'Names with Seat Code'!A:E,4,FALSE)</f>
        <v/>
      </c>
      <c r="L190" s="1" t="str">
        <f>VLOOKUP(J190,'Names with Seat Code'!A:F,6,FALSE)</f>
        <v>pee-trin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Picard</v>
      </c>
      <c r="I191" s="1" t="str">
        <f>VLOOKUP(J191,'Names with Seat Code'!A:E,3,FALSE)</f>
        <v>Wyatt</v>
      </c>
      <c r="J191">
        <v>178</v>
      </c>
      <c r="K191" t="str">
        <f>VLOOKUP(J190,'Names with Seat Code'!A:E,4,FALSE)</f>
        <v/>
      </c>
      <c r="L191" s="1">
        <f>VLOOKUP(J191,'Names with Seat Code'!A:F,6,FALSE)</f>
        <v>0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Pomerantz</v>
      </c>
      <c r="I192" s="1" t="str">
        <f>VLOOKUP(J192,'Names with Seat Code'!A:E,3,FALSE)</f>
        <v>Samantha</v>
      </c>
      <c r="J192">
        <v>179</v>
      </c>
      <c r="K192" t="str">
        <f>VLOOKUP(J191,'Names with Seat Code'!A:E,4,FALSE)</f>
        <v/>
      </c>
      <c r="L192" s="1" t="str">
        <f>VLOOKUP(J192,'Names with Seat Code'!A:F,6,FALSE)</f>
        <v>Pom er antz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Poudyal</v>
      </c>
      <c r="I193" s="1" t="str">
        <f>VLOOKUP(J193,'Names with Seat Code'!A:E,3,FALSE)</f>
        <v>Shivani</v>
      </c>
      <c r="J193">
        <v>180</v>
      </c>
      <c r="K193" t="str">
        <f>VLOOKUP(J192,'Names with Seat Code'!A:E,4,FALSE)</f>
        <v/>
      </c>
      <c r="L193" s="1" t="str">
        <f>VLOOKUP(J193,'Names with Seat Code'!A:F,6,FALSE)</f>
        <v>shiv-ah-knee POW-Dell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Pulpi</v>
      </c>
      <c r="I194" s="1" t="str">
        <f>VLOOKUP(J194,'Names with Seat Code'!A:E,3,FALSE)</f>
        <v>Ryan</v>
      </c>
      <c r="J194" s="3">
        <v>181</v>
      </c>
      <c r="K194" t="str">
        <f>VLOOKUP(J193,'Names with Seat Code'!A:E,4,FALSE)</f>
        <v/>
      </c>
      <c r="L194" s="1" t="str">
        <f>VLOOKUP(J194,'Names with Seat Code'!A:F,6,FALSE)</f>
        <v>Ryan pulpi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Rai</v>
      </c>
      <c r="I195" s="1" t="str">
        <f>VLOOKUP(J195,'Names with Seat Code'!A:E,3,FALSE)</f>
        <v>Jessica</v>
      </c>
      <c r="J195">
        <v>182</v>
      </c>
      <c r="K195" t="str">
        <f>VLOOKUP(J194,'Names with Seat Code'!A:E,4,FALSE)</f>
        <v/>
      </c>
      <c r="L195" s="1" t="str">
        <f>VLOOKUP(J195,'Names with Seat Code'!A:F,6,FALSE)</f>
        <v>Jessica r-eye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Ravens</v>
      </c>
      <c r="I196" s="1" t="str">
        <f>VLOOKUP(J196,'Names with Seat Code'!A:E,3,FALSE)</f>
        <v>Ted</v>
      </c>
      <c r="J196">
        <v>183</v>
      </c>
      <c r="K196" t="str">
        <f>VLOOKUP(J195,'Names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Reis</v>
      </c>
      <c r="I197" s="1" t="str">
        <f>VLOOKUP(J197,'Names with Seat Code'!A:E,3,FALSE)</f>
        <v>Lucas</v>
      </c>
      <c r="J197">
        <v>184</v>
      </c>
      <c r="K197" t="str">
        <f>VLOOKUP(J196,'Names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Renda</v>
      </c>
      <c r="I198" s="2" t="str">
        <f>VLOOKUP(J198,'Names with Seat Code'!A:E,3,FALSE)</f>
        <v>Olivia</v>
      </c>
      <c r="J198">
        <v>185</v>
      </c>
      <c r="K198" t="str">
        <f>VLOOKUP(J197,'Names with Seat Code'!A:E,4,FALSE)</f>
        <v/>
      </c>
      <c r="L198" s="1">
        <f>VLOOKUP(J198,'Names with Seat Code'!A:F,6,FALSE)</f>
        <v>0</v>
      </c>
    </row>
    <row r="199" spans="1:12" ht="19.5" thickTop="1" thickBot="1" x14ac:dyDescent="0.3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Richter</v>
      </c>
      <c r="I199" s="1" t="str">
        <f>VLOOKUP(J199,'Names with Seat Code'!A:E,3,FALSE)</f>
        <v>Jessica</v>
      </c>
      <c r="J199">
        <v>186</v>
      </c>
      <c r="K199" s="3" t="str">
        <f>VLOOKUP(J198,'Names with Seat Code'!A:E,4,FALSE)</f>
        <v/>
      </c>
      <c r="L199" s="1" t="str">
        <f>VLOOKUP(J199,'Names with Seat Code'!A:F,6,FALSE)</f>
        <v>Rick-ter or /ˈrɪktər/</v>
      </c>
    </row>
    <row r="200" spans="1:12" ht="18.75" thickTop="1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Robichaud</v>
      </c>
      <c r="I200" s="1" t="str">
        <f>VLOOKUP(J200,'Names with Seat Code'!A:E,3,FALSE)</f>
        <v>Charlotte</v>
      </c>
      <c r="J200">
        <v>187</v>
      </c>
      <c r="K200" t="str">
        <f>VLOOKUP(J199,'Names with Seat Code'!A:E,4,FALSE)</f>
        <v/>
      </c>
      <c r="L200" s="1" t="str">
        <f>VLOOKUP(J200,'Names with Seat Code'!A:F,6,FALSE)</f>
        <v>Shar-lit Row-bih-shawd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Robillard</v>
      </c>
      <c r="I201" s="1" t="str">
        <f>VLOOKUP(J201,'Names with Seat Code'!A:E,3,FALSE)</f>
        <v>Derek</v>
      </c>
      <c r="J201">
        <v>188</v>
      </c>
      <c r="K201" t="str">
        <f>VLOOKUP(J200,'Names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Robinson</v>
      </c>
      <c r="I202" s="1" t="str">
        <f>VLOOKUP(J202,'Names with Seat Code'!A:E,3,FALSE)</f>
        <v>Isaac</v>
      </c>
      <c r="J202">
        <v>189</v>
      </c>
      <c r="K202" t="str">
        <f>VLOOKUP(J201,'Names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Rock</v>
      </c>
      <c r="I203" s="1" t="str">
        <f>VLOOKUP(J203,'Names with Seat Code'!A:E,3,FALSE)</f>
        <v>Teresa</v>
      </c>
      <c r="J203">
        <v>190</v>
      </c>
      <c r="K203" t="str">
        <f>VLOOKUP(J202,'Names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Rodrigues</v>
      </c>
      <c r="I204" s="1" t="str">
        <f>VLOOKUP(J204,'Names with Seat Code'!A:E,3,FALSE)</f>
        <v>James</v>
      </c>
      <c r="J204">
        <v>191</v>
      </c>
      <c r="K204" t="str">
        <f>VLOOKUP(J203,'Names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Rogerson</v>
      </c>
      <c r="I205" s="1" t="str">
        <f>VLOOKUP(J205,'Names with Seat Code'!A:E,3,FALSE)</f>
        <v>Luke</v>
      </c>
      <c r="J205">
        <v>192</v>
      </c>
      <c r="K205" t="str">
        <f>VLOOKUP(J204,'Names with Seat Code'!A:E,4,FALSE)</f>
        <v/>
      </c>
      <c r="L205" s="1">
        <f>VLOOKUP(J205,'Names with Seat Code'!A:F,6,FALSE)</f>
        <v>0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Rojas</v>
      </c>
      <c r="I206" s="1" t="str">
        <f>VLOOKUP(J206,'Names with Seat Code'!A:E,3,FALSE)</f>
        <v>Javian</v>
      </c>
      <c r="J206" s="3">
        <v>193</v>
      </c>
      <c r="K206" t="str">
        <f>VLOOKUP(J205,'Names with Seat Code'!A:E,4,FALSE)</f>
        <v/>
      </c>
      <c r="L206" s="1" t="str">
        <f>VLOOKUP(J206,'Names with Seat Code'!A:F,6,FALSE)</f>
        <v>Jay-vi-en Ro-haws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Russo</v>
      </c>
      <c r="I207" s="1" t="str">
        <f>VLOOKUP(J207,'Names with Seat Code'!A:E,3,FALSE)</f>
        <v>Ellie</v>
      </c>
      <c r="J207">
        <v>194</v>
      </c>
      <c r="K207" t="str">
        <f>VLOOKUP(J206,'Names with Seat Code'!A:E,4,FALSE)</f>
        <v/>
      </c>
      <c r="L207" s="1">
        <f>VLOOKUP(J207,'Names with Seat Code'!A:F,6,FALSE)</f>
        <v>0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Ryland</v>
      </c>
      <c r="I208" s="1" t="str">
        <f>VLOOKUP(J208,'Names with Seat Code'!A:E,3,FALSE)</f>
        <v>Rejon</v>
      </c>
      <c r="J208">
        <v>195</v>
      </c>
      <c r="K208" t="str">
        <f>VLOOKUP(J207,'Names with Seat Code'!A:E,4,FALSE)</f>
        <v/>
      </c>
      <c r="L208" s="1" t="str">
        <f>VLOOKUP(J208,'Names with Seat Code'!A:F,6,FALSE)</f>
        <v>ray-john  R-eye-land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Sardinha</v>
      </c>
      <c r="I209" s="1" t="str">
        <f>VLOOKUP(J209,'Names with Seat Code'!A:E,3,FALSE)</f>
        <v>Lorenzo</v>
      </c>
      <c r="J209">
        <v>196</v>
      </c>
      <c r="K209" t="str">
        <f>VLOOKUP(J208,'Names with Seat Code'!A:E,4,FALSE)</f>
        <v/>
      </c>
      <c r="L209" s="1" t="str">
        <f>VLOOKUP(J209,'Names with Seat Code'!A:F,6,FALSE)</f>
        <v>loh-REN-zoh sar-DEEN-yah (the nh sounds like “ny”)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Sarre</v>
      </c>
      <c r="I210" s="2" t="str">
        <f>VLOOKUP(J210,'Names with Seat Code'!A:E,3,FALSE)</f>
        <v>Noah</v>
      </c>
      <c r="J210">
        <v>197</v>
      </c>
      <c r="K210" t="str">
        <f>VLOOKUP(J209,'Names with Seat Code'!A:E,4,FALSE)</f>
        <v/>
      </c>
      <c r="L210" s="1" t="str">
        <f>VLOOKUP(J210,'Names with Seat Code'!A:F,6,FALSE)</f>
        <v>Sarre (rhymes with car)</v>
      </c>
    </row>
    <row r="211" spans="1:12" ht="19.5" thickTop="1" thickBot="1" x14ac:dyDescent="0.3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Savio</v>
      </c>
      <c r="I211" s="1" t="str">
        <f>VLOOKUP(J211,'Names with Seat Code'!A:E,3,FALSE)</f>
        <v>Katherine</v>
      </c>
      <c r="J211">
        <v>198</v>
      </c>
      <c r="K211" s="3" t="str">
        <f>VLOOKUP(J210,'Names with Seat Code'!A:E,4,FALSE)</f>
        <v/>
      </c>
      <c r="L211" s="1">
        <f>VLOOKUP(J211,'Names with Seat Code'!A:F,6,FALSE)</f>
        <v>0</v>
      </c>
    </row>
    <row r="212" spans="1:12" ht="18.75" thickTop="1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Scales</v>
      </c>
      <c r="I212" s="1" t="str">
        <f>VLOOKUP(J212,'Names with Seat Code'!A:E,3,FALSE)</f>
        <v>Megan</v>
      </c>
      <c r="J212">
        <v>199</v>
      </c>
      <c r="K212" t="str">
        <f>VLOOKUP(J211,'Names with Seat Code'!A:E,4,FALSE)</f>
        <v/>
      </c>
      <c r="L212" s="1">
        <f>VLOOKUP(J212,'Names with Seat Code'!A:F,6,FALSE)</f>
        <v>0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Schrager</v>
      </c>
      <c r="I213" s="1" t="str">
        <f>VLOOKUP(J213,'Names with Seat Code'!A:E,3,FALSE)</f>
        <v>Sophie</v>
      </c>
      <c r="J213">
        <v>200</v>
      </c>
      <c r="K213" t="str">
        <f>VLOOKUP(J212,'Names with Seat Code'!A:E,4,FALSE)</f>
        <v/>
      </c>
      <c r="L213" s="1" t="str">
        <f>VLOOKUP(J213,'Names with Seat Code'!A:F,6,FALSE)</f>
        <v>Soh-fee Shray-ger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Schultz</v>
      </c>
      <c r="I214" s="1" t="str">
        <f>VLOOKUP(J214,'Names with Seat Code'!A:E,3,FALSE)</f>
        <v>Rylie</v>
      </c>
      <c r="J214">
        <v>201</v>
      </c>
      <c r="K214" t="str">
        <f>VLOOKUP(J213,'Names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Scully</v>
      </c>
      <c r="I215" s="1" t="str">
        <f>VLOOKUP(J215,'Names with Seat Code'!A:E,3,FALSE)</f>
        <v>Madeline</v>
      </c>
      <c r="J215">
        <v>202</v>
      </c>
      <c r="K215" t="str">
        <f>VLOOKUP(J214,'Names with Seat Code'!A:E,4,FALSE)</f>
        <v/>
      </c>
      <c r="L215" s="1">
        <f>VLOOKUP(J215,'Names with Seat Code'!A:F,6,FALSE)</f>
        <v>0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Selvakumar</v>
      </c>
      <c r="I216" s="1" t="str">
        <f>VLOOKUP(J216,'Names with Seat Code'!A:E,3,FALSE)</f>
        <v>Sachi</v>
      </c>
      <c r="J216">
        <v>203</v>
      </c>
      <c r="K216" t="str">
        <f>VLOOKUP(J215,'Names with Seat Code'!A:E,4,FALSE)</f>
        <v/>
      </c>
      <c r="L216" s="1" t="str">
        <f>VLOOKUP(J216,'Names with Seat Code'!A:F,6,FALSE)</f>
        <v>Sachi (Sa-Chee) Selvakumar (Selva-koomar)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Severance</v>
      </c>
      <c r="I217" s="1" t="str">
        <f>VLOOKUP(J217,'Names with Seat Code'!A:E,3,FALSE)</f>
        <v>Katie</v>
      </c>
      <c r="J217">
        <v>204</v>
      </c>
      <c r="K217" t="str">
        <f>VLOOKUP(J216,'Names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Shanley</v>
      </c>
      <c r="I218" s="1" t="str">
        <f>VLOOKUP(J218,'Names with Seat Code'!A:E,3,FALSE)</f>
        <v>Annabelle</v>
      </c>
      <c r="J218" s="3">
        <v>205</v>
      </c>
      <c r="K218" t="str">
        <f>VLOOKUP(J217,'Names with Seat Code'!A:E,4,FALSE)</f>
        <v/>
      </c>
      <c r="L218" s="1">
        <f>VLOOKUP(J218,'Names with Seat Code'!A:F,6,FALSE)</f>
        <v>0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Shediac</v>
      </c>
      <c r="I219" s="1" t="str">
        <f>VLOOKUP(J219,'Names with Seat Code'!A:E,3,FALSE)</f>
        <v>Emme</v>
      </c>
      <c r="J219">
        <v>206</v>
      </c>
      <c r="K219" t="str">
        <f>VLOOKUP(J218,'Names with Seat Code'!A:E,4,FALSE)</f>
        <v/>
      </c>
      <c r="L219" s="1" t="str">
        <f>VLOOKUP(J219,'Names with Seat Code'!A:F,6,FALSE)</f>
        <v>Em-ee Shed-ee-ack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Shindelman</v>
      </c>
      <c r="I220" s="1" t="str">
        <f>VLOOKUP(J220,'Names with Seat Code'!A:E,3,FALSE)</f>
        <v>Allison</v>
      </c>
      <c r="J220">
        <v>207</v>
      </c>
      <c r="K220" t="str">
        <f>VLOOKUP(J219,'Names with Seat Code'!A:E,4,FALSE)</f>
        <v/>
      </c>
      <c r="L220" s="1">
        <f>VLOOKUP(J220,'Names with Seat Code'!A:F,6,FALSE)</f>
        <v>0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Siciliano</v>
      </c>
      <c r="I221" s="1" t="str">
        <f>VLOOKUP(J221,'Names with Seat Code'!A:E,3,FALSE)</f>
        <v>John</v>
      </c>
      <c r="J221">
        <v>208</v>
      </c>
      <c r="K221" t="str">
        <f>VLOOKUP(J220,'Names with Seat Code'!A:E,4,FALSE)</f>
        <v>Claire</v>
      </c>
      <c r="L221" s="1" t="str">
        <f>VLOOKUP(J221,'Names with Seat Code'!A:F,6,FALSE)</f>
        <v xml:space="preserve">Sih silly ano 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Sinclair</v>
      </c>
      <c r="I222" s="2" t="str">
        <f>VLOOKUP(J222,'Names with Seat Code'!A:E,3,FALSE)</f>
        <v>Owen</v>
      </c>
      <c r="J222">
        <v>209</v>
      </c>
      <c r="K222" t="str">
        <f>VLOOKUP(J221,'Names with Seat Code'!A:E,4,FALSE)</f>
        <v>Paul</v>
      </c>
      <c r="L222" s="1">
        <f>VLOOKUP(J222,'Names with Seat Code'!A:F,6,FALSE)</f>
        <v>0</v>
      </c>
    </row>
    <row r="223" spans="1:12" ht="19.5" thickTop="1" thickBot="1" x14ac:dyDescent="0.3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Skenderian</v>
      </c>
      <c r="I223" s="1" t="str">
        <f>VLOOKUP(J223,'Names with Seat Code'!A:E,3,FALSE)</f>
        <v>Sierra</v>
      </c>
      <c r="J223">
        <v>210</v>
      </c>
      <c r="K223" s="3" t="str">
        <f>VLOOKUP(J222,'Names with Seat Code'!A:E,4,FALSE)</f>
        <v/>
      </c>
      <c r="L223" s="1" t="str">
        <f>VLOOKUP(J223,'Names with Seat Code'!A:F,6,FALSE)</f>
        <v>Skin-dare-eee-n</v>
      </c>
    </row>
    <row r="224" spans="1:12" ht="18.75" thickTop="1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Slinn</v>
      </c>
      <c r="I224" s="1" t="str">
        <f>VLOOKUP(J224,'Names with Seat Code'!A:E,3,FALSE)</f>
        <v>John</v>
      </c>
      <c r="J224">
        <v>211</v>
      </c>
      <c r="K224" t="str">
        <f>VLOOKUP(J223,'Names with Seat Code'!A:E,4,FALSE)</f>
        <v/>
      </c>
      <c r="L224" s="1" t="str">
        <f>VLOOKUP(J224,'Names with Seat Code'!A:F,6,FALSE)</f>
        <v>John Slinn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Smith</v>
      </c>
      <c r="I225" s="1" t="str">
        <f>VLOOKUP(J225,'Names with Seat Code'!A:E,3,FALSE)</f>
        <v>Julia</v>
      </c>
      <c r="J225">
        <v>212</v>
      </c>
      <c r="K225" t="str">
        <f>VLOOKUP(J224,'Names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Snyder</v>
      </c>
      <c r="I226" s="1" t="str">
        <f>VLOOKUP(J226,'Names with Seat Code'!A:E,3,FALSE)</f>
        <v>Noah</v>
      </c>
      <c r="J226">
        <v>213</v>
      </c>
      <c r="K226" t="str">
        <f>VLOOKUP(J225,'Names with Seat Code'!A:E,4,FALSE)</f>
        <v/>
      </c>
      <c r="L226" s="1">
        <f>VLOOKUP(J226,'Names with Seat Code'!A:F,6,FALSE)</f>
        <v>0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Soto</v>
      </c>
      <c r="I227" s="1" t="str">
        <f>VLOOKUP(J227,'Names with Seat Code'!A:E,3,FALSE)</f>
        <v>Aaron</v>
      </c>
      <c r="J227">
        <v>214</v>
      </c>
      <c r="K227" t="str">
        <f>VLOOKUP(J226,'Names with Seat Code'!A:E,4,FALSE)</f>
        <v/>
      </c>
      <c r="L227" s="1" t="str">
        <f>VLOOKUP(J227,'Names with Seat Code'!A:F,6,FALSE)</f>
        <v>For middle name: Sill-ven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Spencer</v>
      </c>
      <c r="I228" s="1" t="str">
        <f>VLOOKUP(J228,'Names with Seat Code'!A:E,3,FALSE)</f>
        <v>Andrew</v>
      </c>
      <c r="J228">
        <v>215</v>
      </c>
      <c r="K228" t="str">
        <f>VLOOKUP(J227,'Names with Seat Code'!A:E,4,FALSE)</f>
        <v>Sylvan</v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Speros</v>
      </c>
      <c r="I229" s="1" t="str">
        <f>VLOOKUP(J229,'Names with Seat Code'!A:E,3,FALSE)</f>
        <v>Elias</v>
      </c>
      <c r="J229">
        <v>216</v>
      </c>
      <c r="K229" t="str">
        <f>VLOOKUP(J228,'Names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Spinazzola</v>
      </c>
      <c r="I230" s="1" t="str">
        <f>VLOOKUP(J230,'Names with Seat Code'!A:E,3,FALSE)</f>
        <v>Ava</v>
      </c>
      <c r="J230" s="3">
        <v>217</v>
      </c>
      <c r="K230" t="str">
        <f>VLOOKUP(J229,'Names with Seat Code'!A:E,4,FALSE)</f>
        <v/>
      </c>
      <c r="L230" s="1">
        <f>VLOOKUP(J230,'Names with Seat Code'!A:F,6,FALSE)</f>
        <v>0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Staffier</v>
      </c>
      <c r="I231" s="1" t="str">
        <f>VLOOKUP(J231,'Names with Seat Code'!A:E,3,FALSE)</f>
        <v>Ava</v>
      </c>
      <c r="J231">
        <v>218</v>
      </c>
      <c r="K231" t="str">
        <f>VLOOKUP(J230,'Names with Seat Code'!A:E,4,FALSE)</f>
        <v/>
      </c>
      <c r="L231" s="1" t="str">
        <f>VLOOKUP(J231,'Names with Seat Code'!A:F,6,FALSE)</f>
        <v>Ay-va Staff-ee-r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Studley</v>
      </c>
      <c r="I232" s="1" t="str">
        <f>VLOOKUP(J232,'Names with Seat Code'!A:E,3,FALSE)</f>
        <v>Charlie</v>
      </c>
      <c r="J232">
        <v>219</v>
      </c>
      <c r="K232" t="str">
        <f>VLOOKUP(J231,'Names with Seat Code'!A:E,4,FALSE)</f>
        <v/>
      </c>
      <c r="L232" s="1">
        <f>VLOOKUP(J232,'Names with Seat Code'!A:F,6,FALSE)</f>
        <v>0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Sullivan</v>
      </c>
      <c r="I233" s="1" t="str">
        <f>VLOOKUP(J233,'Names with Seat Code'!A:E,3,FALSE)</f>
        <v>Nolan</v>
      </c>
      <c r="J233">
        <v>220</v>
      </c>
      <c r="K233" t="str">
        <f>VLOOKUP(J232,'Names with Seat Code'!A:E,4,FALSE)</f>
        <v/>
      </c>
      <c r="L233" s="1" t="str">
        <f>VLOOKUP(J233,'Names with Seat Code'!A:F,6,FALSE)</f>
        <v>Nolan Sullivan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Sweat</v>
      </c>
      <c r="I234" s="2" t="str">
        <f>VLOOKUP(J234,'Names with Seat Code'!A:E,3,FALSE)</f>
        <v>Sabrina</v>
      </c>
      <c r="J234">
        <v>221</v>
      </c>
      <c r="K234" t="str">
        <f>VLOOKUP(J233,'Names with Seat Code'!A:E,4,FALSE)</f>
        <v/>
      </c>
      <c r="L234" s="1">
        <f>VLOOKUP(J234,'Names with Seat Code'!A:F,6,FALSE)</f>
        <v>0</v>
      </c>
    </row>
    <row r="235" spans="1:12" ht="19.5" thickTop="1" thickBot="1" x14ac:dyDescent="0.3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Tartarini</v>
      </c>
      <c r="I235" s="1" t="str">
        <f>VLOOKUP(J235,'Names with Seat Code'!A:E,3,FALSE)</f>
        <v>Brooklynne</v>
      </c>
      <c r="J235">
        <v>222</v>
      </c>
      <c r="K235" s="3" t="str">
        <f>VLOOKUP(J234,'Names with Seat Code'!A:E,4,FALSE)</f>
        <v/>
      </c>
      <c r="L235" s="1">
        <f>VLOOKUP(J235,'Names with Seat Code'!A:F,6,FALSE)</f>
        <v>0</v>
      </c>
    </row>
    <row r="236" spans="1:12" ht="18.75" thickTop="1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Taubman</v>
      </c>
      <c r="I236" s="1" t="str">
        <f>VLOOKUP(J236,'Names with Seat Code'!A:E,3,FALSE)</f>
        <v>Nina</v>
      </c>
      <c r="J236">
        <v>223</v>
      </c>
      <c r="K236" t="str">
        <f>VLOOKUP(J235,'Names with Seat Code'!A:E,4,FALSE)</f>
        <v/>
      </c>
      <c r="L236" s="1" t="str">
        <f>VLOOKUP(J236,'Names with Seat Code'!A:F,6,FALSE)</f>
        <v>Ta-ow-b-man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Tawadros</v>
      </c>
      <c r="I237" s="1" t="str">
        <f>VLOOKUP(J237,'Names with Seat Code'!A:E,3,FALSE)</f>
        <v>Natalie</v>
      </c>
      <c r="J237">
        <v>224</v>
      </c>
      <c r="K237" t="str">
        <f>VLOOKUP(J236,'Names with Seat Code'!A:E,4,FALSE)</f>
        <v/>
      </c>
      <c r="L237" s="1" t="str">
        <f>VLOOKUP(J237,'Names with Seat Code'!A:F,6,FALSE)</f>
        <v>na-tah-lee ta-wa-dros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Toomey</v>
      </c>
      <c r="I238" s="1" t="str">
        <f>VLOOKUP(J238,'Names with Seat Code'!A:E,3,FALSE)</f>
        <v>Samantha</v>
      </c>
      <c r="J238">
        <v>225</v>
      </c>
      <c r="K238" t="str">
        <f>VLOOKUP(J237,'Names with Seat Code'!A:E,4,FALSE)</f>
        <v/>
      </c>
      <c r="L238" s="1" t="str">
        <f>VLOOKUP(J238,'Names with Seat Code'!A:F,6,FALSE)</f>
        <v xml:space="preserve">Samantha Toomey 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Torrens</v>
      </c>
      <c r="I239" s="1" t="str">
        <f>VLOOKUP(J239,'Names with Seat Code'!A:E,3,FALSE)</f>
        <v>Alyson</v>
      </c>
      <c r="J239">
        <v>226</v>
      </c>
      <c r="K239" t="str">
        <f>VLOOKUP(J238,'Names with Seat Code'!A:E,4,FALSE)</f>
        <v/>
      </c>
      <c r="L239" s="1">
        <f>VLOOKUP(J239,'Names with Seat Code'!A:F,6,FALSE)</f>
        <v>0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Travassos</v>
      </c>
      <c r="I240" s="1" t="str">
        <f>VLOOKUP(J240,'Names with Seat Code'!A:E,3,FALSE)</f>
        <v>Franklin</v>
      </c>
      <c r="J240">
        <v>227</v>
      </c>
      <c r="K240" t="str">
        <f>VLOOKUP(J239,'Names with Seat Code'!A:E,4,FALSE)</f>
        <v/>
      </c>
      <c r="L240" s="1" t="str">
        <f>VLOOKUP(J240,'Names with Seat Code'!A:F,6,FALSE)</f>
        <v>Tra va sos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Upton</v>
      </c>
      <c r="I241" s="1" t="str">
        <f>VLOOKUP(J241,'Names with Seat Code'!A:E,3,FALSE)</f>
        <v>Meredith</v>
      </c>
      <c r="J241">
        <v>228</v>
      </c>
      <c r="K241" t="str">
        <f>VLOOKUP(J240,'Names with Seat Code'!A:E,4,FALSE)</f>
        <v/>
      </c>
      <c r="L241" s="1" t="str">
        <f>VLOOKUP(J241,'Names with Seat Code'!A:F,6,FALSE)</f>
        <v>Mare-uh-dith UP-Tin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Valentin</v>
      </c>
      <c r="I242" s="1" t="str">
        <f>VLOOKUP(J242,'Names with Seat Code'!A:E,3,FALSE)</f>
        <v>Andrew</v>
      </c>
      <c r="J242" s="3">
        <v>229</v>
      </c>
      <c r="K242" t="str">
        <f>VLOOKUP(J241,'Names with Seat Code'!A:E,4,FALSE)</f>
        <v>Lynne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Horn</v>
      </c>
      <c r="I243" s="1" t="str">
        <f>VLOOKUP(J243,'Names with Seat Code'!A:E,3,FALSE)</f>
        <v>Colby</v>
      </c>
      <c r="J243">
        <v>230</v>
      </c>
      <c r="K243" t="str">
        <f>VLOOKUP(J242,'Names with Seat Code'!A:E,4,FALSE)</f>
        <v>Jacob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Van Magness</v>
      </c>
      <c r="I244" s="1" t="str">
        <f>VLOOKUP(J244,'Names with Seat Code'!A:E,3,FALSE)</f>
        <v>Katherine</v>
      </c>
      <c r="J244">
        <v>231</v>
      </c>
      <c r="K244" t="str">
        <f>VLOOKUP(J243,'Names with Seat Code'!A:E,4,FALSE)</f>
        <v>Van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Ventura</v>
      </c>
      <c r="I245" s="1" t="str">
        <f>VLOOKUP(J245,'Names with Seat Code'!A:E,3,FALSE)</f>
        <v>Justin</v>
      </c>
      <c r="J245">
        <v>232</v>
      </c>
      <c r="K245" t="str">
        <f>VLOOKUP(J244,'Names with Seat Code'!A:E,4,FALSE)</f>
        <v>Anne</v>
      </c>
      <c r="L245" s="1">
        <f>VLOOKUP(J245,'Names with Seat Code'!A:F,6,FALSE)</f>
        <v>0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Viliott</v>
      </c>
      <c r="I246" s="2" t="str">
        <f>VLOOKUP(J246,'Names with Seat Code'!A:E,3,FALSE)</f>
        <v>Dario</v>
      </c>
      <c r="J246">
        <v>233</v>
      </c>
      <c r="K246" t="str">
        <f>VLOOKUP(J245,'Names with Seat Code'!A:E,4,FALSE)</f>
        <v>Thomas</v>
      </c>
      <c r="L246" s="1" t="str">
        <f>VLOOKUP(J246,'Names with Seat Code'!A:F,6,FALSE)</f>
        <v>Dario Vil-e-ott</v>
      </c>
    </row>
    <row r="247" spans="1:12" ht="19.5" thickTop="1" thickBot="1" x14ac:dyDescent="0.3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Vitarisi</v>
      </c>
      <c r="I247" s="1" t="str">
        <f>VLOOKUP(J247,'Names with Seat Code'!A:E,3,FALSE)</f>
        <v>Nathan</v>
      </c>
      <c r="J247">
        <v>234</v>
      </c>
      <c r="K247" s="3" t="str">
        <f>VLOOKUP(J246,'Names with Seat Code'!A:E,4,FALSE)</f>
        <v/>
      </c>
      <c r="L247" s="1" t="str">
        <f>VLOOKUP(J247,'Names with Seat Code'!A:F,6,FALSE)</f>
        <v>Vit-er-eesee</v>
      </c>
    </row>
    <row r="248" spans="1:12" ht="18.75" thickTop="1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Ward</v>
      </c>
      <c r="I248" s="1" t="str">
        <f>VLOOKUP(J248,'Names with Seat Code'!A:E,3,FALSE)</f>
        <v>Jacob</v>
      </c>
      <c r="J248">
        <v>235</v>
      </c>
      <c r="K248" t="str">
        <f>VLOOKUP(J247,'Names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Tess</v>
      </c>
      <c r="J249">
        <v>236</v>
      </c>
      <c r="K249" t="str">
        <f>VLOOKUP(J248,'Names with Seat Code'!A:E,4,FALSE)</f>
        <v>Michael</v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Weaver</v>
      </c>
      <c r="I250" s="1" t="str">
        <f>VLOOKUP(J250,'Names with Seat Code'!A:E,3,FALSE)</f>
        <v>Kyle</v>
      </c>
      <c r="J250">
        <v>237</v>
      </c>
      <c r="K250" t="str">
        <f>VLOOKUP(J249,'Names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Weber</v>
      </c>
      <c r="I251" s="1" t="str">
        <f>VLOOKUP(J251,'Names with Seat Code'!A:E,3,FALSE)</f>
        <v>Leah</v>
      </c>
      <c r="J251">
        <v>238</v>
      </c>
      <c r="K251" t="str">
        <f>VLOOKUP(J250,'Names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White</v>
      </c>
      <c r="I252" s="1" t="str">
        <f>VLOOKUP(J252,'Names with Seat Code'!A:E,3,FALSE)</f>
        <v>Emma</v>
      </c>
      <c r="J252">
        <v>239</v>
      </c>
      <c r="K252" t="str">
        <f>VLOOKUP(J251,'Names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Wiggins</v>
      </c>
      <c r="I253" s="1" t="str">
        <f>VLOOKUP(J253,'Names with Seat Code'!A:E,3,FALSE)</f>
        <v>John</v>
      </c>
      <c r="J253">
        <v>240</v>
      </c>
      <c r="K253" t="str">
        <f>VLOOKUP(J252,'Names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>
        <f>VLOOKUP(J254,'Names with Seat Code'!A:I,9,FALSE)</f>
        <v>0</v>
      </c>
      <c r="H254" s="1" t="str">
        <f>VLOOKUP(J254,'Names with Seat Code'!A:E,5,FALSE)</f>
        <v>Wilder</v>
      </c>
      <c r="I254" s="1" t="str">
        <f>VLOOKUP(J254,'Names with Seat Code'!A:E,3,FALSE)</f>
        <v>Angela</v>
      </c>
      <c r="J254" s="3">
        <v>241</v>
      </c>
      <c r="K254" t="str">
        <f>VLOOKUP(J253,'Names with Seat Code'!A:E,4,FALSE)</f>
        <v/>
      </c>
      <c r="L254" s="1">
        <f>VLOOKUP(J254,'Names with Seat Code'!A:F,6,FALSE)</f>
        <v>0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>
        <f>VLOOKUP(J255,'Names with Seat Code'!A:I,9,FALSE)</f>
        <v>0</v>
      </c>
      <c r="H255" s="1" t="str">
        <f>VLOOKUP(J255,'Names with Seat Code'!A:E,5,FALSE)</f>
        <v>Williams</v>
      </c>
      <c r="I255" s="1" t="str">
        <f>VLOOKUP(J255,'Names with Seat Code'!A:E,3,FALSE)</f>
        <v>Aidan</v>
      </c>
      <c r="J255">
        <v>242</v>
      </c>
      <c r="K255" t="str">
        <f>VLOOKUP(J254,'Names with Seat Code'!A:E,4,FALSE)</f>
        <v/>
      </c>
      <c r="L255" s="1" t="str">
        <f>VLOOKUP(J255,'Names with Seat Code'!A:F,6,FALSE)</f>
        <v>Auddie(Awd-ie)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>
        <f>VLOOKUP(J256,'Names with Seat Code'!A:I,9,FALSE)</f>
        <v>0</v>
      </c>
      <c r="H256" s="1" t="str">
        <f>VLOOKUP(J256,'Names with Seat Code'!A:E,5,FALSE)</f>
        <v>Wright</v>
      </c>
      <c r="I256" s="1" t="str">
        <f>VLOOKUP(J256,'Names with Seat Code'!A:E,3,FALSE)</f>
        <v>Jared</v>
      </c>
      <c r="J256">
        <v>243</v>
      </c>
      <c r="K256" t="str">
        <f>VLOOKUP(J255,'Names with Seat Code'!A:E,4,FALSE)</f>
        <v>Auddie</v>
      </c>
      <c r="L256" s="1">
        <f>VLOOKUP(J256,'Names with Seat Code'!A:F,6,FALSE)</f>
        <v>0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>
        <f>VLOOKUP(J257,'Names with Seat Code'!A:I,9,FALSE)</f>
        <v>0</v>
      </c>
      <c r="H257" s="1" t="str">
        <f>VLOOKUP(J257,'Names with Seat Code'!A:E,5,FALSE)</f>
        <v>Wright</v>
      </c>
      <c r="I257" s="1" t="str">
        <f>VLOOKUP(J257,'Names with Seat Code'!A:E,3,FALSE)</f>
        <v>Jamari</v>
      </c>
      <c r="J257">
        <v>244</v>
      </c>
      <c r="K257" t="str">
        <f>VLOOKUP(J256,'Names with Seat Code'!A:E,4,FALSE)</f>
        <v/>
      </c>
      <c r="L257" s="1">
        <f>VLOOKUP(J257,'Names with Seat Code'!A:F,6,FALSE)</f>
        <v>0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>
        <f>VLOOKUP(J258,'Names with Seat Code'!A:I,9,FALSE)</f>
        <v>0</v>
      </c>
      <c r="H258" s="37" t="str">
        <f>VLOOKUP(J258,'Names with Seat Code'!A:E,5,FALSE)</f>
        <v>Yandle</v>
      </c>
      <c r="I258" s="2" t="str">
        <f>VLOOKUP(J258,'Names with Seat Code'!A:E,3,FALSE)</f>
        <v>Quinn</v>
      </c>
      <c r="J258">
        <v>245</v>
      </c>
      <c r="K258" t="str">
        <f>VLOOKUP(J257,'Names with Seat Code'!A:E,4,FALSE)</f>
        <v/>
      </c>
      <c r="L258" s="1">
        <f>VLOOKUP(J258,'Names with Seat Code'!A:F,6,FALSE)</f>
        <v>0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Zani</v>
      </c>
      <c r="I259" s="1" t="str">
        <f>VLOOKUP(J259,'Names with Seat Code'!A:E,3,FALSE)</f>
        <v>John</v>
      </c>
      <c r="J259">
        <v>246</v>
      </c>
      <c r="K259" s="3" t="str">
        <f>VLOOKUP(J258,'Names with Seat Code'!A:E,4,FALSE)</f>
        <v/>
      </c>
      <c r="L259" s="1" t="str">
        <f>VLOOKUP(J259,'Names with Seat Code'!A:F,6,FALSE)</f>
        <v>John ZAH-nee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Zheng</v>
      </c>
      <c r="I260" s="1" t="str">
        <f>VLOOKUP(J260,'Names with Seat Code'!A:E,3,FALSE)</f>
        <v>Jiayu</v>
      </c>
      <c r="J260">
        <v>247</v>
      </c>
      <c r="K260" t="str">
        <f>VLOOKUP(J259,'Names with Seat Code'!A:E,4,FALSE)</f>
        <v/>
      </c>
      <c r="L260" s="1" t="str">
        <f>VLOOKUP(J260,'Names with Seat Code'!A:F,6,FALSE)</f>
        <v>jah-yoo Jung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1</v>
      </c>
      <c r="G261" s="6" t="e">
        <f>VLOOKUP(J261,'Names with Seat Code'!A:I,9,FALSE)</f>
        <v>#N/A</v>
      </c>
      <c r="H261" s="1" t="e">
        <f>VLOOKUP(J261,'Names with Seat Code'!A:E,5,FALSE)</f>
        <v>#N/A</v>
      </c>
      <c r="I261" s="1" t="e">
        <f>VLOOKUP(J261,'Names with Seat Code'!A:E,3,FALSE)</f>
        <v>#N/A</v>
      </c>
      <c r="J261">
        <v>248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2</v>
      </c>
      <c r="G262" s="6" t="e">
        <f>VLOOKUP(J262,'Names with Seat Code'!A:I,9,FALSE)</f>
        <v>#N/A</v>
      </c>
      <c r="H262" s="1" t="e">
        <f>VLOOKUP(J262,'Names with Seat Code'!A:E,5,FALSE)</f>
        <v>#N/A</v>
      </c>
      <c r="I262" s="1" t="e">
        <f>VLOOKUP(J262,'Names with Seat Code'!A:E,3,FALSE)</f>
        <v>#N/A</v>
      </c>
      <c r="J262">
        <v>249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3</v>
      </c>
      <c r="G263" s="6" t="e">
        <f>VLOOKUP(J263,'Names with Seat Code'!A:I,9,FALSE)</f>
        <v>#N/A</v>
      </c>
      <c r="H263" s="1" t="e">
        <f>VLOOKUP(J263,'Names with Seat Code'!A:E,5,FALSE)</f>
        <v>#N/A</v>
      </c>
      <c r="I263" s="1" t="e">
        <f>VLOOKUP(J263,'Names with Seat Code'!A:E,3,FALSE)</f>
        <v>#N/A</v>
      </c>
      <c r="J263">
        <v>250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4</v>
      </c>
      <c r="G264" s="6" t="e">
        <f>VLOOKUP(J264,'Names with Seat Code'!A:I,9,FALSE)</f>
        <v>#N/A</v>
      </c>
      <c r="H264" s="1" t="e">
        <f>VLOOKUP(J264,'Names with Seat Code'!A:E,5,FALSE)</f>
        <v>#N/A</v>
      </c>
      <c r="I264" s="1" t="e">
        <f>VLOOKUP(J264,'Names with Seat Code'!A:E,3,FALSE)</f>
        <v>#N/A</v>
      </c>
      <c r="J264">
        <v>251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5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252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6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253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7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254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8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255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9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256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10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F271" s="8">
        <v>11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>
        <v>12</v>
      </c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1" activePane="bottomLeft" state="frozen"/>
      <selection activeCell="I3" sqref="I3"/>
      <selection pane="bottomLeft" activeCell="G13" sqref="G13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Dante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Antonio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Luca</v>
      </c>
      <c r="I83" s="6" t="str">
        <f>'Grad Raw Data'!H83</f>
        <v>Eliet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Finn</v>
      </c>
      <c r="I84" s="6" t="str">
        <f>'Grad Raw Data'!H84</f>
        <v>Ellis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Levi</v>
      </c>
      <c r="I85" s="6" t="str">
        <f>'Grad Raw Data'!H85</f>
        <v>Emmanuel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Kamryn</v>
      </c>
      <c r="I86" s="6" t="str">
        <f>'Grad Raw Data'!H86</f>
        <v>Encarnacao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Samuel</v>
      </c>
      <c r="I87" s="6" t="str">
        <f>'Grad Raw Data'!H87</f>
        <v>Fortes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Kaylie</v>
      </c>
      <c r="I88" s="6" t="str">
        <f>'Grad Raw Data'!H88</f>
        <v>Fantasia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Vince</v>
      </c>
      <c r="I89" s="6" t="str">
        <f>'Grad Raw Data'!H89</f>
        <v>Farnham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Colby</v>
      </c>
      <c r="I90" s="6" t="str">
        <f>'Grad Raw Data'!H90</f>
        <v>Farris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Bryan</v>
      </c>
      <c r="I91" s="6" t="str">
        <f>'Grad Raw Data'!H91</f>
        <v>Fernandez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Thomas</v>
      </c>
      <c r="I92" s="6" t="str">
        <f>'Grad Raw Data'!H92</f>
        <v>Fiore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Finn</v>
      </c>
      <c r="I93" s="6" t="str">
        <f>'Grad Raw Data'!H93</f>
        <v>Flaherty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Matthew</v>
      </c>
      <c r="I94" s="6" t="str">
        <f>'Grad Raw Data'!H94</f>
        <v>Forse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Jacob</v>
      </c>
      <c r="I95" s="6" t="str">
        <f>'Grad Raw Data'!H95</f>
        <v>Frank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Anthony</v>
      </c>
      <c r="I96" s="6" t="str">
        <f>'Grad Raw Data'!H96</f>
        <v>Fratto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Gavin</v>
      </c>
      <c r="I97" s="6" t="str">
        <f>'Grad Raw Data'!H97</f>
        <v>Fucarile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Cole</v>
      </c>
      <c r="I98" s="6" t="str">
        <f>'Grad Raw Data'!H98</f>
        <v>Fusco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Paul</v>
      </c>
      <c r="I99" s="6" t="str">
        <f>'Grad Raw Data'!H99</f>
        <v>Gaeta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Lucas</v>
      </c>
      <c r="I100" s="6" t="str">
        <f>'Grad Raw Data'!H100</f>
        <v>Gager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Nevaeh</v>
      </c>
      <c r="I101" s="6" t="str">
        <f>'Grad Raw Data'!H101</f>
        <v>Galindo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Joseph</v>
      </c>
      <c r="I102" s="6" t="str">
        <f>'Grad Raw Data'!H102</f>
        <v>Gallagher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Brendan</v>
      </c>
      <c r="I103" s="6" t="str">
        <f>'Grad Raw Data'!H103</f>
        <v>Gauvin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Bereket</v>
      </c>
      <c r="I104" s="6" t="str">
        <f>'Grad Raw Data'!H104</f>
        <v>Gebeyaw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Alix</v>
      </c>
      <c r="I105" s="6" t="str">
        <f>'Grad Raw Data'!H105</f>
        <v>Gellot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Cameron</v>
      </c>
      <c r="I106" s="6" t="str">
        <f>'Grad Raw Data'!H106</f>
        <v>Gigler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Alex</v>
      </c>
      <c r="I107" s="6" t="str">
        <f>'Grad Raw Data'!H107</f>
        <v>Gisetto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Benjamin</v>
      </c>
      <c r="I108" s="6" t="str">
        <f>'Grad Raw Data'!H108</f>
        <v>Goldlust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Jack</v>
      </c>
      <c r="I109" s="6" t="str">
        <f>'Grad Raw Data'!H109</f>
        <v>Goodfellow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Drew</v>
      </c>
      <c r="I110" s="6" t="str">
        <f>'Grad Raw Data'!H110</f>
        <v>Gorski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Lila</v>
      </c>
      <c r="I111" s="6" t="str">
        <f>'Grad Raw Data'!H111</f>
        <v>Gosdanian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Cole</v>
      </c>
      <c r="I112" s="6" t="str">
        <f>'Grad Raw Data'!H112</f>
        <v>Grant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Kendall</v>
      </c>
      <c r="I113" s="6" t="str">
        <f>'Grad Raw Data'!H113</f>
        <v>Graves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Griffin</v>
      </c>
      <c r="I114" s="6" t="str">
        <f>'Grad Raw Data'!H114</f>
        <v>Haggerty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Andrea</v>
      </c>
      <c r="I115" s="6" t="str">
        <f>'Grad Raw Data'!H115</f>
        <v>Hall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Sarah</v>
      </c>
      <c r="I116" s="6" t="str">
        <f>'Grad Raw Data'!H116</f>
        <v>Hamilton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Margaret</v>
      </c>
      <c r="I117" s="6" t="str">
        <f>'Grad Raw Data'!H117</f>
        <v>Hanifan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Cameron</v>
      </c>
      <c r="I118" s="6" t="str">
        <f>'Grad Raw Data'!H118</f>
        <v>Harrigan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Victoria</v>
      </c>
      <c r="I119" s="6" t="str">
        <f>'Grad Raw Data'!H119</f>
        <v>Henri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Kayke</v>
      </c>
      <c r="I120" s="6" t="str">
        <f>'Grad Raw Data'!H120</f>
        <v>Henrique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Jahkye</v>
      </c>
      <c r="I121" s="6" t="str">
        <f>'Grad Raw Data'!H121</f>
        <v>Hobson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Sam</v>
      </c>
      <c r="I122" s="6" t="str">
        <f>'Grad Raw Data'!H122</f>
        <v>Holt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Benjamin</v>
      </c>
      <c r="I123" s="6" t="str">
        <f>'Grad Raw Data'!H123</f>
        <v>Houle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Evin</v>
      </c>
      <c r="I124" s="6" t="str">
        <f>'Grad Raw Data'!H124</f>
        <v>Howell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Paul</v>
      </c>
      <c r="I125" s="6" t="str">
        <f>'Grad Raw Data'!H125</f>
        <v>Iosua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Leah</v>
      </c>
      <c r="I126" s="6" t="str">
        <f>'Grad Raw Data'!H126</f>
        <v>Jackvony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Wayne</v>
      </c>
      <c r="I127" s="6" t="str">
        <f>'Grad Raw Data'!H127</f>
        <v>Jankun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Tristan</v>
      </c>
      <c r="I128" s="6" t="str">
        <f>'Grad Raw Data'!H128</f>
        <v>Jenkins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Evan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Michael</v>
      </c>
      <c r="I130" s="6" t="str">
        <f>'Grad Raw Data'!H130</f>
        <v>Jenney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Luke</v>
      </c>
      <c r="I131" s="6" t="str">
        <f>'Grad Raw Data'!H131</f>
        <v>Johnson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Maeve</v>
      </c>
      <c r="I132" s="6" t="str">
        <f>'Grad Raw Data'!H132</f>
        <v>Jones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Nolan</v>
      </c>
      <c r="I133" s="6" t="str">
        <f>'Grad Raw Data'!H133</f>
        <v>Jordan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Emma</v>
      </c>
      <c r="I134" s="6" t="str">
        <f>'Grad Raw Data'!H134</f>
        <v>Kaberle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Azra</v>
      </c>
      <c r="I135" s="6" t="str">
        <f>'Grad Raw Data'!H135</f>
        <v>Kadric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Brady</v>
      </c>
      <c r="I136" s="6" t="str">
        <f>'Grad Raw Data'!H136</f>
        <v>Keaveney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Hannah</v>
      </c>
      <c r="I137" s="6" t="str">
        <f>'Grad Raw Data'!H137</f>
        <v>Kenton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Aiden</v>
      </c>
      <c r="I138" s="6" t="str">
        <f>'Grad Raw Data'!H138</f>
        <v>Kiley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Clinton</v>
      </c>
      <c r="I139" s="6" t="str">
        <f>'Grad Raw Data'!H139</f>
        <v>King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Kyle</v>
      </c>
      <c r="I140" s="6" t="str">
        <f>'Grad Raw Data'!H140</f>
        <v>Koster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Enzo</v>
      </c>
      <c r="I141" s="6" t="str">
        <f>'Grad Raw Data'!H141</f>
        <v>Lalicata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Matthew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Jonathan</v>
      </c>
      <c r="I143" s="6" t="str">
        <f>'Grad Raw Data'!H143</f>
        <v>Laurino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Asad</v>
      </c>
      <c r="I144" s="6" t="str">
        <f>'Grad Raw Data'!H144</f>
        <v>Layne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Jonathan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Austin</v>
      </c>
      <c r="I146" s="6" t="str">
        <f>'Grad Raw Data'!H146</f>
        <v>Lee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Desmond</v>
      </c>
      <c r="I147" s="6" t="str">
        <f>'Grad Raw Data'!H147</f>
        <v>Lethin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Katie</v>
      </c>
      <c r="I148" s="6" t="str">
        <f>'Grad Raw Data'!H148</f>
        <v>Lewis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Isabelle</v>
      </c>
      <c r="I149" s="6" t="str">
        <f>'Grad Raw Data'!H149</f>
        <v>Lightbody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Steven</v>
      </c>
      <c r="I150" s="6" t="str">
        <f>'Grad Raw Data'!H150</f>
        <v>Lin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Zackary</v>
      </c>
      <c r="I151" s="6" t="str">
        <f>'Grad Raw Data'!H151</f>
        <v>Lizotte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Isla</v>
      </c>
      <c r="I152" s="6" t="str">
        <f>'Grad Raw Data'!H152</f>
        <v>Lusk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Lilyana</v>
      </c>
      <c r="I153" s="6" t="str">
        <f>'Grad Raw Data'!H153</f>
        <v>Madden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Rosalia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Trent</v>
      </c>
      <c r="I155" s="6" t="str">
        <f>'Grad Raw Data'!H155</f>
        <v>Maganzini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Emma</v>
      </c>
      <c r="I156" s="6" t="str">
        <f>'Grad Raw Data'!H156</f>
        <v>Mahoney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Charles</v>
      </c>
      <c r="I157" s="6" t="str">
        <f>'Grad Raw Data'!H157</f>
        <v>Maness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Evan</v>
      </c>
      <c r="I158" s="6" t="str">
        <f>'Grad Raw Data'!H158</f>
        <v>Manfredi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Syler</v>
      </c>
      <c r="I159" s="6" t="str">
        <f>'Grad Raw Data'!H159</f>
        <v>Manning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Tyler</v>
      </c>
      <c r="I160" s="6" t="str">
        <f>'Grad Raw Data'!H160</f>
        <v>Marchlik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e">
        <f>'Grad Raw Data'!I161</f>
        <v>#N/A</v>
      </c>
      <c r="I161" s="6" t="e">
        <f>'Grad Raw Data'!H161</f>
        <v>#N/A</v>
      </c>
      <c r="J161" s="6" t="e">
        <f>'Grad Raw Data'!G161</f>
        <v>#N/A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Addyson</v>
      </c>
      <c r="I162" s="6" t="str">
        <f>'Grad Raw Data'!H162</f>
        <v>Mathews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Charlie</v>
      </c>
      <c r="I163" s="6" t="str">
        <f>'Grad Raw Data'!H163</f>
        <v>May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Caleb</v>
      </c>
      <c r="I164" s="6" t="str">
        <f>'Grad Raw Data'!H164</f>
        <v>McGonagle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Makenna</v>
      </c>
      <c r="I165" s="6" t="str">
        <f>'Grad Raw Data'!H165</f>
        <v>McGrath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Zoe</v>
      </c>
      <c r="I166" s="6" t="str">
        <f>'Grad Raw Data'!H166</f>
        <v>McLaughlin-Shostak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Ella</v>
      </c>
      <c r="I167" s="6" t="str">
        <f>'Grad Raw Data'!H167</f>
        <v>McMenimen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Jack</v>
      </c>
      <c r="I168" s="6" t="str">
        <f>'Grad Raw Data'!H168</f>
        <v>Melly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Alex</v>
      </c>
      <c r="I169" s="6" t="str">
        <f>'Grad Raw Data'!H169</f>
        <v>Merkle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Will</v>
      </c>
      <c r="I170" s="6" t="str">
        <f>'Grad Raw Data'!H170</f>
        <v>Merkle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Gianna</v>
      </c>
      <c r="I171" s="6" t="str">
        <f>'Grad Raw Data'!H171</f>
        <v>Miceli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Karmani</v>
      </c>
      <c r="I172" s="6" t="str">
        <f>'Grad Raw Data'!H172</f>
        <v>Mirville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Marcus</v>
      </c>
      <c r="I173" s="6" t="str">
        <f>'Grad Raw Data'!H173</f>
        <v>Moller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Evangeline</v>
      </c>
      <c r="I174" s="6" t="str">
        <f>'Grad Raw Data'!H174</f>
        <v>Moreira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Bobby</v>
      </c>
      <c r="I175" s="6" t="str">
        <f>'Grad Raw Data'!H175</f>
        <v>Morris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Kaiden</v>
      </c>
      <c r="I176" s="6" t="str">
        <f>'Grad Raw Data'!H176</f>
        <v>Morrison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Abdul</v>
      </c>
      <c r="I177" s="6" t="str">
        <f>'Grad Raw Data'!H177</f>
        <v>Mughal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William</v>
      </c>
      <c r="I178" s="6" t="str">
        <f>'Grad Raw Data'!H178</f>
        <v>Muller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Jack</v>
      </c>
      <c r="I179" s="6" t="str">
        <f>'Grad Raw Data'!H179</f>
        <v>Murphy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Abigail</v>
      </c>
      <c r="I180" s="6" t="str">
        <f>'Grad Raw Data'!H180</f>
        <v>Nelson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Patience</v>
      </c>
      <c r="I181" s="6" t="str">
        <f>'Grad Raw Data'!H181</f>
        <v>Nguyen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Charlotte</v>
      </c>
      <c r="I182" s="6" t="str">
        <f>'Grad Raw Data'!H182</f>
        <v>Nolty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Mackenzie</v>
      </c>
      <c r="I183" s="6" t="str">
        <f>'Grad Raw Data'!H183</f>
        <v>Norris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Michelle</v>
      </c>
      <c r="I184" s="6" t="str">
        <f>'Grad Raw Data'!H184</f>
        <v>Ohlson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Natalie</v>
      </c>
      <c r="I185" s="6" t="str">
        <f>'Grad Raw Data'!H185</f>
        <v>Ortins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Franklin</v>
      </c>
      <c r="I186" s="6" t="str">
        <f>'Grad Raw Data'!H186</f>
        <v>Ortiz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Isabelle</v>
      </c>
      <c r="I187" s="6" t="str">
        <f>'Grad Raw Data'!H187</f>
        <v>Parent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Saloni</v>
      </c>
      <c r="I188" s="6" t="str">
        <f>'Grad Raw Data'!H188</f>
        <v>Patel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Lerika</v>
      </c>
      <c r="I189" s="6" t="str">
        <f>'Grad Raw Data'!H189</f>
        <v>Peat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Jacob</v>
      </c>
      <c r="I190" s="6" t="str">
        <f>'Grad Raw Data'!H190</f>
        <v>Petrin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Wyatt</v>
      </c>
      <c r="I191" s="6" t="str">
        <f>'Grad Raw Data'!H191</f>
        <v>Picard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Samantha</v>
      </c>
      <c r="I192" s="6" t="str">
        <f>'Grad Raw Data'!H192</f>
        <v>Pomerantz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Shivani</v>
      </c>
      <c r="I193" s="6" t="str">
        <f>'Grad Raw Data'!H193</f>
        <v>Poudyal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Ryan</v>
      </c>
      <c r="I194" s="6" t="str">
        <f>'Grad Raw Data'!H194</f>
        <v>Pulpi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Jessica</v>
      </c>
      <c r="I195" s="6" t="str">
        <f>'Grad Raw Data'!H195</f>
        <v>Rai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Ted</v>
      </c>
      <c r="I196" s="6" t="str">
        <f>'Grad Raw Data'!H196</f>
        <v>Ravens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Lucas</v>
      </c>
      <c r="I197" s="6" t="str">
        <f>'Grad Raw Data'!H197</f>
        <v>Reis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Olivia</v>
      </c>
      <c r="I198" s="6" t="str">
        <f>'Grad Raw Data'!H198</f>
        <v>Renda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Jessica</v>
      </c>
      <c r="I199" s="6" t="str">
        <f>'Grad Raw Data'!H199</f>
        <v>Richter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Charlotte</v>
      </c>
      <c r="I200" s="6" t="str">
        <f>'Grad Raw Data'!H200</f>
        <v>Robichaud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Derek</v>
      </c>
      <c r="I201" s="6" t="str">
        <f>'Grad Raw Data'!H201</f>
        <v>Robillard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Isaac</v>
      </c>
      <c r="I202" s="6" t="str">
        <f>'Grad Raw Data'!H202</f>
        <v>Robinson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Teresa</v>
      </c>
      <c r="I203" s="6" t="str">
        <f>'Grad Raw Data'!H203</f>
        <v>Rock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James</v>
      </c>
      <c r="I204" s="6" t="str">
        <f>'Grad Raw Data'!H204</f>
        <v>Rodrigues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Luke</v>
      </c>
      <c r="I205" s="6" t="str">
        <f>'Grad Raw Data'!H205</f>
        <v>Rogerson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Javian</v>
      </c>
      <c r="I206" s="6" t="str">
        <f>'Grad Raw Data'!H206</f>
        <v>Rojas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Ellie</v>
      </c>
      <c r="I207" s="6" t="str">
        <f>'Grad Raw Data'!H207</f>
        <v>Russo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Rejon</v>
      </c>
      <c r="I208" s="6" t="str">
        <f>'Grad Raw Data'!H208</f>
        <v>Ryland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Lorenzo</v>
      </c>
      <c r="I209" s="6" t="str">
        <f>'Grad Raw Data'!H209</f>
        <v>Sardinha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Noah</v>
      </c>
      <c r="I210" s="6" t="str">
        <f>'Grad Raw Data'!H210</f>
        <v>Sarre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Katherine</v>
      </c>
      <c r="I211" s="6" t="str">
        <f>'Grad Raw Data'!H211</f>
        <v>Savio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Megan</v>
      </c>
      <c r="I212" s="6" t="str">
        <f>'Grad Raw Data'!H212</f>
        <v>Scales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Sophie</v>
      </c>
      <c r="I213" s="6" t="str">
        <f>'Grad Raw Data'!H213</f>
        <v>Schrager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Rylie</v>
      </c>
      <c r="I214" s="6" t="str">
        <f>'Grad Raw Data'!H214</f>
        <v>Schultz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Madeline</v>
      </c>
      <c r="I215" s="6" t="str">
        <f>'Grad Raw Data'!H215</f>
        <v>Scully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Sachi</v>
      </c>
      <c r="I216" s="6" t="str">
        <f>'Grad Raw Data'!H216</f>
        <v>Selvakumar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Katie</v>
      </c>
      <c r="I217" s="6" t="str">
        <f>'Grad Raw Data'!H217</f>
        <v>Severance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Annabelle</v>
      </c>
      <c r="I218" s="6" t="str">
        <f>'Grad Raw Data'!H218</f>
        <v>Shanley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Emme</v>
      </c>
      <c r="I219" s="6" t="str">
        <f>'Grad Raw Data'!H219</f>
        <v>Shediac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Allison</v>
      </c>
      <c r="I220" s="6" t="str">
        <f>'Grad Raw Data'!H220</f>
        <v>Shindelman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John</v>
      </c>
      <c r="I221" s="6" t="str">
        <f>'Grad Raw Data'!H221</f>
        <v>Siciliano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Owen</v>
      </c>
      <c r="I222" s="6" t="str">
        <f>'Grad Raw Data'!H222</f>
        <v>Sinclair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Sierra</v>
      </c>
      <c r="I223" s="6" t="str">
        <f>'Grad Raw Data'!H223</f>
        <v>Skenderian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John</v>
      </c>
      <c r="I224" s="6" t="str">
        <f>'Grad Raw Data'!H224</f>
        <v>Slinn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Julia</v>
      </c>
      <c r="I225" s="6" t="str">
        <f>'Grad Raw Data'!H225</f>
        <v>Smith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Noah</v>
      </c>
      <c r="I226" s="6" t="str">
        <f>'Grad Raw Data'!H226</f>
        <v>Snyder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Aaron</v>
      </c>
      <c r="I227" s="6" t="str">
        <f>'Grad Raw Data'!H227</f>
        <v>Soto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Andrew</v>
      </c>
      <c r="I228" s="6" t="str">
        <f>'Grad Raw Data'!H228</f>
        <v>Spencer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Elias</v>
      </c>
      <c r="I229" s="6" t="str">
        <f>'Grad Raw Data'!H229</f>
        <v>Speros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Spinazzola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Ava</v>
      </c>
      <c r="I231" s="6" t="str">
        <f>'Grad Raw Data'!H231</f>
        <v>Staffier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Charlie</v>
      </c>
      <c r="I232" s="6" t="str">
        <f>'Grad Raw Data'!H232</f>
        <v>Studley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Nolan</v>
      </c>
      <c r="I233" s="6" t="str">
        <f>'Grad Raw Data'!H233</f>
        <v>Sullivan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Sabrina</v>
      </c>
      <c r="I234" s="6" t="str">
        <f>'Grad Raw Data'!H234</f>
        <v>Sweat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Brooklynne</v>
      </c>
      <c r="I235" s="6" t="str">
        <f>'Grad Raw Data'!H235</f>
        <v>Tartarini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Nina</v>
      </c>
      <c r="I236" s="6" t="str">
        <f>'Grad Raw Data'!H236</f>
        <v>Taubman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Natalie</v>
      </c>
      <c r="I237" s="6" t="str">
        <f>'Grad Raw Data'!H237</f>
        <v>Tawadros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Samantha</v>
      </c>
      <c r="I238" s="6" t="str">
        <f>'Grad Raw Data'!H238</f>
        <v>Toomey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Alyson</v>
      </c>
      <c r="I239" s="6" t="str">
        <f>'Grad Raw Data'!H239</f>
        <v>Torrens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Franklin</v>
      </c>
      <c r="I240" s="6" t="str">
        <f>'Grad Raw Data'!H240</f>
        <v>Travassos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Meredith</v>
      </c>
      <c r="I241" s="6" t="str">
        <f>'Grad Raw Data'!H241</f>
        <v>Upton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Andrew</v>
      </c>
      <c r="I242" s="6" t="str">
        <f>'Grad Raw Data'!H242</f>
        <v>Valentin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Colby</v>
      </c>
      <c r="I243" s="6" t="str">
        <f>'Grad Raw Data'!H243</f>
        <v>Horn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Katherine</v>
      </c>
      <c r="I244" s="6" t="str">
        <f>'Grad Raw Data'!H244</f>
        <v>Van Magness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Justin</v>
      </c>
      <c r="I245" s="6" t="str">
        <f>'Grad Raw Data'!H245</f>
        <v>Ventura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Dario</v>
      </c>
      <c r="I246" s="6" t="str">
        <f>'Grad Raw Data'!H246</f>
        <v>Viliott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Nathan</v>
      </c>
      <c r="I247" s="6" t="str">
        <f>'Grad Raw Data'!H247</f>
        <v>Vitarisi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Jacob</v>
      </c>
      <c r="I248" s="6" t="str">
        <f>'Grad Raw Data'!H248</f>
        <v>Ward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Tess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Kyle</v>
      </c>
      <c r="I250" s="6" t="str">
        <f>'Grad Raw Data'!H250</f>
        <v>Weaver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Leah</v>
      </c>
      <c r="I251" s="6" t="str">
        <f>'Grad Raw Data'!H251</f>
        <v>Weber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Emma</v>
      </c>
      <c r="I252" s="6" t="str">
        <f>'Grad Raw Data'!H252</f>
        <v>White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John</v>
      </c>
      <c r="I253" s="6" t="str">
        <f>'Grad Raw Data'!H253</f>
        <v>Wiggins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str">
        <f>'Grad Raw Data'!I254</f>
        <v>Angela</v>
      </c>
      <c r="I254" s="6" t="str">
        <f>'Grad Raw Data'!H254</f>
        <v>Wilder</v>
      </c>
      <c r="J254" s="6">
        <f>'Grad Raw Data'!G254</f>
        <v>0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str">
        <f>'Grad Raw Data'!I255</f>
        <v>Aidan</v>
      </c>
      <c r="I255" s="6" t="str">
        <f>'Grad Raw Data'!H255</f>
        <v>Williams</v>
      </c>
      <c r="J255" s="6">
        <f>'Grad Raw Data'!G255</f>
        <v>0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str">
        <f>'Grad Raw Data'!I256</f>
        <v>Jared</v>
      </c>
      <c r="I256" s="6" t="str">
        <f>'Grad Raw Data'!H256</f>
        <v>Wright</v>
      </c>
      <c r="J256" s="6">
        <f>'Grad Raw Data'!G256</f>
        <v>0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str">
        <f>'Grad Raw Data'!I257</f>
        <v>Jamari</v>
      </c>
      <c r="I257" s="6" t="str">
        <f>'Grad Raw Data'!H257</f>
        <v>Wright</v>
      </c>
      <c r="J257" s="6">
        <f>'Grad Raw Data'!G257</f>
        <v>0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str">
        <f>'Grad Raw Data'!I258</f>
        <v>Quinn</v>
      </c>
      <c r="I258" s="6" t="str">
        <f>'Grad Raw Data'!H258</f>
        <v>Yandle</v>
      </c>
      <c r="J258" s="6">
        <f>'Grad Raw Data'!G258</f>
        <v>0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John</v>
      </c>
      <c r="I259" s="6" t="str">
        <f>'Grad Raw Data'!H259</f>
        <v>Zani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Jiayu</v>
      </c>
      <c r="I260" s="6" t="str">
        <f>'Grad Raw Data'!H260</f>
        <v>Zheng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e">
        <f>'Grad Raw Data'!I261</f>
        <v>#N/A</v>
      </c>
      <c r="I261" s="6" t="e">
        <f>'Grad Raw Data'!H261</f>
        <v>#N/A</v>
      </c>
      <c r="J261" s="6" t="e">
        <f>'Grad Raw Data'!G261</f>
        <v>#N/A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e">
        <f>'Grad Raw Data'!I262</f>
        <v>#N/A</v>
      </c>
      <c r="I262" s="6" t="e">
        <f>'Grad Raw Data'!H262</f>
        <v>#N/A</v>
      </c>
      <c r="J262" s="6" t="e">
        <f>'Grad Raw Data'!G262</f>
        <v>#N/A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e">
        <f>'Grad Raw Data'!I263</f>
        <v>#N/A</v>
      </c>
      <c r="I263" s="6" t="e">
        <f>'Grad Raw Data'!H263</f>
        <v>#N/A</v>
      </c>
      <c r="J263" s="6" t="e">
        <f>'Grad Raw Data'!G263</f>
        <v>#N/A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e">
        <f>'Grad Raw Data'!I264</f>
        <v>#N/A</v>
      </c>
      <c r="I264" s="6" t="e">
        <f>'Grad Raw Data'!H264</f>
        <v>#N/A</v>
      </c>
      <c r="J264" s="6" t="e">
        <f>'Grad Raw Data'!G264</f>
        <v>#N/A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1" manualBreakCount="21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I515"/>
  <sheetViews>
    <sheetView topLeftCell="A21" workbookViewId="0">
      <selection activeCell="A26" sqref="A26:F27"/>
    </sheetView>
  </sheetViews>
  <sheetFormatPr defaultRowHeight="18.75" x14ac:dyDescent="0.25"/>
  <cols>
    <col min="1" max="1" width="18" style="17" customWidth="1"/>
    <col min="2" max="2" width="24.42578125" style="17" customWidth="1"/>
    <col min="3" max="3" width="24.85546875" style="17" customWidth="1"/>
    <col min="4" max="4" width="26.7109375" style="20" customWidth="1"/>
    <col min="5" max="6" width="4.85546875" style="44" customWidth="1"/>
    <col min="7" max="9" width="0" hidden="1" customWidth="1"/>
  </cols>
  <sheetData>
    <row r="1" spans="1:9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43" t="s">
        <v>75</v>
      </c>
      <c r="F1" s="43" t="s">
        <v>76</v>
      </c>
    </row>
    <row r="2" spans="1:9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 cm="1">
        <f t="array" aca="1" ref="D2" ca="1">IF(I2="","",INDIRECT("'Grad Raw Data'!G"&amp;I2))</f>
        <v>0</v>
      </c>
      <c r="E2" s="44" t="str">
        <f>'Grad Raw Data'!D2</f>
        <v>STAGE</v>
      </c>
      <c r="F2" s="44" t="str">
        <f>'Grad Raw Data'!E2</f>
        <v>STAGE</v>
      </c>
      <c r="H2">
        <v>2</v>
      </c>
      <c r="I2">
        <f>IF(MOD((H2+2)/1,2)=0,(H2/2+1),"")</f>
        <v>2</v>
      </c>
    </row>
    <row r="3" spans="1:9" ht="24.95" customHeight="1" x14ac:dyDescent="0.25">
      <c r="A3" s="20"/>
      <c r="B3" s="20"/>
      <c r="C3" s="20"/>
      <c r="D3" s="20" t="str" cm="1">
        <f t="array" aca="1" ref="D3" ca="1">IF(I3="","",INDIRECT("'Grad Raw Data'!G"&amp;I3))</f>
        <v/>
      </c>
      <c r="H3">
        <v>3</v>
      </c>
      <c r="I3" t="str">
        <f t="shared" ref="I3:I66" si="0">IF(MOD((H3+2)/1,2)=0,(H3/2+1),"")</f>
        <v/>
      </c>
    </row>
    <row r="4" spans="1:9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 cm="1">
        <f t="array" aca="1" ref="D4" ca="1">IF(I4="","",INDIRECT("'Grad Raw Data'!G"&amp;I4))</f>
        <v>0</v>
      </c>
      <c r="E4" s="44" t="str">
        <f>'Grad Raw Data'!D4</f>
        <v>STAGE</v>
      </c>
      <c r="F4" s="44" t="str">
        <f>'Grad Raw Data'!E4</f>
        <v>STAGE</v>
      </c>
      <c r="H4">
        <v>4</v>
      </c>
      <c r="I4">
        <f t="shared" si="0"/>
        <v>3</v>
      </c>
    </row>
    <row r="5" spans="1:9" ht="24.95" customHeight="1" x14ac:dyDescent="0.25">
      <c r="A5" s="16"/>
      <c r="B5" s="20"/>
      <c r="C5" s="20"/>
      <c r="D5" s="20" t="str" cm="1">
        <f t="array" aca="1" ref="D5" ca="1">IF(I5="","",INDIRECT("'Grad Raw Data'!G"&amp;I5))</f>
        <v/>
      </c>
      <c r="H5">
        <v>5</v>
      </c>
      <c r="I5" t="str">
        <f t="shared" si="0"/>
        <v/>
      </c>
    </row>
    <row r="6" spans="1:9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 cm="1">
        <f t="array" aca="1" ref="D6" ca="1">IF(I6="","",INDIRECT("'Grad Raw Data'!G"&amp;I6))</f>
        <v>0</v>
      </c>
      <c r="E6" s="44" t="str">
        <f>'Grad Raw Data'!D4</f>
        <v>STAGE</v>
      </c>
      <c r="F6" s="44" t="str">
        <f>'Grad Raw Data'!E4</f>
        <v>STAGE</v>
      </c>
      <c r="H6">
        <v>6</v>
      </c>
      <c r="I6">
        <f t="shared" si="0"/>
        <v>4</v>
      </c>
    </row>
    <row r="7" spans="1:9" ht="24.95" customHeight="1" x14ac:dyDescent="0.25">
      <c r="A7" s="16"/>
      <c r="B7" s="20"/>
      <c r="C7" s="20"/>
      <c r="D7" s="20" t="str" cm="1">
        <f t="array" aca="1" ref="D7" ca="1">IF(I7="","",INDIRECT("'Grad Raw Data'!G"&amp;I7))</f>
        <v/>
      </c>
      <c r="H7">
        <v>7</v>
      </c>
      <c r="I7" t="str">
        <f t="shared" si="0"/>
        <v/>
      </c>
    </row>
    <row r="8" spans="1:9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 cm="1">
        <f t="array" aca="1" ref="D8" ca="1">IF(I8="","",INDIRECT("'Grad Raw Data'!G"&amp;I8))</f>
        <v>0</v>
      </c>
      <c r="E8" s="44" t="str">
        <f>'Grad Raw Data'!D5</f>
        <v>STAGE</v>
      </c>
      <c r="F8" s="44" t="str">
        <f>'Grad Raw Data'!E5</f>
        <v>STAGE</v>
      </c>
      <c r="H8">
        <v>8</v>
      </c>
      <c r="I8">
        <f t="shared" si="0"/>
        <v>5</v>
      </c>
    </row>
    <row r="9" spans="1:9" ht="24.95" customHeight="1" x14ac:dyDescent="0.25">
      <c r="A9" s="16"/>
      <c r="B9" s="20"/>
      <c r="C9" s="20"/>
      <c r="D9" s="20" t="str" cm="1">
        <f t="array" aca="1" ref="D9" ca="1">IF(I9="","",INDIRECT("'Grad Raw Data'!G"&amp;I9))</f>
        <v/>
      </c>
      <c r="H9">
        <v>9</v>
      </c>
      <c r="I9" t="str">
        <f t="shared" si="0"/>
        <v/>
      </c>
    </row>
    <row r="10" spans="1:9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E10" s="44" t="str">
        <f>'Grad Raw Data'!D6</f>
        <v>STAGE</v>
      </c>
      <c r="F10" s="44" t="str">
        <f>'Grad Raw Data'!E6</f>
        <v>STAGE</v>
      </c>
      <c r="H10">
        <v>10</v>
      </c>
      <c r="I10">
        <f t="shared" si="0"/>
        <v>6</v>
      </c>
    </row>
    <row r="11" spans="1:9" ht="24.95" customHeight="1" x14ac:dyDescent="0.25">
      <c r="A11" s="16">
        <f>'Grad Raw Data'!L6</f>
        <v>0</v>
      </c>
      <c r="B11" s="20"/>
      <c r="C11" s="20"/>
      <c r="D11" s="20" t="str" cm="1">
        <f t="array" aca="1" ref="D11" ca="1">IF(I11="","",INDIRECT("'Grad Raw Data'!G"&amp;I11))</f>
        <v/>
      </c>
      <c r="H11">
        <v>11</v>
      </c>
      <c r="I11" t="str">
        <f t="shared" si="0"/>
        <v/>
      </c>
    </row>
    <row r="12" spans="1:9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 cm="1">
        <f t="array" aca="1" ref="D12" ca="1">IF(I12="","",INDIRECT("'Grad Raw Data'!G"&amp;I12))</f>
        <v>0</v>
      </c>
      <c r="E12" s="44" t="str">
        <f>'Grad Raw Data'!D7</f>
        <v>RIGHT</v>
      </c>
      <c r="F12" s="44">
        <f>'Grad Raw Data'!E7</f>
        <v>1</v>
      </c>
      <c r="H12">
        <v>12</v>
      </c>
      <c r="I12">
        <f t="shared" si="0"/>
        <v>7</v>
      </c>
    </row>
    <row r="13" spans="1:9" ht="24.95" customHeight="1" x14ac:dyDescent="0.25">
      <c r="A13" s="16" cm="1">
        <f t="array" aca="1" ref="A13" ca="1">IF(I12="","",INDIRECT("'Grad Raw Data'!L"&amp;I12))</f>
        <v>0</v>
      </c>
      <c r="B13" s="20"/>
      <c r="C13" s="20"/>
      <c r="D13" s="20" t="str" cm="1">
        <f t="array" aca="1" ref="D13" ca="1">IF(I13="","",INDIRECT("'Grad Raw Data'!G"&amp;I13))</f>
        <v/>
      </c>
      <c r="H13">
        <v>13</v>
      </c>
      <c r="I13" t="str">
        <f t="shared" si="0"/>
        <v/>
      </c>
    </row>
    <row r="14" spans="1:9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 cm="1">
        <f t="array" aca="1" ref="D14" ca="1">IF(I14="","",INDIRECT("'Grad Raw Data'!G"&amp;I14))</f>
        <v>0</v>
      </c>
      <c r="E14" s="44" t="str">
        <f>'Grad Raw Data'!D8</f>
        <v>RIGHT</v>
      </c>
      <c r="F14" s="44">
        <f>'Grad Raw Data'!E8</f>
        <v>1</v>
      </c>
      <c r="H14">
        <v>14</v>
      </c>
      <c r="I14">
        <f t="shared" si="0"/>
        <v>8</v>
      </c>
    </row>
    <row r="15" spans="1:9" ht="24.95" customHeight="1" x14ac:dyDescent="0.25">
      <c r="A15" s="16" cm="1">
        <f t="array" aca="1" ref="A15" ca="1">IF(I12="","",INDIRECT("'Grad Raw Data'!L"&amp;I14))</f>
        <v>0</v>
      </c>
      <c r="B15" s="20"/>
      <c r="C15" s="20"/>
      <c r="D15" s="20" t="str" cm="1">
        <f t="array" aca="1" ref="D15" ca="1">IF(I15="","",INDIRECT("'Grad Raw Data'!G"&amp;I15))</f>
        <v/>
      </c>
      <c r="H15">
        <v>15</v>
      </c>
      <c r="I15" t="str">
        <f t="shared" si="0"/>
        <v/>
      </c>
    </row>
    <row r="16" spans="1:9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 cm="1">
        <f t="array" aca="1" ref="D16" ca="1">IF(I16="","",INDIRECT("'Grad Raw Data'!G"&amp;I16))</f>
        <v>0</v>
      </c>
      <c r="E16" s="44" t="str">
        <f>'Grad Raw Data'!D9</f>
        <v>RIGHT</v>
      </c>
      <c r="F16" s="44">
        <f>'Grad Raw Data'!E9</f>
        <v>1</v>
      </c>
      <c r="H16">
        <v>16</v>
      </c>
      <c r="I16">
        <f t="shared" si="0"/>
        <v>9</v>
      </c>
    </row>
    <row r="17" spans="1:9" ht="24.95" customHeight="1" x14ac:dyDescent="0.25">
      <c r="A17" s="16">
        <f>'Grad Raw Data'!L9</f>
        <v>0</v>
      </c>
      <c r="B17" s="20"/>
      <c r="C17" s="20"/>
      <c r="D17" s="20" t="str" cm="1">
        <f t="array" aca="1" ref="D17" ca="1">IF(I17="","",INDIRECT("'Grad Raw Data'!G"&amp;I17))</f>
        <v/>
      </c>
      <c r="H17">
        <v>17</v>
      </c>
      <c r="I17" t="str">
        <f t="shared" si="0"/>
        <v/>
      </c>
    </row>
    <row r="18" spans="1:9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 cm="1">
        <f t="array" aca="1" ref="D18" ca="1">IF(I18="","",INDIRECT("'Grad Raw Data'!G"&amp;I18))</f>
        <v>0</v>
      </c>
      <c r="E18" s="44" t="str">
        <f>'Grad Raw Data'!D10</f>
        <v>RIGHT</v>
      </c>
      <c r="F18" s="44">
        <f>'Grad Raw Data'!E10</f>
        <v>1</v>
      </c>
      <c r="H18">
        <v>18</v>
      </c>
      <c r="I18">
        <f t="shared" si="0"/>
        <v>10</v>
      </c>
    </row>
    <row r="19" spans="1:9" ht="24.95" customHeight="1" x14ac:dyDescent="0.25">
      <c r="A19" s="16"/>
      <c r="B19" s="20"/>
      <c r="C19" s="20"/>
      <c r="D19" s="20" t="str" cm="1">
        <f t="array" aca="1" ref="D19" ca="1">IF(I19="","",INDIRECT("'Grad Raw Data'!G"&amp;I19))</f>
        <v/>
      </c>
      <c r="H19">
        <v>19</v>
      </c>
      <c r="I19" t="str">
        <f t="shared" si="0"/>
        <v/>
      </c>
    </row>
    <row r="20" spans="1:9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 cm="1">
        <f t="array" aca="1" ref="D20" ca="1">IF(I20="","",INDIRECT("'Grad Raw Data'!G"&amp;I20))</f>
        <v>0</v>
      </c>
      <c r="E20" s="44" t="str">
        <f>'Grad Raw Data'!D11</f>
        <v>RIGHT</v>
      </c>
      <c r="F20" s="44">
        <f>'Grad Raw Data'!E11</f>
        <v>1</v>
      </c>
      <c r="H20">
        <v>20</v>
      </c>
      <c r="I20">
        <f t="shared" si="0"/>
        <v>11</v>
      </c>
    </row>
    <row r="21" spans="1:9" ht="24.95" customHeight="1" x14ac:dyDescent="0.25">
      <c r="A21" s="16">
        <f>'Grad Raw Data'!L11</f>
        <v>0</v>
      </c>
      <c r="B21" s="20"/>
      <c r="C21" s="20"/>
      <c r="D21" s="20" t="str" cm="1">
        <f t="array" aca="1" ref="D21" ca="1">IF(I21="","",INDIRECT("'Grad Raw Data'!G"&amp;I21))</f>
        <v/>
      </c>
      <c r="H21">
        <v>21</v>
      </c>
      <c r="I21" t="str">
        <f t="shared" si="0"/>
        <v/>
      </c>
    </row>
    <row r="22" spans="1:9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 cm="1">
        <f t="array" aca="1" ref="D22" ca="1">IF(I22="","",INDIRECT("'Grad Raw Data'!G"&amp;I22))</f>
        <v>0</v>
      </c>
      <c r="E22" s="44" t="str">
        <f>'Grad Raw Data'!D12</f>
        <v>RIGHT</v>
      </c>
      <c r="F22" s="44">
        <f>'Grad Raw Data'!E12</f>
        <v>1</v>
      </c>
      <c r="H22">
        <v>22</v>
      </c>
      <c r="I22">
        <f t="shared" si="0"/>
        <v>12</v>
      </c>
    </row>
    <row r="23" spans="1:9" ht="24.95" customHeight="1" x14ac:dyDescent="0.25">
      <c r="A23" s="16">
        <f>'Grad Raw Data'!L11</f>
        <v>0</v>
      </c>
      <c r="B23" s="20"/>
      <c r="C23" s="20"/>
      <c r="D23" s="20" t="str" cm="1">
        <f t="array" aca="1" ref="D23" ca="1">IF(I23="","",INDIRECT("'Grad Raw Data'!G"&amp;I23))</f>
        <v/>
      </c>
      <c r="H23">
        <v>23</v>
      </c>
      <c r="I23" t="str">
        <f t="shared" si="0"/>
        <v/>
      </c>
    </row>
    <row r="24" spans="1:9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 cm="1">
        <f t="array" aca="1" ref="D24" ca="1">IF(I24="","",INDIRECT("'Grad Raw Data'!G"&amp;I24))</f>
        <v>0</v>
      </c>
      <c r="E24" s="44" t="str">
        <f>'Grad Raw Data'!D13</f>
        <v>RIGHT</v>
      </c>
      <c r="F24" s="44">
        <f>'Grad Raw Data'!E13</f>
        <v>1</v>
      </c>
      <c r="H24">
        <v>24</v>
      </c>
      <c r="I24">
        <f t="shared" si="0"/>
        <v>13</v>
      </c>
    </row>
    <row r="25" spans="1:9" ht="24.95" customHeight="1" x14ac:dyDescent="0.25">
      <c r="A25" s="16">
        <f>'Grad Raw Data'!L13</f>
        <v>0</v>
      </c>
      <c r="B25" s="20"/>
      <c r="C25" s="20"/>
      <c r="D25" s="20" t="str" cm="1">
        <f t="array" aca="1" ref="D25" ca="1">IF(I25="","",INDIRECT("'Grad Raw Data'!G"&amp;I25))</f>
        <v/>
      </c>
      <c r="H25">
        <v>25</v>
      </c>
      <c r="I25" t="str">
        <f t="shared" si="0"/>
        <v/>
      </c>
    </row>
    <row r="26" spans="1:9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 cm="1">
        <f t="array" aca="1" ref="D26" ca="1">IF(I26="","",INDIRECT("'Grad Raw Data'!G"&amp;I26))</f>
        <v>0</v>
      </c>
      <c r="E26" s="44" t="str">
        <f>'Grad Raw Data'!D14</f>
        <v>RIGHT</v>
      </c>
      <c r="F26" s="44">
        <f>'Grad Raw Data'!E14</f>
        <v>1</v>
      </c>
      <c r="H26">
        <v>26</v>
      </c>
      <c r="I26">
        <f t="shared" si="0"/>
        <v>14</v>
      </c>
    </row>
    <row r="27" spans="1:9" ht="24.95" customHeight="1" x14ac:dyDescent="0.25">
      <c r="A27" s="16" t="str">
        <f>'Grad Raw Data'!L14</f>
        <v>a-bod-ee</v>
      </c>
      <c r="B27" s="20"/>
      <c r="C27" s="20"/>
      <c r="D27" s="20" t="str" cm="1">
        <f t="array" aca="1" ref="D27" ca="1">IF(I27="","",INDIRECT("'Grad Raw Data'!G"&amp;I27))</f>
        <v/>
      </c>
      <c r="H27">
        <v>27</v>
      </c>
      <c r="I27" t="str">
        <f t="shared" si="0"/>
        <v/>
      </c>
    </row>
    <row r="28" spans="1:9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 cm="1">
        <f t="array" aca="1" ref="D28" ca="1">IF(I28="","",INDIRECT("'Grad Raw Data'!G"&amp;I28))</f>
        <v>0</v>
      </c>
      <c r="E28" s="44" t="str">
        <f>'Grad Raw Data'!D15</f>
        <v>RIGHT</v>
      </c>
      <c r="F28" s="44">
        <f>'Grad Raw Data'!E15</f>
        <v>1</v>
      </c>
      <c r="H28">
        <v>28</v>
      </c>
      <c r="I28">
        <f t="shared" si="0"/>
        <v>15</v>
      </c>
    </row>
    <row r="29" spans="1:9" ht="24.95" customHeight="1" x14ac:dyDescent="0.25">
      <c r="A29" s="16" t="str">
        <f>'Grad Raw Data'!L14</f>
        <v>a-bod-ee</v>
      </c>
      <c r="B29" s="20"/>
      <c r="C29" s="20"/>
      <c r="D29" s="20" t="str" cm="1">
        <f t="array" aca="1" ref="D29" ca="1">IF(I29="","",INDIRECT("'Grad Raw Data'!G"&amp;I29))</f>
        <v/>
      </c>
      <c r="H29">
        <v>29</v>
      </c>
      <c r="I29" t="str">
        <f t="shared" si="0"/>
        <v/>
      </c>
    </row>
    <row r="30" spans="1:9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 cm="1">
        <f t="array" aca="1" ref="D30" ca="1">IF(I30="","",INDIRECT("'Grad Raw Data'!G"&amp;I30))</f>
        <v>0</v>
      </c>
      <c r="E30" s="44" t="str">
        <f>'Grad Raw Data'!D16</f>
        <v>RIGHT</v>
      </c>
      <c r="F30" s="44">
        <f>'Grad Raw Data'!E16</f>
        <v>1</v>
      </c>
      <c r="H30">
        <v>30</v>
      </c>
      <c r="I30">
        <f t="shared" si="0"/>
        <v>16</v>
      </c>
    </row>
    <row r="31" spans="1:9" ht="24.95" customHeight="1" x14ac:dyDescent="0.25">
      <c r="A31" s="16" t="str">
        <f>'Grad Raw Data'!L14</f>
        <v>a-bod-ee</v>
      </c>
      <c r="B31" s="20"/>
      <c r="C31" s="20"/>
      <c r="D31" s="20" t="str" cm="1">
        <f t="array" aca="1" ref="D31" ca="1">IF(I31="","",INDIRECT("'Grad Raw Data'!G"&amp;I31))</f>
        <v/>
      </c>
      <c r="H31">
        <v>31</v>
      </c>
      <c r="I31" t="str">
        <f t="shared" si="0"/>
        <v/>
      </c>
    </row>
    <row r="32" spans="1:9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 cm="1">
        <f t="array" aca="1" ref="D32" ca="1">IF(I32="","",INDIRECT("'Grad Raw Data'!G"&amp;I32))</f>
        <v>0</v>
      </c>
      <c r="E32" s="44" t="str">
        <f>'Grad Raw Data'!D17</f>
        <v>RIGHT</v>
      </c>
      <c r="F32" s="44">
        <f>'Grad Raw Data'!E17</f>
        <v>1</v>
      </c>
      <c r="H32">
        <v>32</v>
      </c>
      <c r="I32">
        <f t="shared" si="0"/>
        <v>17</v>
      </c>
    </row>
    <row r="33" spans="1:9" ht="24.95" customHeight="1" x14ac:dyDescent="0.25">
      <c r="A33" s="16" t="str">
        <f>'Grad Raw Data'!L14</f>
        <v>a-bod-ee</v>
      </c>
      <c r="B33" s="20"/>
      <c r="C33" s="20"/>
      <c r="D33" s="20" t="str" cm="1">
        <f t="array" aca="1" ref="D33" ca="1">IF(I33="","",INDIRECT("'Grad Raw Data'!G"&amp;I33))</f>
        <v/>
      </c>
      <c r="H33">
        <v>33</v>
      </c>
      <c r="I33" t="str">
        <f t="shared" si="0"/>
        <v/>
      </c>
    </row>
    <row r="34" spans="1:9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 cm="1">
        <f t="array" aca="1" ref="D34" ca="1">IF(I34="","",INDIRECT("'Grad Raw Data'!G"&amp;I34))</f>
        <v>0</v>
      </c>
      <c r="E34" s="44" t="str">
        <f>'Grad Raw Data'!D18</f>
        <v>RIGHT</v>
      </c>
      <c r="F34" s="44">
        <f>'Grad Raw Data'!E18</f>
        <v>1</v>
      </c>
      <c r="H34">
        <v>34</v>
      </c>
      <c r="I34">
        <f t="shared" si="0"/>
        <v>18</v>
      </c>
    </row>
    <row r="35" spans="1:9" ht="24.95" customHeight="1" x14ac:dyDescent="0.25">
      <c r="A35" s="16"/>
      <c r="B35" s="20"/>
      <c r="C35" s="20"/>
      <c r="D35" s="20" t="str" cm="1">
        <f t="array" aca="1" ref="D35" ca="1">IF(I35="","",INDIRECT("'Grad Raw Data'!G"&amp;I35))</f>
        <v/>
      </c>
      <c r="H35">
        <v>35</v>
      </c>
      <c r="I35" t="str">
        <f t="shared" si="0"/>
        <v/>
      </c>
    </row>
    <row r="36" spans="1:9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 cm="1">
        <f t="array" aca="1" ref="D36" ca="1">IF(I36="","",INDIRECT("'Grad Raw Data'!G"&amp;I36))</f>
        <v>0</v>
      </c>
      <c r="E36" s="44" t="str">
        <f>'Grad Raw Data'!D19</f>
        <v>LEFT</v>
      </c>
      <c r="F36" s="44">
        <f>'Grad Raw Data'!E19</f>
        <v>1</v>
      </c>
      <c r="H36">
        <v>36</v>
      </c>
      <c r="I36">
        <f t="shared" si="0"/>
        <v>19</v>
      </c>
    </row>
    <row r="37" spans="1:9" ht="24.95" customHeight="1" x14ac:dyDescent="0.25">
      <c r="A37" s="16" t="str">
        <f>'Grad Raw Data'!L19</f>
        <v>Aiello (I-L-O)</v>
      </c>
      <c r="B37" s="20"/>
      <c r="C37" s="20"/>
      <c r="D37" s="20" t="str" cm="1">
        <f t="array" aca="1" ref="D37" ca="1">IF(I37="","",INDIRECT("'Grad Raw Data'!G"&amp;I37))</f>
        <v/>
      </c>
      <c r="H37">
        <v>37</v>
      </c>
      <c r="I37" t="str">
        <f t="shared" si="0"/>
        <v/>
      </c>
    </row>
    <row r="38" spans="1:9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 cm="1">
        <f t="array" aca="1" ref="D38" ca="1">IF(I38="","",INDIRECT("'Grad Raw Data'!G"&amp;I38))</f>
        <v>0</v>
      </c>
      <c r="E38" s="44" t="str">
        <f>'Grad Raw Data'!D20</f>
        <v>LEFT</v>
      </c>
      <c r="F38" s="44">
        <f>'Grad Raw Data'!E20</f>
        <v>1</v>
      </c>
      <c r="H38">
        <v>38</v>
      </c>
      <c r="I38">
        <f t="shared" si="0"/>
        <v>20</v>
      </c>
    </row>
    <row r="39" spans="1:9" ht="24.95" customHeight="1" x14ac:dyDescent="0.25">
      <c r="A39" s="16" t="str">
        <f>'Grad Raw Data'!L20</f>
        <v>Reese Allen</v>
      </c>
      <c r="B39" s="20"/>
      <c r="C39" s="20"/>
      <c r="D39" s="20" t="str" cm="1">
        <f t="array" aca="1" ref="D39" ca="1">IF(I39="","",INDIRECT("'Grad Raw Data'!G"&amp;I39))</f>
        <v/>
      </c>
      <c r="H39">
        <v>39</v>
      </c>
      <c r="I39" t="str">
        <f t="shared" si="0"/>
        <v/>
      </c>
    </row>
    <row r="40" spans="1:9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 cm="1">
        <f t="array" aca="1" ref="D40" ca="1">IF(I40="","",INDIRECT("'Grad Raw Data'!G"&amp;I40))</f>
        <v>0</v>
      </c>
      <c r="E40" s="44" t="str">
        <f>'Grad Raw Data'!D21</f>
        <v>LEFT</v>
      </c>
      <c r="F40" s="44">
        <f>'Grad Raw Data'!E21</f>
        <v>1</v>
      </c>
      <c r="H40">
        <v>40</v>
      </c>
      <c r="I40">
        <f t="shared" si="0"/>
        <v>21</v>
      </c>
    </row>
    <row r="41" spans="1:9" ht="24.95" customHeight="1" x14ac:dyDescent="0.25">
      <c r="A41" s="16" t="str">
        <f>'Grad Raw Data'!L21</f>
        <v>Fah-bree-cee-oh Ah-mod-oh</v>
      </c>
      <c r="B41" s="20"/>
      <c r="C41" s="20"/>
      <c r="D41" s="20" t="str" cm="1">
        <f t="array" aca="1" ref="D41" ca="1">IF(I41="","",INDIRECT("'Grad Raw Data'!G"&amp;I41))</f>
        <v/>
      </c>
      <c r="H41">
        <v>41</v>
      </c>
      <c r="I41" t="str">
        <f t="shared" si="0"/>
        <v/>
      </c>
    </row>
    <row r="42" spans="1:9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 cm="1">
        <f t="array" aca="1" ref="D42" ca="1">IF(I42="","",INDIRECT("'Grad Raw Data'!G"&amp;I42))</f>
        <v>0</v>
      </c>
      <c r="E42" s="44" t="str">
        <f>'Grad Raw Data'!D22</f>
        <v>LEFT</v>
      </c>
      <c r="F42" s="44">
        <f>'Grad Raw Data'!E22</f>
        <v>1</v>
      </c>
      <c r="H42">
        <v>42</v>
      </c>
      <c r="I42">
        <f t="shared" si="0"/>
        <v>22</v>
      </c>
    </row>
    <row r="43" spans="1:9" ht="24.95" customHeight="1" x14ac:dyDescent="0.25">
      <c r="A43" s="16">
        <f>'Grad Raw Data'!L22</f>
        <v>0</v>
      </c>
      <c r="B43" s="20"/>
      <c r="C43" s="20"/>
      <c r="D43" s="20" t="str" cm="1">
        <f t="array" aca="1" ref="D43" ca="1">IF(I43="","",INDIRECT("'Grad Raw Data'!G"&amp;I43))</f>
        <v/>
      </c>
      <c r="H43">
        <v>43</v>
      </c>
      <c r="I43" t="str">
        <f t="shared" si="0"/>
        <v/>
      </c>
    </row>
    <row r="44" spans="1:9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 cm="1">
        <f t="array" aca="1" ref="D44" ca="1">IF(I44="","",INDIRECT("'Grad Raw Data'!G"&amp;I44))</f>
        <v>0</v>
      </c>
      <c r="E44" s="44" t="str">
        <f>'Grad Raw Data'!D23</f>
        <v>LEFT</v>
      </c>
      <c r="F44" s="44">
        <f>'Grad Raw Data'!E23</f>
        <v>1</v>
      </c>
      <c r="H44">
        <v>44</v>
      </c>
      <c r="I44">
        <f t="shared" si="0"/>
        <v>23</v>
      </c>
    </row>
    <row r="45" spans="1:9" ht="24.95" customHeight="1" x14ac:dyDescent="0.25">
      <c r="A45" s="16">
        <f>'Grad Raw Data'!L23</f>
        <v>0</v>
      </c>
      <c r="B45" s="20"/>
      <c r="C45" s="20"/>
      <c r="D45" s="20" t="str" cm="1">
        <f t="array" aca="1" ref="D45" ca="1">IF(I45="","",INDIRECT("'Grad Raw Data'!G"&amp;I45))</f>
        <v/>
      </c>
      <c r="H45">
        <v>45</v>
      </c>
      <c r="I45" t="str">
        <f t="shared" si="0"/>
        <v/>
      </c>
    </row>
    <row r="46" spans="1:9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 cm="1">
        <f t="array" aca="1" ref="D46" ca="1">IF(I46="","",INDIRECT("'Grad Raw Data'!G"&amp;I46))</f>
        <v>0</v>
      </c>
      <c r="E46" s="44" t="str">
        <f>'Grad Raw Data'!D24</f>
        <v>LEFT</v>
      </c>
      <c r="F46" s="44">
        <f>'Grad Raw Data'!E24</f>
        <v>1</v>
      </c>
      <c r="H46">
        <v>46</v>
      </c>
      <c r="I46">
        <f t="shared" si="0"/>
        <v>24</v>
      </c>
    </row>
    <row r="47" spans="1:9" ht="24.95" customHeight="1" x14ac:dyDescent="0.25">
      <c r="A47" s="16">
        <f>'Grad Raw Data'!L24</f>
        <v>0</v>
      </c>
      <c r="B47" s="20"/>
      <c r="C47" s="20"/>
      <c r="D47" s="20" t="str" cm="1">
        <f t="array" aca="1" ref="D47" ca="1">IF(I47="","",INDIRECT("'Grad Raw Data'!G"&amp;I47))</f>
        <v/>
      </c>
      <c r="H47">
        <v>47</v>
      </c>
      <c r="I47" t="str">
        <f t="shared" si="0"/>
        <v/>
      </c>
    </row>
    <row r="48" spans="1:9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 cm="1">
        <f t="array" aca="1" ref="D48" ca="1">IF(I48="","",INDIRECT("'Grad Raw Data'!G"&amp;I48))</f>
        <v>0</v>
      </c>
      <c r="E48" s="44" t="str">
        <f>'Grad Raw Data'!D25</f>
        <v>LEFT</v>
      </c>
      <c r="F48" s="44">
        <f>'Grad Raw Data'!E25</f>
        <v>1</v>
      </c>
      <c r="H48">
        <v>48</v>
      </c>
      <c r="I48">
        <f t="shared" si="0"/>
        <v>25</v>
      </c>
    </row>
    <row r="49" spans="1:9" ht="24.95" customHeight="1" x14ac:dyDescent="0.25">
      <c r="A49" s="16" t="str">
        <f>'Grad Raw Data'!L25</f>
        <v>Isabell-uh Ah-kee-no</v>
      </c>
      <c r="B49" s="20"/>
      <c r="C49" s="20"/>
      <c r="D49" s="20" t="str" cm="1">
        <f t="array" aca="1" ref="D49" ca="1">IF(I49="","",INDIRECT("'Grad Raw Data'!G"&amp;I49))</f>
        <v/>
      </c>
      <c r="H49">
        <v>49</v>
      </c>
      <c r="I49" t="str">
        <f t="shared" si="0"/>
        <v/>
      </c>
    </row>
    <row r="50" spans="1:9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 cm="1">
        <f t="array" aca="1" ref="D50" ca="1">IF(I50="","",INDIRECT("'Grad Raw Data'!G"&amp;I50))</f>
        <v>0</v>
      </c>
      <c r="E50" s="44" t="str">
        <f>'Grad Raw Data'!D26</f>
        <v>LEFT</v>
      </c>
      <c r="F50" s="44">
        <f>'Grad Raw Data'!E26</f>
        <v>1</v>
      </c>
      <c r="H50">
        <v>50</v>
      </c>
      <c r="I50">
        <f t="shared" si="0"/>
        <v>26</v>
      </c>
    </row>
    <row r="51" spans="1:9" ht="24.95" customHeight="1" x14ac:dyDescent="0.25">
      <c r="A51" s="16">
        <f>'Grad Raw Data'!L26</f>
        <v>0</v>
      </c>
      <c r="B51" s="20"/>
      <c r="C51" s="20"/>
      <c r="D51" s="20" t="str" cm="1">
        <f t="array" aca="1" ref="D51" ca="1">IF(I51="","",INDIRECT("'Grad Raw Data'!G"&amp;I51))</f>
        <v/>
      </c>
      <c r="H51">
        <v>51</v>
      </c>
      <c r="I51" t="str">
        <f t="shared" si="0"/>
        <v/>
      </c>
    </row>
    <row r="52" spans="1:9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 cm="1">
        <f t="array" aca="1" ref="D52" ca="1">IF(I52="","",INDIRECT("'Grad Raw Data'!G"&amp;I52))</f>
        <v>0</v>
      </c>
      <c r="E52" s="44" t="str">
        <f>'Grad Raw Data'!D27</f>
        <v>LEFT</v>
      </c>
      <c r="F52" s="44">
        <f>'Grad Raw Data'!E27</f>
        <v>1</v>
      </c>
      <c r="H52">
        <v>52</v>
      </c>
      <c r="I52">
        <f t="shared" si="0"/>
        <v>27</v>
      </c>
    </row>
    <row r="53" spans="1:9" ht="24.95" customHeight="1" x14ac:dyDescent="0.25">
      <c r="A53" s="16" t="str">
        <f>'Grad Raw Data'!L27</f>
        <v>TEE-ah-go AH-ra-joe</v>
      </c>
      <c r="B53" s="20"/>
      <c r="C53" s="20"/>
      <c r="D53" s="20" t="str" cm="1">
        <f t="array" aca="1" ref="D53" ca="1">IF(I53="","",INDIRECT("'Grad Raw Data'!G"&amp;I53))</f>
        <v/>
      </c>
      <c r="H53">
        <v>53</v>
      </c>
      <c r="I53" t="str">
        <f t="shared" si="0"/>
        <v/>
      </c>
    </row>
    <row r="54" spans="1:9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 cm="1">
        <f t="array" aca="1" ref="D54" ca="1">IF(I54="","",INDIRECT("'Grad Raw Data'!G"&amp;I54))</f>
        <v>0</v>
      </c>
      <c r="E54" s="44" t="str">
        <f>'Grad Raw Data'!D28</f>
        <v>LEFT</v>
      </c>
      <c r="F54" s="44">
        <f>'Grad Raw Data'!E28</f>
        <v>1</v>
      </c>
      <c r="H54">
        <v>54</v>
      </c>
      <c r="I54">
        <f t="shared" si="0"/>
        <v>28</v>
      </c>
    </row>
    <row r="55" spans="1:9" ht="24.95" customHeight="1" x14ac:dyDescent="0.25">
      <c r="A55" s="16" t="str">
        <f>'Grad Raw Data'!L28</f>
        <v>ah-reh-toozy</v>
      </c>
      <c r="B55" s="20"/>
      <c r="C55" s="20"/>
      <c r="D55" s="20" t="str" cm="1">
        <f t="array" aca="1" ref="D55" ca="1">IF(I55="","",INDIRECT("'Grad Raw Data'!G"&amp;I55))</f>
        <v/>
      </c>
      <c r="H55">
        <v>55</v>
      </c>
      <c r="I55" t="str">
        <f t="shared" si="0"/>
        <v/>
      </c>
    </row>
    <row r="56" spans="1:9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 cm="1">
        <f t="array" aca="1" ref="D56" ca="1">IF(I56="","",INDIRECT("'Grad Raw Data'!G"&amp;I56))</f>
        <v>0</v>
      </c>
      <c r="E56" s="44" t="str">
        <f>'Grad Raw Data'!D29</f>
        <v>LEFT</v>
      </c>
      <c r="F56" s="44">
        <f>'Grad Raw Data'!E29</f>
        <v>1</v>
      </c>
      <c r="H56">
        <v>56</v>
      </c>
      <c r="I56">
        <f t="shared" si="0"/>
        <v>29</v>
      </c>
    </row>
    <row r="57" spans="1:9" ht="24.95" customHeight="1" x14ac:dyDescent="0.25">
      <c r="A57" s="16">
        <f>'Grad Raw Data'!L29</f>
        <v>0</v>
      </c>
      <c r="B57" s="20"/>
      <c r="C57" s="20"/>
      <c r="D57" s="20" t="str" cm="1">
        <f t="array" aca="1" ref="D57" ca="1">IF(I57="","",INDIRECT("'Grad Raw Data'!G"&amp;I57))</f>
        <v/>
      </c>
      <c r="H57">
        <v>57</v>
      </c>
      <c r="I57" t="str">
        <f t="shared" si="0"/>
        <v/>
      </c>
    </row>
    <row r="58" spans="1:9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 cm="1">
        <f t="array" aca="1" ref="D58" ca="1">IF(I58="","",INDIRECT("'Grad Raw Data'!G"&amp;I58))</f>
        <v>0</v>
      </c>
      <c r="E58" s="44" t="str">
        <f>'Grad Raw Data'!D30</f>
        <v>LEFT</v>
      </c>
      <c r="F58" s="44">
        <f>'Grad Raw Data'!E30</f>
        <v>1</v>
      </c>
      <c r="H58">
        <v>58</v>
      </c>
      <c r="I58">
        <f t="shared" si="0"/>
        <v>30</v>
      </c>
    </row>
    <row r="59" spans="1:9" ht="24.95" customHeight="1" x14ac:dyDescent="0.25">
      <c r="A59" s="16">
        <f>'Grad Raw Data'!L30</f>
        <v>0</v>
      </c>
      <c r="B59" s="20"/>
      <c r="C59" s="20"/>
      <c r="D59" s="20" t="str" cm="1">
        <f t="array" aca="1" ref="D59" ca="1">IF(I59="","",INDIRECT("'Grad Raw Data'!G"&amp;I59))</f>
        <v/>
      </c>
      <c r="H59">
        <v>59</v>
      </c>
      <c r="I59" t="str">
        <f t="shared" si="0"/>
        <v/>
      </c>
    </row>
    <row r="60" spans="1:9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 cm="1">
        <f t="array" aca="1" ref="D60" ca="1">IF(I60="","",INDIRECT("'Grad Raw Data'!G"&amp;I60))</f>
        <v>0</v>
      </c>
      <c r="E60" s="44" t="str">
        <f>'Grad Raw Data'!D31</f>
        <v>RIGHT</v>
      </c>
      <c r="F60" s="44">
        <f>'Grad Raw Data'!E31</f>
        <v>2</v>
      </c>
      <c r="H60">
        <v>60</v>
      </c>
      <c r="I60">
        <f t="shared" si="0"/>
        <v>31</v>
      </c>
    </row>
    <row r="61" spans="1:9" ht="24.95" customHeight="1" x14ac:dyDescent="0.25">
      <c r="A61" s="16">
        <f>'Grad Raw Data'!L31</f>
        <v>0</v>
      </c>
      <c r="B61" s="20"/>
      <c r="C61" s="20"/>
      <c r="D61" s="20" t="str" cm="1">
        <f t="array" aca="1" ref="D61" ca="1">IF(I61="","",INDIRECT("'Grad Raw Data'!G"&amp;I61))</f>
        <v/>
      </c>
      <c r="H61">
        <v>61</v>
      </c>
      <c r="I61" t="str">
        <f t="shared" si="0"/>
        <v/>
      </c>
    </row>
    <row r="62" spans="1:9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 cm="1">
        <f t="array" aca="1" ref="D62" ca="1">IF(I62="","",INDIRECT("'Grad Raw Data'!G"&amp;I62))</f>
        <v>0</v>
      </c>
      <c r="E62" s="44" t="str">
        <f>'Grad Raw Data'!D32</f>
        <v>RIGHT</v>
      </c>
      <c r="F62" s="44">
        <f>'Grad Raw Data'!E32</f>
        <v>2</v>
      </c>
      <c r="H62">
        <v>62</v>
      </c>
      <c r="I62">
        <f t="shared" si="0"/>
        <v>32</v>
      </c>
    </row>
    <row r="63" spans="1:9" ht="24.95" customHeight="1" x14ac:dyDescent="0.25">
      <c r="A63" s="16" t="str">
        <f>'Grad Raw Data'!L32</f>
        <v xml:space="preserve">Quan </v>
      </c>
      <c r="B63" s="20"/>
      <c r="C63" s="20"/>
      <c r="D63" s="20" t="str" cm="1">
        <f t="array" aca="1" ref="D63" ca="1">IF(I63="","",INDIRECT("'Grad Raw Data'!G"&amp;I63))</f>
        <v/>
      </c>
      <c r="H63">
        <v>63</v>
      </c>
      <c r="I63" t="str">
        <f t="shared" si="0"/>
        <v/>
      </c>
    </row>
    <row r="64" spans="1:9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 cm="1">
        <f t="array" aca="1" ref="D64" ca="1">IF(I64="","",INDIRECT("'Grad Raw Data'!G"&amp;I64))</f>
        <v>0</v>
      </c>
      <c r="E64" s="44" t="str">
        <f>'Grad Raw Data'!D33</f>
        <v>RIGHT</v>
      </c>
      <c r="F64" s="44">
        <f>'Grad Raw Data'!E33</f>
        <v>2</v>
      </c>
      <c r="H64">
        <v>64</v>
      </c>
      <c r="I64">
        <f t="shared" si="0"/>
        <v>33</v>
      </c>
    </row>
    <row r="65" spans="1:9" ht="24.95" customHeight="1" x14ac:dyDescent="0.25">
      <c r="A65" s="16" t="str">
        <f>'Grad Raw Data'!L33</f>
        <v>Bowl-ee-oh</v>
      </c>
      <c r="B65" s="20"/>
      <c r="C65" s="20"/>
      <c r="D65" s="20" t="str" cm="1">
        <f t="array" aca="1" ref="D65" ca="1">IF(I65="","",INDIRECT("'Grad Raw Data'!G"&amp;I65))</f>
        <v/>
      </c>
      <c r="H65">
        <v>65</v>
      </c>
      <c r="I65" t="str">
        <f t="shared" si="0"/>
        <v/>
      </c>
    </row>
    <row r="66" spans="1:9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 cm="1">
        <f t="array" aca="1" ref="D66" ca="1">IF(I66="","",INDIRECT("'Grad Raw Data'!G"&amp;I66))</f>
        <v>0</v>
      </c>
      <c r="E66" s="44" t="str">
        <f>'Grad Raw Data'!D34</f>
        <v>RIGHT</v>
      </c>
      <c r="F66" s="44">
        <f>'Grad Raw Data'!E34</f>
        <v>2</v>
      </c>
      <c r="H66">
        <v>66</v>
      </c>
      <c r="I66">
        <f t="shared" si="0"/>
        <v>34</v>
      </c>
    </row>
    <row r="67" spans="1:9" ht="24.95" customHeight="1" x14ac:dyDescent="0.25">
      <c r="A67" s="16" t="str">
        <f>'Grad Raw Data'!L34</f>
        <v>Jah-nye</v>
      </c>
      <c r="B67" s="20"/>
      <c r="C67" s="20"/>
      <c r="D67" s="20" t="str" cm="1">
        <f t="array" aca="1" ref="D67" ca="1">IF(I67="","",INDIRECT("'Grad Raw Data'!G"&amp;I67))</f>
        <v/>
      </c>
      <c r="H67">
        <v>67</v>
      </c>
      <c r="I67" t="str">
        <f t="shared" ref="I67:I130" si="1">IF(MOD((H67+2)/1,2)=0,(H67/2+1),"")</f>
        <v/>
      </c>
    </row>
    <row r="68" spans="1:9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 cm="1">
        <f t="array" aca="1" ref="D68" ca="1">IF(I68="","",INDIRECT("'Grad Raw Data'!G"&amp;I68))</f>
        <v>0</v>
      </c>
      <c r="E68" s="44" t="str">
        <f>'Grad Raw Data'!D35</f>
        <v>RIGHT</v>
      </c>
      <c r="F68" s="44">
        <f>'Grad Raw Data'!E35</f>
        <v>2</v>
      </c>
      <c r="H68">
        <v>68</v>
      </c>
      <c r="I68">
        <f t="shared" si="1"/>
        <v>35</v>
      </c>
    </row>
    <row r="69" spans="1:9" ht="24.95" customHeight="1" x14ac:dyDescent="0.25">
      <c r="A69" s="16">
        <f>'Grad Raw Data'!L35</f>
        <v>0</v>
      </c>
      <c r="B69" s="20"/>
      <c r="C69" s="20"/>
      <c r="D69" s="20" t="str" cm="1">
        <f t="array" aca="1" ref="D69" ca="1">IF(I69="","",INDIRECT("'Grad Raw Data'!G"&amp;I69))</f>
        <v/>
      </c>
      <c r="H69">
        <v>69</v>
      </c>
      <c r="I69" t="str">
        <f t="shared" si="1"/>
        <v/>
      </c>
    </row>
    <row r="70" spans="1:9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 cm="1">
        <f t="array" aca="1" ref="D70" ca="1">IF(I70="","",INDIRECT("'Grad Raw Data'!G"&amp;I70))</f>
        <v>0</v>
      </c>
      <c r="E70" s="44" t="str">
        <f>'Grad Raw Data'!D36</f>
        <v>RIGHT</v>
      </c>
      <c r="F70" s="44">
        <f>'Grad Raw Data'!E36</f>
        <v>2</v>
      </c>
      <c r="H70">
        <v>70</v>
      </c>
      <c r="I70">
        <f t="shared" si="1"/>
        <v>36</v>
      </c>
    </row>
    <row r="71" spans="1:9" ht="24.95" customHeight="1" x14ac:dyDescent="0.25">
      <c r="A71" s="16">
        <f>'Grad Raw Data'!L36</f>
        <v>0</v>
      </c>
      <c r="B71" s="20"/>
      <c r="C71" s="20"/>
      <c r="D71" s="20" t="str" cm="1">
        <f t="array" aca="1" ref="D71" ca="1">IF(I71="","",INDIRECT("'Grad Raw Data'!G"&amp;I71))</f>
        <v/>
      </c>
      <c r="H71">
        <v>71</v>
      </c>
      <c r="I71" t="str">
        <f t="shared" si="1"/>
        <v/>
      </c>
    </row>
    <row r="72" spans="1:9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 cm="1">
        <f t="array" aca="1" ref="D72" ca="1">IF(I72="","",INDIRECT("'Grad Raw Data'!G"&amp;I72))</f>
        <v>0</v>
      </c>
      <c r="E72" s="44" t="str">
        <f>'Grad Raw Data'!D37</f>
        <v>RIGHT</v>
      </c>
      <c r="F72" s="44">
        <f>'Grad Raw Data'!E37</f>
        <v>2</v>
      </c>
      <c r="H72">
        <v>72</v>
      </c>
      <c r="I72">
        <f t="shared" si="1"/>
        <v>37</v>
      </c>
    </row>
    <row r="73" spans="1:9" ht="24.95" customHeight="1" x14ac:dyDescent="0.25">
      <c r="A73" s="16" t="str">
        <f>'Grad Raw Data'!L37</f>
        <v xml:space="preserve">D- anya </v>
      </c>
      <c r="B73" s="20"/>
      <c r="C73" s="20"/>
      <c r="D73" s="20" t="str" cm="1">
        <f t="array" aca="1" ref="D73" ca="1">IF(I73="","",INDIRECT("'Grad Raw Data'!G"&amp;I73))</f>
        <v/>
      </c>
      <c r="H73">
        <v>73</v>
      </c>
      <c r="I73" t="str">
        <f t="shared" si="1"/>
        <v/>
      </c>
    </row>
    <row r="74" spans="1:9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 cm="1">
        <f t="array" aca="1" ref="D74" ca="1">IF(I74="","",INDIRECT("'Grad Raw Data'!G"&amp;I74))</f>
        <v>0</v>
      </c>
      <c r="E74" s="44" t="str">
        <f>'Grad Raw Data'!D38</f>
        <v>RIGHT</v>
      </c>
      <c r="F74" s="44">
        <f>'Grad Raw Data'!E38</f>
        <v>2</v>
      </c>
      <c r="H74">
        <v>74</v>
      </c>
      <c r="I74">
        <f t="shared" si="1"/>
        <v>38</v>
      </c>
    </row>
    <row r="75" spans="1:9" ht="24.95" customHeight="1" x14ac:dyDescent="0.25">
      <c r="A75" s="16" t="str">
        <f>'Grad Raw Data'!L38</f>
        <v>BOO-SHAY</v>
      </c>
      <c r="B75" s="20"/>
      <c r="C75" s="20"/>
      <c r="D75" s="20" t="str" cm="1">
        <f t="array" aca="1" ref="D75" ca="1">IF(I75="","",INDIRECT("'Grad Raw Data'!G"&amp;I75))</f>
        <v/>
      </c>
      <c r="H75">
        <v>75</v>
      </c>
      <c r="I75" t="str">
        <f t="shared" si="1"/>
        <v/>
      </c>
    </row>
    <row r="76" spans="1:9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 cm="1">
        <f t="array" aca="1" ref="D76" ca="1">IF(I76="","",INDIRECT("'Grad Raw Data'!G"&amp;I76))</f>
        <v>0</v>
      </c>
      <c r="E76" s="44" t="str">
        <f>'Grad Raw Data'!D39</f>
        <v>RIGHT</v>
      </c>
      <c r="F76" s="44">
        <f>'Grad Raw Data'!E39</f>
        <v>2</v>
      </c>
      <c r="H76">
        <v>76</v>
      </c>
      <c r="I76">
        <f t="shared" si="1"/>
        <v>39</v>
      </c>
    </row>
    <row r="77" spans="1:9" ht="24.95" customHeight="1" x14ac:dyDescent="0.25">
      <c r="A77" s="16">
        <f>'Grad Raw Data'!L39</f>
        <v>0</v>
      </c>
      <c r="B77" s="20"/>
      <c r="C77" s="20"/>
      <c r="D77" s="20" t="str" cm="1">
        <f t="array" aca="1" ref="D77" ca="1">IF(I77="","",INDIRECT("'Grad Raw Data'!G"&amp;I77))</f>
        <v/>
      </c>
      <c r="H77">
        <v>77</v>
      </c>
      <c r="I77" t="str">
        <f t="shared" si="1"/>
        <v/>
      </c>
    </row>
    <row r="78" spans="1:9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 cm="1">
        <f t="array" aca="1" ref="D78" ca="1">IF(I78="","",INDIRECT("'Grad Raw Data'!G"&amp;I78))</f>
        <v>0</v>
      </c>
      <c r="E78" s="44" t="str">
        <f>'Grad Raw Data'!D40</f>
        <v>RIGHT</v>
      </c>
      <c r="F78" s="44">
        <f>'Grad Raw Data'!E40</f>
        <v>2</v>
      </c>
      <c r="H78">
        <v>78</v>
      </c>
      <c r="I78">
        <f t="shared" si="1"/>
        <v>40</v>
      </c>
    </row>
    <row r="79" spans="1:9" ht="24.95" customHeight="1" x14ac:dyDescent="0.25">
      <c r="A79" s="16" t="str">
        <f>'Grad Raw Data'!L40</f>
        <v>bohl-in</v>
      </c>
      <c r="B79" s="20"/>
      <c r="C79" s="20"/>
      <c r="D79" s="20" t="str" cm="1">
        <f t="array" aca="1" ref="D79" ca="1">IF(I79="","",INDIRECT("'Grad Raw Data'!G"&amp;I79))</f>
        <v/>
      </c>
      <c r="H79">
        <v>79</v>
      </c>
      <c r="I79" t="str">
        <f t="shared" si="1"/>
        <v/>
      </c>
    </row>
    <row r="80" spans="1:9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 cm="1">
        <f t="array" aca="1" ref="D80" ca="1">IF(I80="","",INDIRECT("'Grad Raw Data'!G"&amp;I80))</f>
        <v>0</v>
      </c>
      <c r="E80" s="44" t="str">
        <f>'Grad Raw Data'!D41</f>
        <v>RIGHT</v>
      </c>
      <c r="F80" s="44">
        <f>'Grad Raw Data'!E41</f>
        <v>2</v>
      </c>
      <c r="H80">
        <v>80</v>
      </c>
      <c r="I80">
        <f t="shared" si="1"/>
        <v>41</v>
      </c>
    </row>
    <row r="81" spans="1:9" ht="24.95" customHeight="1" x14ac:dyDescent="0.25">
      <c r="A81" s="16">
        <f>'Grad Raw Data'!L41</f>
        <v>0</v>
      </c>
      <c r="B81" s="20"/>
      <c r="C81" s="20"/>
      <c r="D81" s="20" t="str" cm="1">
        <f t="array" aca="1" ref="D81" ca="1">IF(I81="","",INDIRECT("'Grad Raw Data'!G"&amp;I81))</f>
        <v/>
      </c>
      <c r="H81">
        <v>81</v>
      </c>
      <c r="I81" t="str">
        <f t="shared" si="1"/>
        <v/>
      </c>
    </row>
    <row r="82" spans="1:9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 cm="1">
        <f t="array" aca="1" ref="D82" ca="1">IF(I82="","",INDIRECT("'Grad Raw Data'!G"&amp;I82))</f>
        <v>0</v>
      </c>
      <c r="E82" s="44" t="str">
        <f>'Grad Raw Data'!D42</f>
        <v>RIGHT</v>
      </c>
      <c r="F82" s="44">
        <f>'Grad Raw Data'!E42</f>
        <v>2</v>
      </c>
      <c r="H82">
        <v>82</v>
      </c>
      <c r="I82">
        <f t="shared" si="1"/>
        <v>42</v>
      </c>
    </row>
    <row r="83" spans="1:9" ht="24.95" customHeight="1" x14ac:dyDescent="0.25">
      <c r="A83" s="16">
        <f>'Grad Raw Data'!L42</f>
        <v>0</v>
      </c>
      <c r="B83" s="20"/>
      <c r="C83" s="20"/>
      <c r="D83" s="20" t="str" cm="1">
        <f t="array" aca="1" ref="D83" ca="1">IF(I83="","",INDIRECT("'Grad Raw Data'!G"&amp;I83))</f>
        <v/>
      </c>
      <c r="H83">
        <v>83</v>
      </c>
      <c r="I83" t="str">
        <f t="shared" si="1"/>
        <v/>
      </c>
    </row>
    <row r="84" spans="1:9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 cm="1">
        <f t="array" aca="1" ref="D84" ca="1">IF(I84="","",INDIRECT("'Grad Raw Data'!G"&amp;I84))</f>
        <v>0</v>
      </c>
      <c r="E84" s="44" t="str">
        <f>'Grad Raw Data'!D43</f>
        <v>LEFT</v>
      </c>
      <c r="F84" s="44">
        <f>'Grad Raw Data'!E43</f>
        <v>2</v>
      </c>
      <c r="H84">
        <v>84</v>
      </c>
      <c r="I84">
        <f t="shared" si="1"/>
        <v>43</v>
      </c>
    </row>
    <row r="85" spans="1:9" ht="24.95" customHeight="1" x14ac:dyDescent="0.25">
      <c r="A85" s="16">
        <f>'Grad Raw Data'!L43</f>
        <v>0</v>
      </c>
      <c r="B85" s="20"/>
      <c r="C85" s="20"/>
      <c r="D85" s="20" t="str" cm="1">
        <f t="array" aca="1" ref="D85" ca="1">IF(I85="","",INDIRECT("'Grad Raw Data'!G"&amp;I85))</f>
        <v/>
      </c>
      <c r="H85">
        <v>85</v>
      </c>
      <c r="I85" t="str">
        <f t="shared" si="1"/>
        <v/>
      </c>
    </row>
    <row r="86" spans="1:9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 cm="1">
        <f t="array" aca="1" ref="D86" ca="1">IF(I86="","",INDIRECT("'Grad Raw Data'!G"&amp;I86))</f>
        <v>0</v>
      </c>
      <c r="E86" s="44" t="str">
        <f>'Grad Raw Data'!D44</f>
        <v>LEFT</v>
      </c>
      <c r="F86" s="44">
        <f>'Grad Raw Data'!E44</f>
        <v>2</v>
      </c>
      <c r="H86">
        <v>86</v>
      </c>
      <c r="I86">
        <f t="shared" si="1"/>
        <v>44</v>
      </c>
    </row>
    <row r="87" spans="1:9" ht="24.95" customHeight="1" x14ac:dyDescent="0.25">
      <c r="A87" s="16">
        <f>'Grad Raw Data'!L44</f>
        <v>0</v>
      </c>
      <c r="B87" s="20"/>
      <c r="C87" s="20"/>
      <c r="D87" s="20" t="str" cm="1">
        <f t="array" aca="1" ref="D87" ca="1">IF(I87="","",INDIRECT("'Grad Raw Data'!G"&amp;I87))</f>
        <v/>
      </c>
      <c r="H87">
        <v>87</v>
      </c>
      <c r="I87" t="str">
        <f t="shared" si="1"/>
        <v/>
      </c>
    </row>
    <row r="88" spans="1:9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 cm="1">
        <f t="array" aca="1" ref="D88" ca="1">IF(I88="","",INDIRECT("'Grad Raw Data'!G"&amp;I88))</f>
        <v>0</v>
      </c>
      <c r="E88" s="44" t="str">
        <f>'Grad Raw Data'!D45</f>
        <v>LEFT</v>
      </c>
      <c r="F88" s="44">
        <f>'Grad Raw Data'!E45</f>
        <v>2</v>
      </c>
      <c r="H88">
        <v>88</v>
      </c>
      <c r="I88">
        <f t="shared" si="1"/>
        <v>45</v>
      </c>
    </row>
    <row r="89" spans="1:9" ht="24.95" customHeight="1" x14ac:dyDescent="0.25">
      <c r="A89" s="16">
        <f>'Grad Raw Data'!L45</f>
        <v>0</v>
      </c>
      <c r="B89" s="20"/>
      <c r="C89" s="20"/>
      <c r="D89" s="20" t="str" cm="1">
        <f t="array" aca="1" ref="D89" ca="1">IF(I89="","",INDIRECT("'Grad Raw Data'!G"&amp;I89))</f>
        <v/>
      </c>
      <c r="H89">
        <v>89</v>
      </c>
      <c r="I89" t="str">
        <f t="shared" si="1"/>
        <v/>
      </c>
    </row>
    <row r="90" spans="1:9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 cm="1">
        <f t="array" aca="1" ref="D90" ca="1">IF(I90="","",INDIRECT("'Grad Raw Data'!G"&amp;I90))</f>
        <v>0</v>
      </c>
      <c r="E90" s="44" t="str">
        <f>'Grad Raw Data'!D46</f>
        <v>LEFT</v>
      </c>
      <c r="F90" s="44">
        <f>'Grad Raw Data'!E46</f>
        <v>2</v>
      </c>
      <c r="H90">
        <v>90</v>
      </c>
      <c r="I90">
        <f t="shared" si="1"/>
        <v>46</v>
      </c>
    </row>
    <row r="91" spans="1:9" ht="24.95" customHeight="1" x14ac:dyDescent="0.25">
      <c r="A91" s="16">
        <f>'Grad Raw Data'!L46</f>
        <v>0</v>
      </c>
      <c r="B91" s="20"/>
      <c r="C91" s="20"/>
      <c r="D91" s="20" t="str" cm="1">
        <f t="array" aca="1" ref="D91" ca="1">IF(I91="","",INDIRECT("'Grad Raw Data'!G"&amp;I91))</f>
        <v/>
      </c>
      <c r="H91">
        <v>91</v>
      </c>
      <c r="I91" t="str">
        <f t="shared" si="1"/>
        <v/>
      </c>
    </row>
    <row r="92" spans="1:9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 cm="1">
        <f t="array" aca="1" ref="D92" ca="1">IF(I92="","",INDIRECT("'Grad Raw Data'!G"&amp;I92))</f>
        <v>0</v>
      </c>
      <c r="E92" s="44" t="str">
        <f>'Grad Raw Data'!D47</f>
        <v>LEFT</v>
      </c>
      <c r="F92" s="44">
        <f>'Grad Raw Data'!E47</f>
        <v>2</v>
      </c>
      <c r="H92">
        <v>92</v>
      </c>
      <c r="I92">
        <f t="shared" si="1"/>
        <v>47</v>
      </c>
    </row>
    <row r="93" spans="1:9" ht="24.95" customHeight="1" x14ac:dyDescent="0.25">
      <c r="A93" s="16"/>
      <c r="B93" s="20"/>
      <c r="C93" s="20"/>
      <c r="D93" s="20" t="str" cm="1">
        <f t="array" aca="1" ref="D93" ca="1">IF(I93="","",INDIRECT("'Grad Raw Data'!G"&amp;I93))</f>
        <v/>
      </c>
      <c r="H93">
        <v>93</v>
      </c>
      <c r="I93" t="str">
        <f t="shared" si="1"/>
        <v/>
      </c>
    </row>
    <row r="94" spans="1:9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 cm="1">
        <f t="array" aca="1" ref="D94" ca="1">IF(I94="","",INDIRECT("'Grad Raw Data'!G"&amp;I94))</f>
        <v>0</v>
      </c>
      <c r="E94" s="44" t="str">
        <f>'Grad Raw Data'!D48</f>
        <v>LEFT</v>
      </c>
      <c r="F94" s="44">
        <f>'Grad Raw Data'!E48</f>
        <v>2</v>
      </c>
      <c r="H94">
        <v>94</v>
      </c>
      <c r="I94">
        <f t="shared" si="1"/>
        <v>48</v>
      </c>
    </row>
    <row r="95" spans="1:9" ht="24.95" customHeight="1" x14ac:dyDescent="0.25">
      <c r="A95" s="16" t="str">
        <f>'Grad Raw Data'!L48</f>
        <v>Car-See-O-Nee</v>
      </c>
      <c r="B95" s="20"/>
      <c r="C95" s="20"/>
      <c r="D95" s="20" t="str" cm="1">
        <f t="array" aca="1" ref="D95" ca="1">IF(I95="","",INDIRECT("'Grad Raw Data'!G"&amp;I95))</f>
        <v/>
      </c>
      <c r="H95">
        <v>95</v>
      </c>
      <c r="I95" t="str">
        <f t="shared" si="1"/>
        <v/>
      </c>
    </row>
    <row r="96" spans="1:9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 cm="1">
        <f t="array" aca="1" ref="D96" ca="1">IF(I96="","",INDIRECT("'Grad Raw Data'!G"&amp;I96))</f>
        <v>0</v>
      </c>
      <c r="E96" s="44" t="str">
        <f>'Grad Raw Data'!D49</f>
        <v>LEFT</v>
      </c>
      <c r="F96" s="44">
        <f>'Grad Raw Data'!E49</f>
        <v>2</v>
      </c>
      <c r="H96">
        <v>96</v>
      </c>
      <c r="I96">
        <f t="shared" si="1"/>
        <v>49</v>
      </c>
    </row>
    <row r="97" spans="1:9" ht="24.95" customHeight="1" x14ac:dyDescent="0.25">
      <c r="A97" s="16">
        <f>'Grad Raw Data'!L49</f>
        <v>0</v>
      </c>
      <c r="B97" s="20"/>
      <c r="C97" s="20"/>
      <c r="D97" s="20" t="str" cm="1">
        <f t="array" aca="1" ref="D97" ca="1">IF(I97="","",INDIRECT("'Grad Raw Data'!G"&amp;I97))</f>
        <v/>
      </c>
      <c r="H97">
        <v>97</v>
      </c>
      <c r="I97" t="str">
        <f t="shared" si="1"/>
        <v/>
      </c>
    </row>
    <row r="98" spans="1:9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 cm="1">
        <f t="array" aca="1" ref="D98" ca="1">IF(I98="","",INDIRECT("'Grad Raw Data'!G"&amp;I98))</f>
        <v>0</v>
      </c>
      <c r="E98" s="44" t="str">
        <f>'Grad Raw Data'!D50</f>
        <v>LEFT</v>
      </c>
      <c r="F98" s="44">
        <f>'Grad Raw Data'!E50</f>
        <v>2</v>
      </c>
      <c r="H98">
        <v>98</v>
      </c>
      <c r="I98">
        <f t="shared" si="1"/>
        <v>50</v>
      </c>
    </row>
    <row r="99" spans="1:9" ht="24.95" customHeight="1" x14ac:dyDescent="0.25">
      <c r="A99" s="16">
        <f>'Grad Raw Data'!L50</f>
        <v>0</v>
      </c>
      <c r="B99" s="20"/>
      <c r="C99" s="20"/>
      <c r="D99" s="20" t="str" cm="1">
        <f t="array" aca="1" ref="D99" ca="1">IF(I99="","",INDIRECT("'Grad Raw Data'!G"&amp;I99))</f>
        <v/>
      </c>
      <c r="H99">
        <v>99</v>
      </c>
      <c r="I99" t="str">
        <f t="shared" si="1"/>
        <v/>
      </c>
    </row>
    <row r="100" spans="1:9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 cm="1">
        <f t="array" aca="1" ref="D100" ca="1">IF(I100="","",INDIRECT("'Grad Raw Data'!G"&amp;I100))</f>
        <v>0</v>
      </c>
      <c r="E100" s="44" t="str">
        <f>'Grad Raw Data'!D51</f>
        <v>LEFT</v>
      </c>
      <c r="F100" s="44">
        <f>'Grad Raw Data'!E51</f>
        <v>2</v>
      </c>
      <c r="H100">
        <v>100</v>
      </c>
      <c r="I100">
        <f t="shared" si="1"/>
        <v>51</v>
      </c>
    </row>
    <row r="101" spans="1:9" ht="24.95" customHeight="1" x14ac:dyDescent="0.25">
      <c r="A101" s="16">
        <f>'Grad Raw Data'!L51</f>
        <v>0</v>
      </c>
      <c r="B101" s="20"/>
      <c r="C101" s="20"/>
      <c r="D101" s="20" t="str" cm="1">
        <f t="array" aca="1" ref="D101" ca="1">IF(I101="","",INDIRECT("'Grad Raw Data'!G"&amp;I101))</f>
        <v/>
      </c>
      <c r="H101">
        <v>101</v>
      </c>
      <c r="I101" t="str">
        <f t="shared" si="1"/>
        <v/>
      </c>
    </row>
    <row r="102" spans="1:9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 cm="1">
        <f t="array" aca="1" ref="D102" ca="1">IF(I102="","",INDIRECT("'Grad Raw Data'!G"&amp;I102))</f>
        <v>0</v>
      </c>
      <c r="E102" s="44" t="str">
        <f>'Grad Raw Data'!D52</f>
        <v>LEFT</v>
      </c>
      <c r="F102" s="44">
        <f>'Grad Raw Data'!E52</f>
        <v>2</v>
      </c>
      <c r="H102">
        <v>102</v>
      </c>
      <c r="I102">
        <f t="shared" si="1"/>
        <v>52</v>
      </c>
    </row>
    <row r="103" spans="1:9" ht="24.95" customHeight="1" x14ac:dyDescent="0.25">
      <c r="A103" s="16">
        <f>'Grad Raw Data'!L52</f>
        <v>0</v>
      </c>
      <c r="B103" s="20"/>
      <c r="C103" s="20"/>
      <c r="D103" s="20" t="str" cm="1">
        <f t="array" aca="1" ref="D103" ca="1">IF(I103="","",INDIRECT("'Grad Raw Data'!G"&amp;I103))</f>
        <v/>
      </c>
      <c r="H103">
        <v>103</v>
      </c>
      <c r="I103" t="str">
        <f t="shared" si="1"/>
        <v/>
      </c>
    </row>
    <row r="104" spans="1:9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 cm="1">
        <f t="array" aca="1" ref="D104" ca="1">IF(I104="","",INDIRECT("'Grad Raw Data'!G"&amp;I104))</f>
        <v>0</v>
      </c>
      <c r="E104" s="44" t="str">
        <f>'Grad Raw Data'!D53</f>
        <v>LEFT</v>
      </c>
      <c r="F104" s="44">
        <f>'Grad Raw Data'!E53</f>
        <v>2</v>
      </c>
      <c r="H104">
        <v>104</v>
      </c>
      <c r="I104">
        <f t="shared" si="1"/>
        <v>53</v>
      </c>
    </row>
    <row r="105" spans="1:9" ht="24.95" customHeight="1" x14ac:dyDescent="0.25">
      <c r="A105" s="16">
        <f>'Grad Raw Data'!L53</f>
        <v>0</v>
      </c>
      <c r="B105" s="20"/>
      <c r="C105" s="20"/>
      <c r="D105" s="20" t="str" cm="1">
        <f t="array" aca="1" ref="D105" ca="1">IF(I105="","",INDIRECT("'Grad Raw Data'!G"&amp;I105))</f>
        <v/>
      </c>
      <c r="H105">
        <v>105</v>
      </c>
      <c r="I105" t="str">
        <f t="shared" si="1"/>
        <v/>
      </c>
    </row>
    <row r="106" spans="1:9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 cm="1">
        <f t="array" aca="1" ref="D106" ca="1">IF(I106="","",INDIRECT("'Grad Raw Data'!G"&amp;I106))</f>
        <v>0</v>
      </c>
      <c r="E106" s="44" t="str">
        <f>'Grad Raw Data'!D54</f>
        <v>LEFT</v>
      </c>
      <c r="F106" s="44">
        <f>'Grad Raw Data'!E54</f>
        <v>2</v>
      </c>
      <c r="H106">
        <v>106</v>
      </c>
      <c r="I106">
        <f t="shared" si="1"/>
        <v>54</v>
      </c>
    </row>
    <row r="107" spans="1:9" ht="24.95" customHeight="1" x14ac:dyDescent="0.25">
      <c r="A107" s="16" t="str">
        <f>'Grad Raw Data'!L54</f>
        <v xml:space="preserve">Suh-row-nee </v>
      </c>
      <c r="B107" s="20"/>
      <c r="C107" s="20"/>
      <c r="D107" s="20" t="str" cm="1">
        <f t="array" aca="1" ref="D107" ca="1">IF(I107="","",INDIRECT("'Grad Raw Data'!G"&amp;I107))</f>
        <v/>
      </c>
      <c r="H107">
        <v>107</v>
      </c>
      <c r="I107" t="str">
        <f t="shared" si="1"/>
        <v/>
      </c>
    </row>
    <row r="108" spans="1:9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 cm="1">
        <f t="array" aca="1" ref="D108" ca="1">IF(I108="","",INDIRECT("'Grad Raw Data'!G"&amp;I108))</f>
        <v>0</v>
      </c>
      <c r="E108" s="44" t="str">
        <f>'Grad Raw Data'!D55</f>
        <v>RIGHT</v>
      </c>
      <c r="F108" s="44">
        <f>'Grad Raw Data'!E55</f>
        <v>3</v>
      </c>
      <c r="H108">
        <v>108</v>
      </c>
      <c r="I108">
        <f t="shared" si="1"/>
        <v>55</v>
      </c>
    </row>
    <row r="109" spans="1:9" ht="24.95" customHeight="1" x14ac:dyDescent="0.25">
      <c r="A109" s="16">
        <f>'Grad Raw Data'!L55</f>
        <v>0</v>
      </c>
      <c r="B109" s="20"/>
      <c r="C109" s="20"/>
      <c r="D109" s="20" t="str" cm="1">
        <f t="array" aca="1" ref="D109" ca="1">IF(I109="","",INDIRECT("'Grad Raw Data'!G"&amp;I109))</f>
        <v/>
      </c>
      <c r="H109">
        <v>109</v>
      </c>
      <c r="I109" t="str">
        <f t="shared" si="1"/>
        <v/>
      </c>
    </row>
    <row r="110" spans="1:9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 cm="1">
        <f t="array" aca="1" ref="D110" ca="1">IF(I110="","",INDIRECT("'Grad Raw Data'!G"&amp;I110))</f>
        <v>0</v>
      </c>
      <c r="E110" s="44" t="str">
        <f>'Grad Raw Data'!D56</f>
        <v>RIGHT</v>
      </c>
      <c r="F110" s="44">
        <f>'Grad Raw Data'!E56</f>
        <v>3</v>
      </c>
      <c r="H110">
        <v>110</v>
      </c>
      <c r="I110">
        <f t="shared" si="1"/>
        <v>56</v>
      </c>
    </row>
    <row r="111" spans="1:9" ht="24.95" customHeight="1" x14ac:dyDescent="0.25">
      <c r="A111" s="16">
        <f>'Grad Raw Data'!L56</f>
        <v>0</v>
      </c>
      <c r="B111" s="20"/>
      <c r="C111" s="20"/>
      <c r="D111" s="20" t="str" cm="1">
        <f t="array" aca="1" ref="D111" ca="1">IF(I111="","",INDIRECT("'Grad Raw Data'!G"&amp;I111))</f>
        <v/>
      </c>
      <c r="H111">
        <v>111</v>
      </c>
      <c r="I111" t="str">
        <f t="shared" si="1"/>
        <v/>
      </c>
    </row>
    <row r="112" spans="1:9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 cm="1">
        <f t="array" aca="1" ref="D112" ca="1">IF(I112="","",INDIRECT("'Grad Raw Data'!G"&amp;I112))</f>
        <v>0</v>
      </c>
      <c r="E112" s="44" t="str">
        <f>'Grad Raw Data'!D57</f>
        <v>RIGHT</v>
      </c>
      <c r="F112" s="44">
        <f>'Grad Raw Data'!E57</f>
        <v>3</v>
      </c>
      <c r="H112">
        <v>112</v>
      </c>
      <c r="I112">
        <f t="shared" si="1"/>
        <v>57</v>
      </c>
    </row>
    <row r="113" spans="1:9" ht="24.95" customHeight="1" x14ac:dyDescent="0.25">
      <c r="A113" s="16">
        <f>'Grad Raw Data'!L57</f>
        <v>0</v>
      </c>
      <c r="B113" s="20"/>
      <c r="C113" s="20"/>
      <c r="D113" s="20" t="str" cm="1">
        <f t="array" aca="1" ref="D113" ca="1">IF(I113="","",INDIRECT("'Grad Raw Data'!G"&amp;I113))</f>
        <v/>
      </c>
      <c r="H113">
        <v>113</v>
      </c>
      <c r="I113" t="str">
        <f t="shared" si="1"/>
        <v/>
      </c>
    </row>
    <row r="114" spans="1:9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 cm="1">
        <f t="array" aca="1" ref="D114" ca="1">IF(I114="","",INDIRECT("'Grad Raw Data'!G"&amp;I114))</f>
        <v>0</v>
      </c>
      <c r="E114" s="44" t="str">
        <f>'Grad Raw Data'!D58</f>
        <v>RIGHT</v>
      </c>
      <c r="F114" s="44">
        <f>'Grad Raw Data'!E58</f>
        <v>3</v>
      </c>
      <c r="H114">
        <v>114</v>
      </c>
      <c r="I114">
        <f t="shared" si="1"/>
        <v>58</v>
      </c>
    </row>
    <row r="115" spans="1:9" ht="24.95" customHeight="1" x14ac:dyDescent="0.25">
      <c r="A115" s="16" t="str">
        <f>'Grad Raw Data'!L58</f>
        <v>Brady Com-e-nose</v>
      </c>
      <c r="B115" s="20"/>
      <c r="C115" s="20"/>
      <c r="D115" s="20" t="str" cm="1">
        <f t="array" aca="1" ref="D115" ca="1">IF(I115="","",INDIRECT("'Grad Raw Data'!G"&amp;I115))</f>
        <v/>
      </c>
      <c r="H115">
        <v>115</v>
      </c>
      <c r="I115" t="str">
        <f t="shared" si="1"/>
        <v/>
      </c>
    </row>
    <row r="116" spans="1:9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 cm="1">
        <f t="array" aca="1" ref="D116" ca="1">IF(I116="","",INDIRECT("'Grad Raw Data'!G"&amp;I116))</f>
        <v>0</v>
      </c>
      <c r="E116" s="44" t="str">
        <f>'Grad Raw Data'!D59</f>
        <v>RIGHT</v>
      </c>
      <c r="F116" s="44">
        <f>'Grad Raw Data'!E59</f>
        <v>3</v>
      </c>
      <c r="H116">
        <v>116</v>
      </c>
      <c r="I116">
        <f t="shared" si="1"/>
        <v>59</v>
      </c>
    </row>
    <row r="117" spans="1:9" ht="24.95" customHeight="1" x14ac:dyDescent="0.25">
      <c r="A117" s="16" t="str">
        <f>'Grad Raw Data'!L59</f>
        <v xml:space="preserve">Landen connelly </v>
      </c>
      <c r="B117" s="20"/>
      <c r="C117" s="20"/>
      <c r="D117" s="20" t="str" cm="1">
        <f t="array" aca="1" ref="D117" ca="1">IF(I117="","",INDIRECT("'Grad Raw Data'!G"&amp;I117))</f>
        <v/>
      </c>
      <c r="H117">
        <v>117</v>
      </c>
      <c r="I117" t="str">
        <f t="shared" si="1"/>
        <v/>
      </c>
    </row>
    <row r="118" spans="1:9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 cm="1">
        <f t="array" aca="1" ref="D118" ca="1">IF(I118="","",INDIRECT("'Grad Raw Data'!G"&amp;I118))</f>
        <v>0</v>
      </c>
      <c r="E118" s="44" t="str">
        <f>'Grad Raw Data'!D60</f>
        <v>RIGHT</v>
      </c>
      <c r="F118" s="44">
        <f>'Grad Raw Data'!E60</f>
        <v>3</v>
      </c>
      <c r="H118">
        <v>118</v>
      </c>
      <c r="I118">
        <f t="shared" si="1"/>
        <v>60</v>
      </c>
    </row>
    <row r="119" spans="1:9" ht="24.95" customHeight="1" x14ac:dyDescent="0.25">
      <c r="A119" s="16">
        <f>'Grad Raw Data'!L60</f>
        <v>0</v>
      </c>
      <c r="B119" s="20"/>
      <c r="C119" s="20"/>
      <c r="D119" s="20" t="str" cm="1">
        <f t="array" aca="1" ref="D119" ca="1">IF(I119="","",INDIRECT("'Grad Raw Data'!G"&amp;I119))</f>
        <v/>
      </c>
      <c r="H119">
        <v>119</v>
      </c>
      <c r="I119" t="str">
        <f t="shared" si="1"/>
        <v/>
      </c>
    </row>
    <row r="120" spans="1:9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 cm="1">
        <f t="array" aca="1" ref="D120" ca="1">IF(I120="","",INDIRECT("'Grad Raw Data'!G"&amp;I120))</f>
        <v>0</v>
      </c>
      <c r="E120" s="44" t="str">
        <f>'Grad Raw Data'!D61</f>
        <v>RIGHT</v>
      </c>
      <c r="F120" s="44">
        <f>'Grad Raw Data'!E61</f>
        <v>3</v>
      </c>
      <c r="H120">
        <v>120</v>
      </c>
      <c r="I120">
        <f t="shared" si="1"/>
        <v>61</v>
      </c>
    </row>
    <row r="121" spans="1:9" ht="24.95" customHeight="1" x14ac:dyDescent="0.25">
      <c r="A121" s="16" t="str">
        <f>'Grad Raw Data'!L61</f>
        <v>Derek Connor</v>
      </c>
      <c r="B121" s="20"/>
      <c r="C121" s="20"/>
      <c r="D121" s="20" t="str" cm="1">
        <f t="array" aca="1" ref="D121" ca="1">IF(I121="","",INDIRECT("'Grad Raw Data'!G"&amp;I121))</f>
        <v/>
      </c>
      <c r="H121">
        <v>121</v>
      </c>
      <c r="I121" t="str">
        <f t="shared" si="1"/>
        <v/>
      </c>
    </row>
    <row r="122" spans="1:9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 cm="1">
        <f t="array" aca="1" ref="D122" ca="1">IF(I122="","",INDIRECT("'Grad Raw Data'!G"&amp;I122))</f>
        <v>0</v>
      </c>
      <c r="E122" s="44" t="str">
        <f>'Grad Raw Data'!D62</f>
        <v>RIGHT</v>
      </c>
      <c r="F122" s="44">
        <f>'Grad Raw Data'!E62</f>
        <v>3</v>
      </c>
      <c r="H122">
        <v>122</v>
      </c>
      <c r="I122">
        <f t="shared" si="1"/>
        <v>62</v>
      </c>
    </row>
    <row r="123" spans="1:9" ht="24.95" customHeight="1" x14ac:dyDescent="0.25">
      <c r="A123" s="16">
        <f>'Grad Raw Data'!L62</f>
        <v>0</v>
      </c>
      <c r="B123" s="20"/>
      <c r="C123" s="20"/>
      <c r="D123" s="20" t="str" cm="1">
        <f t="array" aca="1" ref="D123" ca="1">IF(I123="","",INDIRECT("'Grad Raw Data'!G"&amp;I123))</f>
        <v/>
      </c>
      <c r="H123">
        <v>123</v>
      </c>
      <c r="I123" t="str">
        <f t="shared" si="1"/>
        <v/>
      </c>
    </row>
    <row r="124" spans="1:9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 cm="1">
        <f t="array" aca="1" ref="D124" ca="1">IF(I124="","",INDIRECT("'Grad Raw Data'!G"&amp;I124))</f>
        <v>0</v>
      </c>
      <c r="E124" s="44" t="str">
        <f>'Grad Raw Data'!D63</f>
        <v>RIGHT</v>
      </c>
      <c r="F124" s="44">
        <f>'Grad Raw Data'!E63</f>
        <v>3</v>
      </c>
      <c r="H124">
        <v>124</v>
      </c>
      <c r="I124">
        <f t="shared" si="1"/>
        <v>63</v>
      </c>
    </row>
    <row r="125" spans="1:9" ht="24.95" customHeight="1" x14ac:dyDescent="0.25">
      <c r="A125" s="16">
        <f>'Grad Raw Data'!L63</f>
        <v>0</v>
      </c>
      <c r="B125" s="20"/>
      <c r="C125" s="20"/>
      <c r="D125" s="20" t="str" cm="1">
        <f t="array" aca="1" ref="D125" ca="1">IF(I125="","",INDIRECT("'Grad Raw Data'!G"&amp;I125))</f>
        <v/>
      </c>
      <c r="H125">
        <v>125</v>
      </c>
      <c r="I125" t="str">
        <f t="shared" si="1"/>
        <v/>
      </c>
    </row>
    <row r="126" spans="1:9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 cm="1">
        <f t="array" aca="1" ref="D126" ca="1">IF(I126="","",INDIRECT("'Grad Raw Data'!G"&amp;I126))</f>
        <v>0</v>
      </c>
      <c r="E126" s="44" t="str">
        <f>'Grad Raw Data'!D64</f>
        <v>RIGHT</v>
      </c>
      <c r="F126" s="44">
        <f>'Grad Raw Data'!E64</f>
        <v>3</v>
      </c>
      <c r="H126">
        <v>126</v>
      </c>
      <c r="I126">
        <f t="shared" si="1"/>
        <v>64</v>
      </c>
    </row>
    <row r="127" spans="1:9" ht="24.95" customHeight="1" x14ac:dyDescent="0.25">
      <c r="A127" s="16">
        <f>'Grad Raw Data'!L64</f>
        <v>0</v>
      </c>
      <c r="B127" s="20"/>
      <c r="C127" s="20"/>
      <c r="D127" s="20" t="str" cm="1">
        <f t="array" aca="1" ref="D127" ca="1">IF(I127="","",INDIRECT("'Grad Raw Data'!G"&amp;I127))</f>
        <v/>
      </c>
      <c r="H127">
        <v>127</v>
      </c>
      <c r="I127" t="str">
        <f t="shared" si="1"/>
        <v/>
      </c>
    </row>
    <row r="128" spans="1:9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 cm="1">
        <f t="array" aca="1" ref="D128" ca="1">IF(I128="","",INDIRECT("'Grad Raw Data'!G"&amp;I128))</f>
        <v>0</v>
      </c>
      <c r="E128" s="44" t="str">
        <f>'Grad Raw Data'!D65</f>
        <v>RIGHT</v>
      </c>
      <c r="F128" s="44">
        <f>'Grad Raw Data'!E65</f>
        <v>3</v>
      </c>
      <c r="H128">
        <v>128</v>
      </c>
      <c r="I128">
        <f t="shared" si="1"/>
        <v>65</v>
      </c>
    </row>
    <row r="129" spans="1:9" ht="24.95" customHeight="1" x14ac:dyDescent="0.25">
      <c r="A129" s="16">
        <f>'Grad Raw Data'!L65</f>
        <v>0</v>
      </c>
      <c r="B129" s="20"/>
      <c r="C129" s="20"/>
      <c r="D129" s="20" t="str" cm="1">
        <f t="array" aca="1" ref="D129" ca="1">IF(I129="","",INDIRECT("'Grad Raw Data'!G"&amp;I129))</f>
        <v/>
      </c>
      <c r="H129">
        <v>129</v>
      </c>
      <c r="I129" t="str">
        <f t="shared" si="1"/>
        <v/>
      </c>
    </row>
    <row r="130" spans="1:9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 cm="1">
        <f t="array" aca="1" ref="D130" ca="1">IF(I130="","",INDIRECT("'Grad Raw Data'!G"&amp;I130))</f>
        <v>0</v>
      </c>
      <c r="E130" s="44" t="str">
        <f>'Grad Raw Data'!D66</f>
        <v>RIGHT</v>
      </c>
      <c r="F130" s="44">
        <f>'Grad Raw Data'!E66</f>
        <v>3</v>
      </c>
      <c r="H130">
        <v>130</v>
      </c>
      <c r="I130">
        <f t="shared" si="1"/>
        <v>66</v>
      </c>
    </row>
    <row r="131" spans="1:9" ht="24.95" customHeight="1" x14ac:dyDescent="0.25">
      <c r="A131" s="16">
        <f>'Grad Raw Data'!L66</f>
        <v>0</v>
      </c>
      <c r="B131" s="20"/>
      <c r="C131" s="20"/>
      <c r="D131" s="20" t="str" cm="1">
        <f t="array" aca="1" ref="D131" ca="1">IF(I131="","",INDIRECT("'Grad Raw Data'!G"&amp;I131))</f>
        <v/>
      </c>
      <c r="H131">
        <v>131</v>
      </c>
      <c r="I131" t="str">
        <f t="shared" ref="I131:I194" si="2">IF(MOD((H131+2)/1,2)=0,(H131/2+1),"")</f>
        <v/>
      </c>
    </row>
    <row r="132" spans="1:9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 cm="1">
        <f t="array" aca="1" ref="D132" ca="1">IF(I132="","",INDIRECT("'Grad Raw Data'!G"&amp;I132))</f>
        <v>0</v>
      </c>
      <c r="E132" s="44" t="str">
        <f>'Grad Raw Data'!D67</f>
        <v>LEFT</v>
      </c>
      <c r="F132" s="44">
        <f>'Grad Raw Data'!E67</f>
        <v>3</v>
      </c>
      <c r="H132">
        <v>132</v>
      </c>
      <c r="I132">
        <f t="shared" si="2"/>
        <v>67</v>
      </c>
    </row>
    <row r="133" spans="1:9" ht="24.95" customHeight="1" x14ac:dyDescent="0.25">
      <c r="A133" s="16">
        <f>'Grad Raw Data'!L67</f>
        <v>0</v>
      </c>
      <c r="B133" s="20"/>
      <c r="C133" s="20"/>
      <c r="D133" s="20" t="str" cm="1">
        <f t="array" aca="1" ref="D133" ca="1">IF(I133="","",INDIRECT("'Grad Raw Data'!G"&amp;I133))</f>
        <v/>
      </c>
      <c r="H133">
        <v>133</v>
      </c>
      <c r="I133" t="str">
        <f t="shared" si="2"/>
        <v/>
      </c>
    </row>
    <row r="134" spans="1:9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 cm="1">
        <f t="array" aca="1" ref="D134" ca="1">IF(I134="","",INDIRECT("'Grad Raw Data'!G"&amp;I134))</f>
        <v>0</v>
      </c>
      <c r="E134" s="44" t="str">
        <f>'Grad Raw Data'!D68</f>
        <v>LEFT</v>
      </c>
      <c r="F134" s="44">
        <f>'Grad Raw Data'!E68</f>
        <v>3</v>
      </c>
      <c r="H134">
        <v>134</v>
      </c>
      <c r="I134">
        <f t="shared" si="2"/>
        <v>68</v>
      </c>
    </row>
    <row r="135" spans="1:9" ht="24.95" customHeight="1" x14ac:dyDescent="0.25">
      <c r="A135" s="16">
        <f>'Grad Raw Data'!L68</f>
        <v>0</v>
      </c>
      <c r="B135" s="20"/>
      <c r="C135" s="20"/>
      <c r="D135" s="20" t="str" cm="1">
        <f t="array" aca="1" ref="D135" ca="1">IF(I135="","",INDIRECT("'Grad Raw Data'!G"&amp;I135))</f>
        <v/>
      </c>
      <c r="H135">
        <v>135</v>
      </c>
      <c r="I135" t="str">
        <f t="shared" si="2"/>
        <v/>
      </c>
    </row>
    <row r="136" spans="1:9" ht="24.95" customHeight="1" x14ac:dyDescent="0.25">
      <c r="A136" s="20" t="str">
        <f>'Grad Raw Data'!I69</f>
        <v>Walick</v>
      </c>
      <c r="B136" s="20" t="str">
        <f>'Grad Raw Data'!K70</f>
        <v>Da</v>
      </c>
      <c r="C136" s="20" t="str">
        <f>'Grad Raw Data'!H69</f>
        <v>Silva</v>
      </c>
      <c r="D136" s="20" cm="1">
        <f t="array" aca="1" ref="D136" ca="1">IF(I136="","",INDIRECT("'Grad Raw Data'!G"&amp;I136))</f>
        <v>0</v>
      </c>
      <c r="E136" s="44" t="str">
        <f>'Grad Raw Data'!D69</f>
        <v>LEFT</v>
      </c>
      <c r="F136" s="44">
        <f>'Grad Raw Data'!E69</f>
        <v>3</v>
      </c>
      <c r="H136">
        <v>136</v>
      </c>
      <c r="I136">
        <f t="shared" si="2"/>
        <v>69</v>
      </c>
    </row>
    <row r="137" spans="1:9" ht="24.95" customHeight="1" x14ac:dyDescent="0.25">
      <c r="A137" s="16" t="str">
        <f>'Grad Raw Data'!L69</f>
        <v>Wall-lick Duh Silva</v>
      </c>
      <c r="B137" s="20"/>
      <c r="C137" s="20"/>
      <c r="D137" s="20" t="str" cm="1">
        <f t="array" aca="1" ref="D137" ca="1">IF(I137="","",INDIRECT("'Grad Raw Data'!G"&amp;I137))</f>
        <v/>
      </c>
      <c r="H137">
        <v>137</v>
      </c>
      <c r="I137" t="str">
        <f t="shared" si="2"/>
        <v/>
      </c>
    </row>
    <row r="138" spans="1:9" ht="24.95" customHeight="1" x14ac:dyDescent="0.25">
      <c r="A138" s="20" t="str">
        <f>'Grad Raw Data'!I70</f>
        <v>Cooper</v>
      </c>
      <c r="B138" s="20" t="str">
        <f>'Grad Raw Data'!K71</f>
        <v>Joseph</v>
      </c>
      <c r="C138" s="20" t="str">
        <f>'Grad Raw Data'!H70</f>
        <v>Dean</v>
      </c>
      <c r="D138" s="20" cm="1">
        <f t="array" aca="1" ref="D138" ca="1">IF(I138="","",INDIRECT("'Grad Raw Data'!G"&amp;I138))</f>
        <v>0</v>
      </c>
      <c r="E138" s="44" t="str">
        <f>'Grad Raw Data'!D70</f>
        <v>LEFT</v>
      </c>
      <c r="F138" s="44">
        <f>'Grad Raw Data'!E70</f>
        <v>3</v>
      </c>
      <c r="H138">
        <v>138</v>
      </c>
      <c r="I138">
        <f t="shared" si="2"/>
        <v>70</v>
      </c>
    </row>
    <row r="139" spans="1:9" ht="24.95" customHeight="1" x14ac:dyDescent="0.25">
      <c r="A139" s="16" t="str">
        <f>'Grad Raw Data'!L70</f>
        <v>(Coo-pur) (Joe-Sef) (Deen)</v>
      </c>
      <c r="B139" s="20"/>
      <c r="C139" s="20"/>
      <c r="D139" s="20" t="str" cm="1">
        <f t="array" aca="1" ref="D139" ca="1">IF(I139="","",INDIRECT("'Grad Raw Data'!G"&amp;I139))</f>
        <v/>
      </c>
      <c r="H139">
        <v>139</v>
      </c>
      <c r="I139" t="str">
        <f t="shared" si="2"/>
        <v/>
      </c>
    </row>
    <row r="140" spans="1:9" ht="24.95" customHeight="1" x14ac:dyDescent="0.25">
      <c r="A140" s="20" t="str">
        <f>'Grad Raw Data'!I71</f>
        <v>Happiness</v>
      </c>
      <c r="B140" s="20" t="str">
        <f>'Grad Raw Data'!K72</f>
        <v>osarugue</v>
      </c>
      <c r="C140" s="20" t="str">
        <f>'Grad Raw Data'!H71</f>
        <v>Deji</v>
      </c>
      <c r="D140" s="20" cm="1">
        <f t="array" aca="1" ref="D140" ca="1">IF(I140="","",INDIRECT("'Grad Raw Data'!G"&amp;I140))</f>
        <v>0</v>
      </c>
      <c r="E140" s="44" t="str">
        <f>'Grad Raw Data'!D71</f>
        <v>LEFT</v>
      </c>
      <c r="F140" s="44">
        <f>'Grad Raw Data'!E71</f>
        <v>3</v>
      </c>
      <c r="H140">
        <v>140</v>
      </c>
      <c r="I140">
        <f t="shared" si="2"/>
        <v>71</v>
      </c>
    </row>
    <row r="141" spans="1:9" ht="24.95" customHeight="1" x14ac:dyDescent="0.25">
      <c r="A141" s="16" t="str">
        <f>'Grad Raw Data'!L71</f>
        <v xml:space="preserve">o sa ru gue </v>
      </c>
      <c r="B141" s="20"/>
      <c r="C141" s="20"/>
      <c r="D141" s="20" t="str" cm="1">
        <f t="array" aca="1" ref="D141" ca="1">IF(I141="","",INDIRECT("'Grad Raw Data'!G"&amp;I141))</f>
        <v/>
      </c>
      <c r="H141">
        <v>141</v>
      </c>
      <c r="I141" t="str">
        <f t="shared" si="2"/>
        <v/>
      </c>
    </row>
    <row r="142" spans="1:9" ht="24.95" customHeight="1" x14ac:dyDescent="0.25">
      <c r="A142" s="20" t="str">
        <f>'Grad Raw Data'!I72</f>
        <v>Jack</v>
      </c>
      <c r="B142" s="20" t="str">
        <f>'Grad Raw Data'!K73</f>
        <v/>
      </c>
      <c r="C142" s="20" t="str">
        <f>'Grad Raw Data'!H72</f>
        <v>Denmark</v>
      </c>
      <c r="D142" s="20" cm="1">
        <f t="array" aca="1" ref="D142" ca="1">IF(I142="","",INDIRECT("'Grad Raw Data'!G"&amp;I142))</f>
        <v>0</v>
      </c>
      <c r="E142" s="44" t="str">
        <f>'Grad Raw Data'!D72</f>
        <v>LEFT</v>
      </c>
      <c r="F142" s="44">
        <f>'Grad Raw Data'!E72</f>
        <v>3</v>
      </c>
      <c r="H142">
        <v>142</v>
      </c>
      <c r="I142">
        <f t="shared" si="2"/>
        <v>72</v>
      </c>
    </row>
    <row r="143" spans="1:9" ht="24.95" customHeight="1" x14ac:dyDescent="0.25">
      <c r="A143" s="16">
        <f>'Grad Raw Data'!L72</f>
        <v>0</v>
      </c>
      <c r="B143" s="20"/>
      <c r="C143" s="20"/>
      <c r="D143" s="20" t="str" cm="1">
        <f t="array" aca="1" ref="D143" ca="1">IF(I143="","",INDIRECT("'Grad Raw Data'!G"&amp;I143))</f>
        <v/>
      </c>
      <c r="H143">
        <v>143</v>
      </c>
      <c r="I143" t="str">
        <f t="shared" si="2"/>
        <v/>
      </c>
    </row>
    <row r="144" spans="1:9" ht="24.95" customHeight="1" x14ac:dyDescent="0.25">
      <c r="A144" s="20" t="str">
        <f>'Grad Raw Data'!I73</f>
        <v>Julie</v>
      </c>
      <c r="B144" s="20" t="str">
        <f>'Grad Raw Data'!K74</f>
        <v/>
      </c>
      <c r="C144" s="20" t="str">
        <f>'Grad Raw Data'!H73</f>
        <v>DiDonato</v>
      </c>
      <c r="D144" s="20" cm="1">
        <f t="array" aca="1" ref="D144" ca="1">IF(I144="","",INDIRECT("'Grad Raw Data'!G"&amp;I144))</f>
        <v>0</v>
      </c>
      <c r="E144" s="44" t="str">
        <f>'Grad Raw Data'!D73</f>
        <v>LEFT</v>
      </c>
      <c r="F144" s="44">
        <f>'Grad Raw Data'!E73</f>
        <v>3</v>
      </c>
      <c r="H144">
        <v>144</v>
      </c>
      <c r="I144">
        <f t="shared" si="2"/>
        <v>73</v>
      </c>
    </row>
    <row r="145" spans="1:9" ht="24.95" customHeight="1" x14ac:dyDescent="0.25">
      <c r="A145" s="16" t="str">
        <f>'Grad Raw Data'!L73</f>
        <v>Dee-doe-na-to</v>
      </c>
      <c r="B145" s="20"/>
      <c r="C145" s="20"/>
      <c r="D145" s="20" t="str" cm="1">
        <f t="array" aca="1" ref="D145" ca="1">IF(I145="","",INDIRECT("'Grad Raw Data'!G"&amp;I145))</f>
        <v/>
      </c>
      <c r="H145">
        <v>145</v>
      </c>
      <c r="I145" t="str">
        <f t="shared" si="2"/>
        <v/>
      </c>
    </row>
    <row r="146" spans="1:9" ht="24.95" customHeight="1" x14ac:dyDescent="0.25">
      <c r="A146" s="20" t="str">
        <f>'Grad Raw Data'!I74</f>
        <v>Dante</v>
      </c>
      <c r="B146" s="20" t="str">
        <f>'Grad Raw Data'!K75</f>
        <v/>
      </c>
      <c r="C146" s="20" t="str">
        <f>'Grad Raw Data'!H74</f>
        <v>DiSerio</v>
      </c>
      <c r="D146" s="20" cm="1">
        <f t="array" aca="1" ref="D146" ca="1">IF(I146="","",INDIRECT("'Grad Raw Data'!G"&amp;I146))</f>
        <v>0</v>
      </c>
      <c r="E146" s="44" t="str">
        <f>'Grad Raw Data'!D74</f>
        <v>LEFT</v>
      </c>
      <c r="F146" s="44">
        <f>'Grad Raw Data'!E74</f>
        <v>3</v>
      </c>
      <c r="H146">
        <v>146</v>
      </c>
      <c r="I146">
        <f t="shared" si="2"/>
        <v>74</v>
      </c>
    </row>
    <row r="147" spans="1:9" ht="24.95" customHeight="1" x14ac:dyDescent="0.25">
      <c r="A147" s="16">
        <f>'Grad Raw Data'!L74</f>
        <v>0</v>
      </c>
      <c r="B147" s="20"/>
      <c r="C147" s="20"/>
      <c r="D147" s="20" t="str" cm="1">
        <f t="array" aca="1" ref="D147" ca="1">IF(I147="","",INDIRECT("'Grad Raw Data'!G"&amp;I147))</f>
        <v/>
      </c>
      <c r="H147">
        <v>147</v>
      </c>
      <c r="I147" t="str">
        <f t="shared" si="2"/>
        <v/>
      </c>
    </row>
    <row r="148" spans="1:9" ht="24.95" customHeight="1" x14ac:dyDescent="0.25">
      <c r="A148" s="20" t="str">
        <f>'Grad Raw Data'!I75</f>
        <v>Antonio</v>
      </c>
      <c r="B148" s="20" t="str">
        <f>'Grad Raw Data'!K76</f>
        <v>Joseph</v>
      </c>
      <c r="C148" s="20" t="str">
        <f>'Grad Raw Data'!H75</f>
        <v>DiSerio</v>
      </c>
      <c r="D148" s="20" cm="1">
        <f t="array" aca="1" ref="D148" ca="1">IF(I148="","",INDIRECT("'Grad Raw Data'!G"&amp;I148))</f>
        <v>0</v>
      </c>
      <c r="E148" s="44" t="str">
        <f>'Grad Raw Data'!D75</f>
        <v>LEFT</v>
      </c>
      <c r="F148" s="44">
        <f>'Grad Raw Data'!E75</f>
        <v>3</v>
      </c>
      <c r="H148">
        <v>148</v>
      </c>
      <c r="I148">
        <f t="shared" si="2"/>
        <v>75</v>
      </c>
    </row>
    <row r="149" spans="1:9" ht="24.95" customHeight="1" x14ac:dyDescent="0.25">
      <c r="A149" s="16" t="str">
        <f>'Grad Raw Data'!L75</f>
        <v>Dis-ear-e-o</v>
      </c>
      <c r="B149" s="20"/>
      <c r="C149" s="20"/>
      <c r="D149" s="20" t="str" cm="1">
        <f t="array" aca="1" ref="D149" ca="1">IF(I149="","",INDIRECT("'Grad Raw Data'!G"&amp;I149))</f>
        <v/>
      </c>
      <c r="H149">
        <v>149</v>
      </c>
      <c r="I149" t="str">
        <f t="shared" si="2"/>
        <v/>
      </c>
    </row>
    <row r="150" spans="1:9" ht="24.95" customHeight="1" x14ac:dyDescent="0.25">
      <c r="A150" s="20" t="str">
        <f>'Grad Raw Data'!I76</f>
        <v>Caitlin</v>
      </c>
      <c r="B150" s="20" t="str">
        <f>'Grad Raw Data'!K77</f>
        <v>Anne</v>
      </c>
      <c r="C150" s="20" t="str">
        <f>'Grad Raw Data'!H76</f>
        <v>Donaghey</v>
      </c>
      <c r="D150" s="20" cm="1">
        <f t="array" aca="1" ref="D150" ca="1">IF(I150="","",INDIRECT("'Grad Raw Data'!G"&amp;I150))</f>
        <v>0</v>
      </c>
      <c r="E150" s="44" t="str">
        <f>'Grad Raw Data'!D76</f>
        <v>LEFT</v>
      </c>
      <c r="F150" s="44">
        <f>'Grad Raw Data'!E76</f>
        <v>3</v>
      </c>
      <c r="H150">
        <v>150</v>
      </c>
      <c r="I150">
        <f t="shared" si="2"/>
        <v>76</v>
      </c>
    </row>
    <row r="151" spans="1:9" ht="24.95" customHeight="1" x14ac:dyDescent="0.25">
      <c r="A151" s="16" t="str">
        <f>'Grad Raw Data'!L76</f>
        <v>Don-a-hee</v>
      </c>
      <c r="B151" s="20"/>
      <c r="C151" s="20"/>
      <c r="D151" s="20" t="str" cm="1">
        <f t="array" aca="1" ref="D151" ca="1">IF(I151="","",INDIRECT("'Grad Raw Data'!G"&amp;I151))</f>
        <v/>
      </c>
      <c r="H151">
        <v>151</v>
      </c>
      <c r="I151" t="str">
        <f t="shared" si="2"/>
        <v/>
      </c>
    </row>
    <row r="152" spans="1:9" ht="24.95" customHeight="1" x14ac:dyDescent="0.25">
      <c r="A152" s="20" t="str">
        <f>'Grad Raw Data'!I77</f>
        <v>Quinn</v>
      </c>
      <c r="B152" s="20" t="str">
        <f>'Grad Raw Data'!K78</f>
        <v>Kendall</v>
      </c>
      <c r="C152" s="20" t="str">
        <f>'Grad Raw Data'!H77</f>
        <v>Donahue</v>
      </c>
      <c r="D152" s="20" cm="1">
        <f t="array" aca="1" ref="D152" ca="1">IF(I152="","",INDIRECT("'Grad Raw Data'!G"&amp;I152))</f>
        <v>0</v>
      </c>
      <c r="E152" s="44" t="str">
        <f>'Grad Raw Data'!D77</f>
        <v>LEFT</v>
      </c>
      <c r="F152" s="44">
        <f>'Grad Raw Data'!E77</f>
        <v>3</v>
      </c>
      <c r="H152">
        <v>152</v>
      </c>
      <c r="I152">
        <f t="shared" si="2"/>
        <v>77</v>
      </c>
    </row>
    <row r="153" spans="1:9" ht="24.95" customHeight="1" x14ac:dyDescent="0.25">
      <c r="A153" s="16">
        <f>'Grad Raw Data'!L77</f>
        <v>0</v>
      </c>
      <c r="B153" s="20"/>
      <c r="C153" s="20"/>
      <c r="D153" s="20" t="str" cm="1">
        <f t="array" aca="1" ref="D153" ca="1">IF(I153="","",INDIRECT("'Grad Raw Data'!G"&amp;I153))</f>
        <v/>
      </c>
      <c r="H153">
        <v>153</v>
      </c>
      <c r="I153" t="str">
        <f t="shared" si="2"/>
        <v/>
      </c>
    </row>
    <row r="154" spans="1:9" ht="24.95" customHeight="1" x14ac:dyDescent="0.25">
      <c r="A154" s="20" t="str">
        <f>'Grad Raw Data'!I78</f>
        <v>Alana</v>
      </c>
      <c r="B154" s="20" t="str">
        <f>'Grad Raw Data'!K79</f>
        <v>Mei-Lin Yamaki</v>
      </c>
      <c r="C154" s="20" t="str">
        <f>'Grad Raw Data'!H78</f>
        <v>Doroquez</v>
      </c>
      <c r="D154" s="20" cm="1">
        <f t="array" aca="1" ref="D154" ca="1">IF(I154="","",INDIRECT("'Grad Raw Data'!G"&amp;I154))</f>
        <v>0</v>
      </c>
      <c r="E154" s="44" t="str">
        <f>'Grad Raw Data'!D78</f>
        <v>LEFT</v>
      </c>
      <c r="F154" s="44">
        <f>'Grad Raw Data'!E78</f>
        <v>3</v>
      </c>
      <c r="H154">
        <v>154</v>
      </c>
      <c r="I154">
        <f t="shared" si="2"/>
        <v>78</v>
      </c>
    </row>
    <row r="155" spans="1:9" ht="24.95" customHeight="1" x14ac:dyDescent="0.25">
      <c r="A155" s="16" t="str">
        <f>'Grad Raw Data'!L78</f>
        <v>Ah-lah-na May-Lynn Yah-mah-key Door-o-kez</v>
      </c>
      <c r="B155" s="20"/>
      <c r="C155" s="20"/>
      <c r="D155" s="20" t="str" cm="1">
        <f t="array" aca="1" ref="D155" ca="1">IF(I155="","",INDIRECT("'Grad Raw Data'!G"&amp;I155))</f>
        <v/>
      </c>
      <c r="H155">
        <v>155</v>
      </c>
      <c r="I155" t="str">
        <f t="shared" si="2"/>
        <v/>
      </c>
    </row>
    <row r="156" spans="1:9" ht="24.95" customHeight="1" x14ac:dyDescent="0.25">
      <c r="A156" s="20" t="str">
        <f>'Grad Raw Data'!I79</f>
        <v>Cassidy</v>
      </c>
      <c r="B156" s="20" t="str">
        <f>'Grad Raw Data'!K80</f>
        <v/>
      </c>
      <c r="C156" s="20" t="str">
        <f>'Grad Raw Data'!H79</f>
        <v>Duca</v>
      </c>
      <c r="D156" s="20" cm="1">
        <f t="array" aca="1" ref="D156" ca="1">IF(I156="","",INDIRECT("'Grad Raw Data'!G"&amp;I156))</f>
        <v>0</v>
      </c>
      <c r="E156" s="44" t="str">
        <f>'Grad Raw Data'!D79</f>
        <v>RIGHT</v>
      </c>
      <c r="F156" s="44">
        <f>'Grad Raw Data'!E79</f>
        <v>4</v>
      </c>
      <c r="H156">
        <v>156</v>
      </c>
      <c r="I156">
        <f t="shared" si="2"/>
        <v>79</v>
      </c>
    </row>
    <row r="157" spans="1:9" ht="24.95" customHeight="1" x14ac:dyDescent="0.25">
      <c r="A157" s="16">
        <f>'Grad Raw Data'!L79</f>
        <v>0</v>
      </c>
      <c r="B157" s="20"/>
      <c r="C157" s="20"/>
      <c r="D157" s="20" t="str" cm="1">
        <f t="array" aca="1" ref="D157" ca="1">IF(I157="","",INDIRECT("'Grad Raw Data'!G"&amp;I157))</f>
        <v/>
      </c>
      <c r="H157">
        <v>157</v>
      </c>
      <c r="I157" t="str">
        <f t="shared" si="2"/>
        <v/>
      </c>
    </row>
    <row r="158" spans="1:9" ht="24.95" customHeight="1" x14ac:dyDescent="0.25">
      <c r="A158" s="20" t="str">
        <f>'Grad Raw Data'!I80</f>
        <v>Kyle</v>
      </c>
      <c r="B158" s="20" t="str">
        <f>'Grad Raw Data'!K81</f>
        <v/>
      </c>
      <c r="C158" s="20" t="str">
        <f>'Grad Raw Data'!H80</f>
        <v>DuRoss</v>
      </c>
      <c r="D158" s="20" cm="1">
        <f t="array" aca="1" ref="D158" ca="1">IF(I158="","",INDIRECT("'Grad Raw Data'!G"&amp;I158))</f>
        <v>0</v>
      </c>
      <c r="E158" s="44" t="str">
        <f>'Grad Raw Data'!D80</f>
        <v>RIGHT</v>
      </c>
      <c r="F158" s="44">
        <f>'Grad Raw Data'!E80</f>
        <v>4</v>
      </c>
      <c r="H158">
        <v>158</v>
      </c>
      <c r="I158">
        <f t="shared" si="2"/>
        <v>80</v>
      </c>
    </row>
    <row r="159" spans="1:9" ht="24.95" customHeight="1" x14ac:dyDescent="0.25">
      <c r="A159" s="16" t="str">
        <f>'Grad Raw Data'!L80</f>
        <v>Dew-Ross</v>
      </c>
      <c r="B159" s="20"/>
      <c r="C159" s="20"/>
      <c r="D159" s="20" t="str" cm="1">
        <f t="array" aca="1" ref="D159" ca="1">IF(I159="","",INDIRECT("'Grad Raw Data'!G"&amp;I159))</f>
        <v/>
      </c>
      <c r="H159">
        <v>159</v>
      </c>
      <c r="I159" t="str">
        <f t="shared" si="2"/>
        <v/>
      </c>
    </row>
    <row r="160" spans="1:9" ht="24.95" customHeight="1" x14ac:dyDescent="0.25">
      <c r="A160" s="20" t="str">
        <f>'Grad Raw Data'!I81</f>
        <v>Sean</v>
      </c>
      <c r="B160" s="20" t="str">
        <f>'Grad Raw Data'!K82</f>
        <v/>
      </c>
      <c r="C160" s="20" t="str">
        <f>'Grad Raw Data'!H81</f>
        <v>DuRoss</v>
      </c>
      <c r="D160" s="20" cm="1">
        <f t="array" aca="1" ref="D160" ca="1">IF(I160="","",INDIRECT("'Grad Raw Data'!G"&amp;I160))</f>
        <v>0</v>
      </c>
      <c r="E160" s="44" t="str">
        <f>'Grad Raw Data'!D81</f>
        <v>RIGHT</v>
      </c>
      <c r="F160" s="44">
        <f>'Grad Raw Data'!E81</f>
        <v>4</v>
      </c>
      <c r="H160">
        <v>160</v>
      </c>
      <c r="I160">
        <f t="shared" si="2"/>
        <v>81</v>
      </c>
    </row>
    <row r="161" spans="1:9" ht="24.95" customHeight="1" x14ac:dyDescent="0.25">
      <c r="A161" s="16">
        <f>'Grad Raw Data'!L81</f>
        <v>0</v>
      </c>
      <c r="B161" s="20"/>
      <c r="C161" s="20"/>
      <c r="D161" s="20" t="str" cm="1">
        <f t="array" aca="1" ref="D161" ca="1">IF(I161="","",INDIRECT("'Grad Raw Data'!G"&amp;I161))</f>
        <v/>
      </c>
      <c r="H161">
        <v>161</v>
      </c>
      <c r="I161" t="str">
        <f t="shared" si="2"/>
        <v/>
      </c>
    </row>
    <row r="162" spans="1:9" ht="24.95" customHeight="1" x14ac:dyDescent="0.25">
      <c r="A162" s="20" t="str">
        <f>'Grad Raw Data'!I82</f>
        <v>William</v>
      </c>
      <c r="B162" s="20" t="str">
        <f>'Grad Raw Data'!K83</f>
        <v/>
      </c>
      <c r="C162" s="20" t="str">
        <f>'Grad Raw Data'!H82</f>
        <v>Dyment</v>
      </c>
      <c r="D162" s="20" cm="1">
        <f t="array" aca="1" ref="D162" ca="1">IF(I162="","",INDIRECT("'Grad Raw Data'!G"&amp;I162))</f>
        <v>0</v>
      </c>
      <c r="E162" s="44" t="str">
        <f>'Grad Raw Data'!D82</f>
        <v>RIGHT</v>
      </c>
      <c r="F162" s="44">
        <f>'Grad Raw Data'!E82</f>
        <v>4</v>
      </c>
      <c r="H162">
        <v>162</v>
      </c>
      <c r="I162">
        <f t="shared" si="2"/>
        <v>82</v>
      </c>
    </row>
    <row r="163" spans="1:9" ht="24.95" customHeight="1" x14ac:dyDescent="0.25">
      <c r="A163" s="16">
        <f>'Grad Raw Data'!L82</f>
        <v>0</v>
      </c>
      <c r="B163" s="20"/>
      <c r="C163" s="20"/>
      <c r="D163" s="20" t="str" cm="1">
        <f t="array" aca="1" ref="D163" ca="1">IF(I163="","",INDIRECT("'Grad Raw Data'!G"&amp;I163))</f>
        <v/>
      </c>
      <c r="H163">
        <v>163</v>
      </c>
      <c r="I163" t="str">
        <f t="shared" si="2"/>
        <v/>
      </c>
    </row>
    <row r="164" spans="1:9" ht="24.95" customHeight="1" x14ac:dyDescent="0.25">
      <c r="A164" s="20" t="str">
        <f>'Grad Raw Data'!I83</f>
        <v>Luca</v>
      </c>
      <c r="B164" s="20" t="str">
        <f>'Grad Raw Data'!K84</f>
        <v/>
      </c>
      <c r="C164" s="20" t="str">
        <f>'Grad Raw Data'!H83</f>
        <v>Eliet</v>
      </c>
      <c r="D164" s="20" cm="1">
        <f t="array" aca="1" ref="D164" ca="1">IF(I164="","",INDIRECT("'Grad Raw Data'!G"&amp;I164))</f>
        <v>0</v>
      </c>
      <c r="E164" s="44" t="str">
        <f>'Grad Raw Data'!D83</f>
        <v>RIGHT</v>
      </c>
      <c r="F164" s="44">
        <f>'Grad Raw Data'!E83</f>
        <v>4</v>
      </c>
      <c r="H164">
        <v>164</v>
      </c>
      <c r="I164">
        <f t="shared" si="2"/>
        <v>83</v>
      </c>
    </row>
    <row r="165" spans="1:9" ht="24.95" customHeight="1" x14ac:dyDescent="0.25">
      <c r="A165" s="16">
        <f>'Grad Raw Data'!L83</f>
        <v>0</v>
      </c>
      <c r="B165" s="20"/>
      <c r="C165" s="20"/>
      <c r="D165" s="20" t="str" cm="1">
        <f t="array" aca="1" ref="D165" ca="1">IF(I165="","",INDIRECT("'Grad Raw Data'!G"&amp;I165))</f>
        <v/>
      </c>
      <c r="H165">
        <v>165</v>
      </c>
      <c r="I165" t="str">
        <f t="shared" si="2"/>
        <v/>
      </c>
    </row>
    <row r="166" spans="1:9" ht="24.95" customHeight="1" x14ac:dyDescent="0.25">
      <c r="A166" s="20" t="str">
        <f>'Grad Raw Data'!I84</f>
        <v>Finn</v>
      </c>
      <c r="B166" s="20" t="str">
        <f>'Grad Raw Data'!K85</f>
        <v/>
      </c>
      <c r="C166" s="20" t="str">
        <f>'Grad Raw Data'!H84</f>
        <v>Ellis</v>
      </c>
      <c r="D166" s="20" cm="1">
        <f t="array" aca="1" ref="D166" ca="1">IF(I166="","",INDIRECT("'Grad Raw Data'!G"&amp;I166))</f>
        <v>0</v>
      </c>
      <c r="E166" s="44" t="str">
        <f>'Grad Raw Data'!D84</f>
        <v>RIGHT</v>
      </c>
      <c r="F166" s="44">
        <f>'Grad Raw Data'!E84</f>
        <v>4</v>
      </c>
      <c r="H166">
        <v>166</v>
      </c>
      <c r="I166">
        <f t="shared" si="2"/>
        <v>84</v>
      </c>
    </row>
    <row r="167" spans="1:9" ht="24.95" customHeight="1" x14ac:dyDescent="0.25">
      <c r="A167" s="16">
        <f>'Grad Raw Data'!L84</f>
        <v>0</v>
      </c>
      <c r="B167" s="20"/>
      <c r="C167" s="20"/>
      <c r="D167" s="20" t="str" cm="1">
        <f t="array" aca="1" ref="D167" ca="1">IF(I167="","",INDIRECT("'Grad Raw Data'!G"&amp;I167))</f>
        <v/>
      </c>
      <c r="H167">
        <v>167</v>
      </c>
      <c r="I167" t="str">
        <f t="shared" si="2"/>
        <v/>
      </c>
    </row>
    <row r="168" spans="1:9" ht="24.95" customHeight="1" x14ac:dyDescent="0.25">
      <c r="A168" s="20" t="str">
        <f>'Grad Raw Data'!I85</f>
        <v>Levi</v>
      </c>
      <c r="B168" s="20" t="str">
        <f>'Grad Raw Data'!K86</f>
        <v/>
      </c>
      <c r="C168" s="20" t="str">
        <f>'Grad Raw Data'!H85</f>
        <v>Emmanuel</v>
      </c>
      <c r="D168" s="20" cm="1">
        <f t="array" aca="1" ref="D168" ca="1">IF(I168="","",INDIRECT("'Grad Raw Data'!G"&amp;I168))</f>
        <v>0</v>
      </c>
      <c r="E168" s="44" t="str">
        <f>'Grad Raw Data'!D85</f>
        <v>RIGHT</v>
      </c>
      <c r="F168" s="44">
        <f>'Grad Raw Data'!E85</f>
        <v>4</v>
      </c>
      <c r="H168">
        <v>168</v>
      </c>
      <c r="I168">
        <f t="shared" si="2"/>
        <v>85</v>
      </c>
    </row>
    <row r="169" spans="1:9" ht="24.95" customHeight="1" x14ac:dyDescent="0.25">
      <c r="A169" s="16">
        <f>'Grad Raw Data'!L85</f>
        <v>0</v>
      </c>
      <c r="B169" s="20"/>
      <c r="C169" s="20"/>
      <c r="D169" s="20" t="str" cm="1">
        <f t="array" aca="1" ref="D169" ca="1">IF(I169="","",INDIRECT("'Grad Raw Data'!G"&amp;I169))</f>
        <v/>
      </c>
      <c r="H169">
        <v>169</v>
      </c>
      <c r="I169" t="str">
        <f t="shared" si="2"/>
        <v/>
      </c>
    </row>
    <row r="170" spans="1:9" ht="24.95" customHeight="1" x14ac:dyDescent="0.25">
      <c r="A170" s="20" t="str">
        <f>'Grad Raw Data'!I86</f>
        <v>Kamryn</v>
      </c>
      <c r="B170" s="20" t="str">
        <f>'Grad Raw Data'!K87</f>
        <v/>
      </c>
      <c r="C170" s="20" t="str">
        <f>'Grad Raw Data'!H86</f>
        <v>Encarnacao</v>
      </c>
      <c r="D170" s="20" cm="1">
        <f t="array" aca="1" ref="D170" ca="1">IF(I170="","",INDIRECT("'Grad Raw Data'!G"&amp;I170))</f>
        <v>0</v>
      </c>
      <c r="E170" s="44" t="str">
        <f>'Grad Raw Data'!D86</f>
        <v>RIGHT</v>
      </c>
      <c r="F170" s="44">
        <f>'Grad Raw Data'!E86</f>
        <v>4</v>
      </c>
      <c r="H170">
        <v>170</v>
      </c>
      <c r="I170">
        <f t="shared" si="2"/>
        <v>86</v>
      </c>
    </row>
    <row r="171" spans="1:9" ht="24.95" customHeight="1" x14ac:dyDescent="0.25">
      <c r="A171" s="16" t="str">
        <f>'Grad Raw Data'!L86</f>
        <v>In - car - naw - see - oh</v>
      </c>
      <c r="B171" s="20"/>
      <c r="C171" s="20"/>
      <c r="D171" s="20" t="str" cm="1">
        <f t="array" aca="1" ref="D171" ca="1">IF(I171="","",INDIRECT("'Grad Raw Data'!G"&amp;I171))</f>
        <v/>
      </c>
      <c r="H171">
        <v>171</v>
      </c>
      <c r="I171" t="str">
        <f t="shared" si="2"/>
        <v/>
      </c>
    </row>
    <row r="172" spans="1:9" ht="24.95" customHeight="1" x14ac:dyDescent="0.25">
      <c r="A172" s="20" t="str">
        <f>'Grad Raw Data'!I87</f>
        <v>Samuel</v>
      </c>
      <c r="B172" s="20" t="str">
        <f>'Grad Raw Data'!K88</f>
        <v/>
      </c>
      <c r="C172" s="20" t="str">
        <f>'Grad Raw Data'!H87</f>
        <v>Fortes</v>
      </c>
      <c r="D172" s="20" cm="1">
        <f t="array" aca="1" ref="D172" ca="1">IF(I172="","",INDIRECT("'Grad Raw Data'!G"&amp;I172))</f>
        <v>0</v>
      </c>
      <c r="E172" s="44" t="str">
        <f>'Grad Raw Data'!D87</f>
        <v>RIGHT</v>
      </c>
      <c r="F172" s="44">
        <f>'Grad Raw Data'!E87</f>
        <v>4</v>
      </c>
      <c r="H172">
        <v>172</v>
      </c>
      <c r="I172">
        <f t="shared" si="2"/>
        <v>87</v>
      </c>
    </row>
    <row r="173" spans="1:9" ht="24.95" customHeight="1" x14ac:dyDescent="0.25">
      <c r="A173" s="16" t="str">
        <f>'Grad Raw Data'!L87</f>
        <v xml:space="preserve">Eee-wald </v>
      </c>
      <c r="B173" s="20"/>
      <c r="C173" s="20"/>
      <c r="D173" s="20" t="str" cm="1">
        <f t="array" aca="1" ref="D173" ca="1">IF(I173="","",INDIRECT("'Grad Raw Data'!G"&amp;I173))</f>
        <v/>
      </c>
      <c r="H173">
        <v>173</v>
      </c>
      <c r="I173" t="str">
        <f t="shared" si="2"/>
        <v/>
      </c>
    </row>
    <row r="174" spans="1:9" ht="24.95" customHeight="1" x14ac:dyDescent="0.25">
      <c r="A174" s="20" t="str">
        <f>'Grad Raw Data'!I88</f>
        <v>Kaylie</v>
      </c>
      <c r="B174" s="20" t="str">
        <f>'Grad Raw Data'!K89</f>
        <v/>
      </c>
      <c r="C174" s="20" t="str">
        <f>'Grad Raw Data'!H88</f>
        <v>Fantasia</v>
      </c>
      <c r="D174" s="20" cm="1">
        <f t="array" aca="1" ref="D174" ca="1">IF(I174="","",INDIRECT("'Grad Raw Data'!G"&amp;I174))</f>
        <v>0</v>
      </c>
      <c r="E174" s="44" t="str">
        <f>'Grad Raw Data'!D88</f>
        <v>RIGHT</v>
      </c>
      <c r="F174" s="44">
        <f>'Grad Raw Data'!E88</f>
        <v>4</v>
      </c>
      <c r="H174">
        <v>174</v>
      </c>
      <c r="I174">
        <f t="shared" si="2"/>
        <v>88</v>
      </c>
    </row>
    <row r="175" spans="1:9" ht="24.95" customHeight="1" x14ac:dyDescent="0.25">
      <c r="A175" s="16" t="str">
        <f>'Grad Raw Data'!L88</f>
        <v>kay-lee</v>
      </c>
      <c r="B175" s="20"/>
      <c r="C175" s="20"/>
      <c r="D175" s="20" t="str" cm="1">
        <f t="array" aca="1" ref="D175" ca="1">IF(I175="","",INDIRECT("'Grad Raw Data'!G"&amp;I175))</f>
        <v/>
      </c>
      <c r="H175">
        <v>175</v>
      </c>
      <c r="I175" t="str">
        <f t="shared" si="2"/>
        <v/>
      </c>
    </row>
    <row r="176" spans="1:9" ht="24.95" customHeight="1" x14ac:dyDescent="0.25">
      <c r="A176" s="20" t="str">
        <f>'Grad Raw Data'!I89</f>
        <v>Vince</v>
      </c>
      <c r="B176" s="20" t="str">
        <f>'Grad Raw Data'!K90</f>
        <v/>
      </c>
      <c r="C176" s="20" t="str">
        <f>'Grad Raw Data'!H89</f>
        <v>Farnham</v>
      </c>
      <c r="D176" s="20" cm="1">
        <f t="array" aca="1" ref="D176" ca="1">IF(I176="","",INDIRECT("'Grad Raw Data'!G"&amp;I176))</f>
        <v>0</v>
      </c>
      <c r="E176" s="44" t="str">
        <f>'Grad Raw Data'!D89</f>
        <v>RIGHT</v>
      </c>
      <c r="F176" s="44">
        <f>'Grad Raw Data'!E89</f>
        <v>4</v>
      </c>
      <c r="H176">
        <v>176</v>
      </c>
      <c r="I176">
        <f t="shared" si="2"/>
        <v>89</v>
      </c>
    </row>
    <row r="177" spans="1:9" ht="24.95" customHeight="1" x14ac:dyDescent="0.25">
      <c r="A177" s="16">
        <f>'Grad Raw Data'!L89</f>
        <v>0</v>
      </c>
      <c r="B177" s="20"/>
      <c r="C177" s="20"/>
      <c r="D177" s="20" t="str" cm="1">
        <f t="array" aca="1" ref="D177" ca="1">IF(I177="","",INDIRECT("'Grad Raw Data'!G"&amp;I177))</f>
        <v/>
      </c>
      <c r="H177">
        <v>177</v>
      </c>
      <c r="I177" t="str">
        <f t="shared" si="2"/>
        <v/>
      </c>
    </row>
    <row r="178" spans="1:9" ht="24.95" customHeight="1" x14ac:dyDescent="0.25">
      <c r="A178" s="20" t="str">
        <f>'Grad Raw Data'!I90</f>
        <v>Colby</v>
      </c>
      <c r="B178" s="20" t="str">
        <f>'Grad Raw Data'!K91</f>
        <v/>
      </c>
      <c r="C178" s="20" t="str">
        <f>'Grad Raw Data'!H90</f>
        <v>Farris</v>
      </c>
      <c r="D178" s="20" cm="1">
        <f t="array" aca="1" ref="D178" ca="1">IF(I178="","",INDIRECT("'Grad Raw Data'!G"&amp;I178))</f>
        <v>0</v>
      </c>
      <c r="E178" s="44" t="str">
        <f>'Grad Raw Data'!D90</f>
        <v>RIGHT</v>
      </c>
      <c r="F178" s="44">
        <f>'Grad Raw Data'!E90</f>
        <v>4</v>
      </c>
      <c r="H178">
        <v>178</v>
      </c>
      <c r="I178">
        <f t="shared" si="2"/>
        <v>90</v>
      </c>
    </row>
    <row r="179" spans="1:9" ht="24.95" customHeight="1" x14ac:dyDescent="0.25">
      <c r="A179" s="16">
        <f>'Grad Raw Data'!L90</f>
        <v>0</v>
      </c>
      <c r="B179" s="20"/>
      <c r="C179" s="20"/>
      <c r="D179" s="20" t="str" cm="1">
        <f t="array" aca="1" ref="D179" ca="1">IF(I179="","",INDIRECT("'Grad Raw Data'!G"&amp;I179))</f>
        <v/>
      </c>
      <c r="H179">
        <v>179</v>
      </c>
      <c r="I179" t="str">
        <f t="shared" si="2"/>
        <v/>
      </c>
    </row>
    <row r="180" spans="1:9" ht="24.95" customHeight="1" x14ac:dyDescent="0.25">
      <c r="A180" s="20" t="str">
        <f>'Grad Raw Data'!I91</f>
        <v>Bryan</v>
      </c>
      <c r="B180" s="20" t="str">
        <f>'Grad Raw Data'!K92</f>
        <v/>
      </c>
      <c r="C180" s="20" t="str">
        <f>'Grad Raw Data'!H91</f>
        <v>Fernandez</v>
      </c>
      <c r="D180" s="20" cm="1">
        <f t="array" aca="1" ref="D180" ca="1">IF(I180="","",INDIRECT("'Grad Raw Data'!G"&amp;I180))</f>
        <v>0</v>
      </c>
      <c r="E180" s="44" t="str">
        <f>'Grad Raw Data'!D91</f>
        <v>LEFT</v>
      </c>
      <c r="F180" s="44">
        <f>'Grad Raw Data'!E91</f>
        <v>4</v>
      </c>
      <c r="H180">
        <v>180</v>
      </c>
      <c r="I180">
        <f t="shared" si="2"/>
        <v>91</v>
      </c>
    </row>
    <row r="181" spans="1:9" ht="24.95" customHeight="1" x14ac:dyDescent="0.25">
      <c r="A181" s="16">
        <f>'Grad Raw Data'!L91</f>
        <v>0</v>
      </c>
      <c r="B181" s="20"/>
      <c r="C181" s="20"/>
      <c r="D181" s="20" t="str" cm="1">
        <f t="array" aca="1" ref="D181" ca="1">IF(I181="","",INDIRECT("'Grad Raw Data'!G"&amp;I181))</f>
        <v/>
      </c>
      <c r="H181">
        <v>181</v>
      </c>
      <c r="I181" t="str">
        <f t="shared" si="2"/>
        <v/>
      </c>
    </row>
    <row r="182" spans="1:9" ht="24.95" customHeight="1" x14ac:dyDescent="0.25">
      <c r="A182" s="20" t="str">
        <f>'Grad Raw Data'!I92</f>
        <v>Thomas</v>
      </c>
      <c r="B182" s="20" t="str">
        <f>'Grad Raw Data'!K93</f>
        <v/>
      </c>
      <c r="C182" s="20" t="str">
        <f>'Grad Raw Data'!H92</f>
        <v>Fiore</v>
      </c>
      <c r="D182" s="20" cm="1">
        <f t="array" aca="1" ref="D182" ca="1">IF(I182="","",INDIRECT("'Grad Raw Data'!G"&amp;I182))</f>
        <v>0</v>
      </c>
      <c r="E182" s="44" t="str">
        <f>'Grad Raw Data'!D92</f>
        <v>LEFT</v>
      </c>
      <c r="F182" s="44">
        <f>'Grad Raw Data'!E92</f>
        <v>4</v>
      </c>
      <c r="H182">
        <v>182</v>
      </c>
      <c r="I182">
        <f t="shared" si="2"/>
        <v>92</v>
      </c>
    </row>
    <row r="183" spans="1:9" ht="24.95" customHeight="1" x14ac:dyDescent="0.25">
      <c r="A183" s="16">
        <f>'Grad Raw Data'!L92</f>
        <v>0</v>
      </c>
      <c r="B183" s="20"/>
      <c r="C183" s="20"/>
      <c r="D183" s="20" t="str" cm="1">
        <f t="array" aca="1" ref="D183" ca="1">IF(I183="","",INDIRECT("'Grad Raw Data'!G"&amp;I183))</f>
        <v/>
      </c>
      <c r="H183">
        <v>183</v>
      </c>
      <c r="I183" t="str">
        <f t="shared" si="2"/>
        <v/>
      </c>
    </row>
    <row r="184" spans="1:9" ht="24.95" customHeight="1" x14ac:dyDescent="0.25">
      <c r="A184" s="20" t="str">
        <f>'Grad Raw Data'!I93</f>
        <v>Finn</v>
      </c>
      <c r="B184" s="20" t="str">
        <f>'Grad Raw Data'!K94</f>
        <v>Patrick</v>
      </c>
      <c r="C184" s="20" t="str">
        <f>'Grad Raw Data'!H93</f>
        <v>Flaherty</v>
      </c>
      <c r="D184" s="20" cm="1">
        <f t="array" aca="1" ref="D184" ca="1">IF(I184="","",INDIRECT("'Grad Raw Data'!G"&amp;I184))</f>
        <v>0</v>
      </c>
      <c r="E184" s="44" t="str">
        <f>'Grad Raw Data'!D93</f>
        <v>LEFT</v>
      </c>
      <c r="F184" s="44">
        <f>'Grad Raw Data'!E93</f>
        <v>4</v>
      </c>
      <c r="H184">
        <v>184</v>
      </c>
      <c r="I184">
        <f t="shared" si="2"/>
        <v>93</v>
      </c>
    </row>
    <row r="185" spans="1:9" ht="24.95" customHeight="1" x14ac:dyDescent="0.25">
      <c r="A185" s="16">
        <f>'Grad Raw Data'!L93</f>
        <v>0</v>
      </c>
      <c r="B185" s="20"/>
      <c r="C185" s="20"/>
      <c r="D185" s="20" t="str" cm="1">
        <f t="array" aca="1" ref="D185" ca="1">IF(I185="","",INDIRECT("'Grad Raw Data'!G"&amp;I185))</f>
        <v/>
      </c>
      <c r="H185">
        <v>185</v>
      </c>
      <c r="I185" t="str">
        <f t="shared" si="2"/>
        <v/>
      </c>
    </row>
    <row r="186" spans="1:9" ht="24.95" customHeight="1" x14ac:dyDescent="0.25">
      <c r="A186" s="20" t="str">
        <f>'Grad Raw Data'!I94</f>
        <v>Matthew</v>
      </c>
      <c r="B186" s="20" t="str">
        <f>'Grad Raw Data'!K95</f>
        <v/>
      </c>
      <c r="C186" s="20" t="str">
        <f>'Grad Raw Data'!H94</f>
        <v>Forse</v>
      </c>
      <c r="D186" s="20" cm="1">
        <f t="array" aca="1" ref="D186" ca="1">IF(I186="","",INDIRECT("'Grad Raw Data'!G"&amp;I186))</f>
        <v>0</v>
      </c>
      <c r="E186" s="44" t="str">
        <f>'Grad Raw Data'!D94</f>
        <v>LEFT</v>
      </c>
      <c r="F186" s="44">
        <f>'Grad Raw Data'!E94</f>
        <v>4</v>
      </c>
      <c r="H186">
        <v>186</v>
      </c>
      <c r="I186">
        <f t="shared" si="2"/>
        <v>94</v>
      </c>
    </row>
    <row r="187" spans="1:9" ht="24.95" customHeight="1" x14ac:dyDescent="0.25">
      <c r="A187" s="16" t="str">
        <f>'Grad Raw Data'!L94</f>
        <v xml:space="preserve">"Force",   rhymes with HORSE </v>
      </c>
      <c r="B187" s="20"/>
      <c r="C187" s="20"/>
      <c r="D187" s="20" t="str" cm="1">
        <f t="array" aca="1" ref="D187" ca="1">IF(I187="","",INDIRECT("'Grad Raw Data'!G"&amp;I187))</f>
        <v/>
      </c>
      <c r="H187">
        <v>187</v>
      </c>
      <c r="I187" t="str">
        <f t="shared" si="2"/>
        <v/>
      </c>
    </row>
    <row r="188" spans="1:9" ht="24.95" customHeight="1" x14ac:dyDescent="0.25">
      <c r="A188" s="20" t="str">
        <f>'Grad Raw Data'!I95</f>
        <v>Jacob</v>
      </c>
      <c r="B188" s="20" t="str">
        <f>'Grad Raw Data'!K96</f>
        <v/>
      </c>
      <c r="C188" s="20" t="str">
        <f>'Grad Raw Data'!H95</f>
        <v>Frank</v>
      </c>
      <c r="D188" s="20" cm="1">
        <f t="array" aca="1" ref="D188" ca="1">IF(I188="","",INDIRECT("'Grad Raw Data'!G"&amp;I188))</f>
        <v>0</v>
      </c>
      <c r="E188" s="44" t="str">
        <f>'Grad Raw Data'!D95</f>
        <v>LEFT</v>
      </c>
      <c r="F188" s="44">
        <f>'Grad Raw Data'!E95</f>
        <v>4</v>
      </c>
      <c r="H188">
        <v>188</v>
      </c>
      <c r="I188">
        <f t="shared" si="2"/>
        <v>95</v>
      </c>
    </row>
    <row r="189" spans="1:9" ht="24.95" customHeight="1" x14ac:dyDescent="0.25">
      <c r="A189" s="16">
        <f>'Grad Raw Data'!L95</f>
        <v>0</v>
      </c>
      <c r="B189" s="20"/>
      <c r="C189" s="20"/>
      <c r="D189" s="20" t="str" cm="1">
        <f t="array" aca="1" ref="D189" ca="1">IF(I189="","",INDIRECT("'Grad Raw Data'!G"&amp;I189))</f>
        <v/>
      </c>
      <c r="H189">
        <v>189</v>
      </c>
      <c r="I189" t="str">
        <f t="shared" si="2"/>
        <v/>
      </c>
    </row>
    <row r="190" spans="1:9" ht="24.95" customHeight="1" x14ac:dyDescent="0.25">
      <c r="A190" s="20" t="str">
        <f>'Grad Raw Data'!I96</f>
        <v>Anthony</v>
      </c>
      <c r="B190" s="20" t="str">
        <f>'Grad Raw Data'!K97</f>
        <v/>
      </c>
      <c r="C190" s="20" t="str">
        <f>'Grad Raw Data'!H96</f>
        <v>Fratto</v>
      </c>
      <c r="D190" s="20" cm="1">
        <f t="array" aca="1" ref="D190" ca="1">IF(I190="","",INDIRECT("'Grad Raw Data'!G"&amp;I190))</f>
        <v>0</v>
      </c>
      <c r="E190" s="44" t="str">
        <f>'Grad Raw Data'!D96</f>
        <v>LEFT</v>
      </c>
      <c r="F190" s="44">
        <f>'Grad Raw Data'!E96</f>
        <v>4</v>
      </c>
      <c r="H190">
        <v>190</v>
      </c>
      <c r="I190">
        <f t="shared" si="2"/>
        <v>96</v>
      </c>
    </row>
    <row r="191" spans="1:9" ht="24.95" customHeight="1" x14ac:dyDescent="0.25">
      <c r="A191" s="16">
        <f>'Grad Raw Data'!L96</f>
        <v>0</v>
      </c>
      <c r="B191" s="20"/>
      <c r="C191" s="20"/>
      <c r="D191" s="20" t="str" cm="1">
        <f t="array" aca="1" ref="D191" ca="1">IF(I191="","",INDIRECT("'Grad Raw Data'!G"&amp;I191))</f>
        <v/>
      </c>
      <c r="H191">
        <v>191</v>
      </c>
      <c r="I191" t="str">
        <f t="shared" si="2"/>
        <v/>
      </c>
    </row>
    <row r="192" spans="1:9" ht="24.95" customHeight="1" x14ac:dyDescent="0.25">
      <c r="A192" s="20" t="str">
        <f>'Grad Raw Data'!I97</f>
        <v>Gavin</v>
      </c>
      <c r="B192" s="20" t="str">
        <f>'Grad Raw Data'!K98</f>
        <v/>
      </c>
      <c r="C192" s="20" t="str">
        <f>'Grad Raw Data'!H97</f>
        <v>Fucarile</v>
      </c>
      <c r="D192" s="20" cm="1">
        <f t="array" aca="1" ref="D192" ca="1">IF(I192="","",INDIRECT("'Grad Raw Data'!G"&amp;I192))</f>
        <v>0</v>
      </c>
      <c r="E192" s="44" t="str">
        <f>'Grad Raw Data'!D97</f>
        <v>LEFT</v>
      </c>
      <c r="F192" s="44">
        <f>'Grad Raw Data'!E97</f>
        <v>4</v>
      </c>
      <c r="H192">
        <v>192</v>
      </c>
      <c r="I192">
        <f t="shared" si="2"/>
        <v>97</v>
      </c>
    </row>
    <row r="193" spans="1:9" ht="24.95" customHeight="1" x14ac:dyDescent="0.25">
      <c r="A193" s="16" t="str">
        <f>'Grad Raw Data'!L97</f>
        <v>Fuke-ah-rill</v>
      </c>
      <c r="B193" s="20"/>
      <c r="C193" s="20"/>
      <c r="D193" s="20" t="str" cm="1">
        <f t="array" aca="1" ref="D193" ca="1">IF(I193="","",INDIRECT("'Grad Raw Data'!G"&amp;I193))</f>
        <v/>
      </c>
      <c r="H193">
        <v>193</v>
      </c>
      <c r="I193" t="str">
        <f t="shared" si="2"/>
        <v/>
      </c>
    </row>
    <row r="194" spans="1:9" ht="24.95" customHeight="1" x14ac:dyDescent="0.25">
      <c r="A194" s="20" t="str">
        <f>'Grad Raw Data'!I98</f>
        <v>Cole</v>
      </c>
      <c r="B194" s="20" t="str">
        <f>'Grad Raw Data'!K99</f>
        <v/>
      </c>
      <c r="C194" s="20" t="str">
        <f>'Grad Raw Data'!H98</f>
        <v>Fusco</v>
      </c>
      <c r="D194" s="20" cm="1">
        <f t="array" aca="1" ref="D194" ca="1">IF(I194="","",INDIRECT("'Grad Raw Data'!G"&amp;I194))</f>
        <v>0</v>
      </c>
      <c r="E194" s="44" t="str">
        <f>'Grad Raw Data'!D98</f>
        <v>LEFT</v>
      </c>
      <c r="F194" s="44">
        <f>'Grad Raw Data'!E98</f>
        <v>4</v>
      </c>
      <c r="H194">
        <v>194</v>
      </c>
      <c r="I194">
        <f t="shared" si="2"/>
        <v>98</v>
      </c>
    </row>
    <row r="195" spans="1:9" ht="24.95" customHeight="1" x14ac:dyDescent="0.25">
      <c r="A195" s="16">
        <f>'Grad Raw Data'!L98</f>
        <v>0</v>
      </c>
      <c r="B195" s="20"/>
      <c r="C195" s="20"/>
      <c r="D195" s="20" t="str" cm="1">
        <f t="array" aca="1" ref="D195" ca="1">IF(I195="","",INDIRECT("'Grad Raw Data'!G"&amp;I195))</f>
        <v/>
      </c>
      <c r="H195">
        <v>195</v>
      </c>
      <c r="I195" t="str">
        <f t="shared" ref="I195:I258" si="3">IF(MOD((H195+2)/1,2)=0,(H195/2+1),"")</f>
        <v/>
      </c>
    </row>
    <row r="196" spans="1:9" ht="24.95" customHeight="1" x14ac:dyDescent="0.25">
      <c r="A196" s="20" t="str">
        <f>'Grad Raw Data'!I99</f>
        <v>Paul</v>
      </c>
      <c r="B196" s="20" t="str">
        <f>'Grad Raw Data'!K100</f>
        <v>Richard</v>
      </c>
      <c r="C196" s="20" t="str">
        <f>'Grad Raw Data'!H99</f>
        <v>Gaeta</v>
      </c>
      <c r="D196" s="20" cm="1">
        <f t="array" aca="1" ref="D196" ca="1">IF(I196="","",INDIRECT("'Grad Raw Data'!G"&amp;I196))</f>
        <v>0</v>
      </c>
      <c r="E196" s="44" t="str">
        <f>'Grad Raw Data'!D99</f>
        <v>LEFT</v>
      </c>
      <c r="F196" s="44">
        <f>'Grad Raw Data'!E99</f>
        <v>4</v>
      </c>
      <c r="H196">
        <v>196</v>
      </c>
      <c r="I196">
        <f t="shared" si="3"/>
        <v>99</v>
      </c>
    </row>
    <row r="197" spans="1:9" ht="24.95" customHeight="1" x14ac:dyDescent="0.25">
      <c r="A197" s="16">
        <f>'Grad Raw Data'!L99</f>
        <v>0</v>
      </c>
      <c r="B197" s="20"/>
      <c r="C197" s="20"/>
      <c r="D197" s="20" t="str" cm="1">
        <f t="array" aca="1" ref="D197" ca="1">IF(I197="","",INDIRECT("'Grad Raw Data'!G"&amp;I197))</f>
        <v/>
      </c>
      <c r="H197">
        <v>197</v>
      </c>
      <c r="I197" t="str">
        <f t="shared" si="3"/>
        <v/>
      </c>
    </row>
    <row r="198" spans="1:9" ht="24.95" customHeight="1" x14ac:dyDescent="0.25">
      <c r="A198" s="20" t="str">
        <f>'Grad Raw Data'!I100</f>
        <v>Lucas</v>
      </c>
      <c r="B198" s="20" t="str">
        <f>'Grad Raw Data'!K101</f>
        <v/>
      </c>
      <c r="C198" s="20" t="str">
        <f>'Grad Raw Data'!H100</f>
        <v>Gager</v>
      </c>
      <c r="D198" s="20" cm="1">
        <f t="array" aca="1" ref="D198" ca="1">IF(I198="","",INDIRECT("'Grad Raw Data'!G"&amp;I198))</f>
        <v>0</v>
      </c>
      <c r="E198" s="44" t="str">
        <f>'Grad Raw Data'!D100</f>
        <v>LEFT</v>
      </c>
      <c r="F198" s="44">
        <f>'Grad Raw Data'!E100</f>
        <v>4</v>
      </c>
      <c r="H198">
        <v>198</v>
      </c>
      <c r="I198">
        <f t="shared" si="3"/>
        <v>100</v>
      </c>
    </row>
    <row r="199" spans="1:9" ht="24.95" customHeight="1" x14ac:dyDescent="0.25">
      <c r="A199" s="16" t="str">
        <f>'Grad Raw Data'!L100</f>
        <v>Gay-jer</v>
      </c>
      <c r="B199" s="20"/>
      <c r="C199" s="20"/>
      <c r="D199" s="20" t="str" cm="1">
        <f t="array" aca="1" ref="D199" ca="1">IF(I199="","",INDIRECT("'Grad Raw Data'!G"&amp;I199))</f>
        <v/>
      </c>
      <c r="H199">
        <v>199</v>
      </c>
      <c r="I199" t="str">
        <f t="shared" si="3"/>
        <v/>
      </c>
    </row>
    <row r="200" spans="1:9" ht="24.95" customHeight="1" x14ac:dyDescent="0.25">
      <c r="A200" s="20" t="str">
        <f>'Grad Raw Data'!I101</f>
        <v>Nevaeh</v>
      </c>
      <c r="B200" s="20" t="str">
        <f>'Grad Raw Data'!K102</f>
        <v/>
      </c>
      <c r="C200" s="20" t="str">
        <f>'Grad Raw Data'!H101</f>
        <v>Galindo</v>
      </c>
      <c r="D200" s="20" cm="1">
        <f t="array" aca="1" ref="D200" ca="1">IF(I200="","",INDIRECT("'Grad Raw Data'!G"&amp;I200))</f>
        <v>0</v>
      </c>
      <c r="E200" s="44" t="str">
        <f>'Grad Raw Data'!D101</f>
        <v>LEFT</v>
      </c>
      <c r="F200" s="44">
        <f>'Grad Raw Data'!E101</f>
        <v>4</v>
      </c>
      <c r="H200">
        <v>200</v>
      </c>
      <c r="I200">
        <f t="shared" si="3"/>
        <v>101</v>
      </c>
    </row>
    <row r="201" spans="1:9" ht="24.95" customHeight="1" x14ac:dyDescent="0.25">
      <c r="A201" s="16">
        <f>'Grad Raw Data'!L101</f>
        <v>0</v>
      </c>
      <c r="B201" s="20"/>
      <c r="C201" s="20"/>
      <c r="D201" s="20" t="str" cm="1">
        <f t="array" aca="1" ref="D201" ca="1">IF(I201="","",INDIRECT("'Grad Raw Data'!G"&amp;I201))</f>
        <v/>
      </c>
      <c r="H201">
        <v>201</v>
      </c>
      <c r="I201" t="str">
        <f t="shared" si="3"/>
        <v/>
      </c>
    </row>
    <row r="202" spans="1:9" ht="24.95" customHeight="1" x14ac:dyDescent="0.25">
      <c r="A202" s="20" t="str">
        <f>'Grad Raw Data'!I102</f>
        <v>Joseph</v>
      </c>
      <c r="B202" s="20" t="str">
        <f>'Grad Raw Data'!K103</f>
        <v/>
      </c>
      <c r="C202" s="20" t="str">
        <f>'Grad Raw Data'!H102</f>
        <v>Gallagher</v>
      </c>
      <c r="D202" s="20" cm="1">
        <f t="array" aca="1" ref="D202" ca="1">IF(I202="","",INDIRECT("'Grad Raw Data'!G"&amp;I202))</f>
        <v>0</v>
      </c>
      <c r="E202" s="44" t="str">
        <f>'Grad Raw Data'!D102</f>
        <v>LEFT</v>
      </c>
      <c r="F202" s="44">
        <f>'Grad Raw Data'!E102</f>
        <v>4</v>
      </c>
      <c r="H202">
        <v>202</v>
      </c>
      <c r="I202">
        <f t="shared" si="3"/>
        <v>102</v>
      </c>
    </row>
    <row r="203" spans="1:9" ht="24.95" customHeight="1" x14ac:dyDescent="0.25">
      <c r="A203" s="16" t="str">
        <f>'Grad Raw Data'!L102</f>
        <v>Joseph Gallagher</v>
      </c>
      <c r="B203" s="20"/>
      <c r="C203" s="20"/>
      <c r="D203" s="20" t="str" cm="1">
        <f t="array" aca="1" ref="D203" ca="1">IF(I203="","",INDIRECT("'Grad Raw Data'!G"&amp;I203))</f>
        <v/>
      </c>
      <c r="H203">
        <v>203</v>
      </c>
      <c r="I203" t="str">
        <f t="shared" si="3"/>
        <v/>
      </c>
    </row>
    <row r="204" spans="1:9" ht="24.95" customHeight="1" x14ac:dyDescent="0.25">
      <c r="A204" s="20" t="str">
        <f>'Grad Raw Data'!I103</f>
        <v>Brendan</v>
      </c>
      <c r="B204" s="20" t="str">
        <f>'Grad Raw Data'!K104</f>
        <v/>
      </c>
      <c r="C204" s="20" t="str">
        <f>'Grad Raw Data'!H103</f>
        <v>Gauvin</v>
      </c>
      <c r="D204" s="20" cm="1">
        <f t="array" aca="1" ref="D204" ca="1">IF(I204="","",INDIRECT("'Grad Raw Data'!G"&amp;I204))</f>
        <v>0</v>
      </c>
      <c r="E204" s="44" t="str">
        <f>'Grad Raw Data'!D103</f>
        <v>RIGHT</v>
      </c>
      <c r="F204" s="44">
        <f>'Grad Raw Data'!E103</f>
        <v>5</v>
      </c>
      <c r="H204">
        <v>204</v>
      </c>
      <c r="I204">
        <f t="shared" si="3"/>
        <v>103</v>
      </c>
    </row>
    <row r="205" spans="1:9" ht="24.95" customHeight="1" x14ac:dyDescent="0.25">
      <c r="A205" s="16" t="str">
        <f>'Grad Raw Data'!L103</f>
        <v>Gau-vin</v>
      </c>
      <c r="B205" s="20"/>
      <c r="C205" s="20"/>
      <c r="D205" s="20" t="str" cm="1">
        <f t="array" aca="1" ref="D205" ca="1">IF(I205="","",INDIRECT("'Grad Raw Data'!G"&amp;I205))</f>
        <v/>
      </c>
      <c r="H205">
        <v>205</v>
      </c>
      <c r="I205" t="str">
        <f t="shared" si="3"/>
        <v/>
      </c>
    </row>
    <row r="206" spans="1:9" ht="24.95" customHeight="1" x14ac:dyDescent="0.25">
      <c r="A206" s="20" t="str">
        <f>'Grad Raw Data'!I104</f>
        <v>Bereket</v>
      </c>
      <c r="B206" s="20" t="str">
        <f>'Grad Raw Data'!K105</f>
        <v/>
      </c>
      <c r="C206" s="20" t="str">
        <f>'Grad Raw Data'!H104</f>
        <v>Gebeyaw</v>
      </c>
      <c r="D206" s="20" cm="1">
        <f t="array" aca="1" ref="D206" ca="1">IF(I206="","",INDIRECT("'Grad Raw Data'!G"&amp;I206))</f>
        <v>0</v>
      </c>
      <c r="E206" s="44" t="str">
        <f>'Grad Raw Data'!D104</f>
        <v>RIGHT</v>
      </c>
      <c r="F206" s="44">
        <f>'Grad Raw Data'!E104</f>
        <v>5</v>
      </c>
      <c r="H206">
        <v>206</v>
      </c>
      <c r="I206">
        <f t="shared" si="3"/>
        <v>104</v>
      </c>
    </row>
    <row r="207" spans="1:9" ht="24.95" customHeight="1" x14ac:dyDescent="0.25">
      <c r="A207" s="16">
        <f>'Grad Raw Data'!L104</f>
        <v>0</v>
      </c>
      <c r="B207" s="20"/>
      <c r="C207" s="20"/>
      <c r="D207" s="20" t="str" cm="1">
        <f t="array" aca="1" ref="D207" ca="1">IF(I207="","",INDIRECT("'Grad Raw Data'!G"&amp;I207))</f>
        <v/>
      </c>
      <c r="H207">
        <v>207</v>
      </c>
      <c r="I207" t="str">
        <f t="shared" si="3"/>
        <v/>
      </c>
    </row>
    <row r="208" spans="1:9" ht="24.95" customHeight="1" x14ac:dyDescent="0.25">
      <c r="A208" s="20" t="str">
        <f>'Grad Raw Data'!I105</f>
        <v>Alix</v>
      </c>
      <c r="B208" s="20" t="str">
        <f>'Grad Raw Data'!K106</f>
        <v/>
      </c>
      <c r="C208" s="20" t="str">
        <f>'Grad Raw Data'!H105</f>
        <v>Gellot</v>
      </c>
      <c r="D208" s="20" cm="1">
        <f t="array" aca="1" ref="D208" ca="1">IF(I208="","",INDIRECT("'Grad Raw Data'!G"&amp;I208))</f>
        <v>0</v>
      </c>
      <c r="E208" s="44" t="str">
        <f>'Grad Raw Data'!D105</f>
        <v>RIGHT</v>
      </c>
      <c r="F208" s="44">
        <f>'Grad Raw Data'!E105</f>
        <v>5</v>
      </c>
      <c r="H208">
        <v>208</v>
      </c>
      <c r="I208">
        <f t="shared" si="3"/>
        <v>105</v>
      </c>
    </row>
    <row r="209" spans="1:9" ht="24.95" customHeight="1" x14ac:dyDescent="0.25">
      <c r="A209" s="16">
        <f>'Grad Raw Data'!L105</f>
        <v>0</v>
      </c>
      <c r="B209" s="20"/>
      <c r="C209" s="20"/>
      <c r="D209" s="20" t="str" cm="1">
        <f t="array" aca="1" ref="D209" ca="1">IF(I209="","",INDIRECT("'Grad Raw Data'!G"&amp;I209))</f>
        <v/>
      </c>
      <c r="H209">
        <v>209</v>
      </c>
      <c r="I209" t="str">
        <f t="shared" si="3"/>
        <v/>
      </c>
    </row>
    <row r="210" spans="1:9" ht="24.95" customHeight="1" x14ac:dyDescent="0.25">
      <c r="A210" s="20" t="str">
        <f>'Grad Raw Data'!I106</f>
        <v>Cameron</v>
      </c>
      <c r="B210" s="20" t="str">
        <f>'Grad Raw Data'!K107</f>
        <v/>
      </c>
      <c r="C210" s="20" t="str">
        <f>'Grad Raw Data'!H106</f>
        <v>Gigler</v>
      </c>
      <c r="D210" s="20" cm="1">
        <f t="array" aca="1" ref="D210" ca="1">IF(I210="","",INDIRECT("'Grad Raw Data'!G"&amp;I210))</f>
        <v>0</v>
      </c>
      <c r="E210" s="44" t="str">
        <f>'Grad Raw Data'!D106</f>
        <v>RIGHT</v>
      </c>
      <c r="F210" s="44">
        <f>'Grad Raw Data'!E106</f>
        <v>5</v>
      </c>
      <c r="H210">
        <v>210</v>
      </c>
      <c r="I210">
        <f t="shared" si="3"/>
        <v>106</v>
      </c>
    </row>
    <row r="211" spans="1:9" ht="24.95" customHeight="1" x14ac:dyDescent="0.25">
      <c r="A211" s="16">
        <f>'Grad Raw Data'!L106</f>
        <v>0</v>
      </c>
      <c r="B211" s="20"/>
      <c r="C211" s="20"/>
      <c r="D211" s="20" t="str" cm="1">
        <f t="array" aca="1" ref="D211" ca="1">IF(I211="","",INDIRECT("'Grad Raw Data'!G"&amp;I211))</f>
        <v/>
      </c>
      <c r="H211">
        <v>211</v>
      </c>
      <c r="I211" t="str">
        <f t="shared" si="3"/>
        <v/>
      </c>
    </row>
    <row r="212" spans="1:9" ht="24.95" customHeight="1" x14ac:dyDescent="0.25">
      <c r="A212" s="20" t="str">
        <f>'Grad Raw Data'!I107</f>
        <v>Alex</v>
      </c>
      <c r="B212" s="20" t="str">
        <f>'Grad Raw Data'!K108</f>
        <v/>
      </c>
      <c r="C212" s="20" t="str">
        <f>'Grad Raw Data'!H107</f>
        <v>Gisetto</v>
      </c>
      <c r="D212" s="20" cm="1">
        <f t="array" aca="1" ref="D212" ca="1">IF(I212="","",INDIRECT("'Grad Raw Data'!G"&amp;I212))</f>
        <v>0</v>
      </c>
      <c r="E212" s="44" t="str">
        <f>'Grad Raw Data'!D107</f>
        <v>RIGHT</v>
      </c>
      <c r="F212" s="44">
        <f>'Grad Raw Data'!E107</f>
        <v>5</v>
      </c>
      <c r="H212">
        <v>212</v>
      </c>
      <c r="I212">
        <f t="shared" si="3"/>
        <v>107</v>
      </c>
    </row>
    <row r="213" spans="1:9" ht="24.95" customHeight="1" x14ac:dyDescent="0.25">
      <c r="A213" s="16">
        <f>'Grad Raw Data'!L107</f>
        <v>0</v>
      </c>
      <c r="B213" s="20"/>
      <c r="C213" s="20"/>
      <c r="D213" s="20" t="str" cm="1">
        <f t="array" aca="1" ref="D213" ca="1">IF(I213="","",INDIRECT("'Grad Raw Data'!G"&amp;I213))</f>
        <v/>
      </c>
      <c r="H213">
        <v>213</v>
      </c>
      <c r="I213" t="str">
        <f t="shared" si="3"/>
        <v/>
      </c>
    </row>
    <row r="214" spans="1:9" ht="24.95" customHeight="1" x14ac:dyDescent="0.25">
      <c r="A214" s="20" t="str">
        <f>'Grad Raw Data'!I108</f>
        <v>Benjamin</v>
      </c>
      <c r="B214" s="20" t="str">
        <f>'Grad Raw Data'!K109</f>
        <v/>
      </c>
      <c r="C214" s="20" t="str">
        <f>'Grad Raw Data'!H108</f>
        <v>Goldlust</v>
      </c>
      <c r="D214" s="20" cm="1">
        <f t="array" aca="1" ref="D214" ca="1">IF(I214="","",INDIRECT("'Grad Raw Data'!G"&amp;I214))</f>
        <v>0</v>
      </c>
      <c r="E214" s="44" t="str">
        <f>'Grad Raw Data'!D108</f>
        <v>RIGHT</v>
      </c>
      <c r="F214" s="44">
        <f>'Grad Raw Data'!E108</f>
        <v>5</v>
      </c>
      <c r="H214">
        <v>214</v>
      </c>
      <c r="I214">
        <f t="shared" si="3"/>
        <v>108</v>
      </c>
    </row>
    <row r="215" spans="1:9" ht="24.95" customHeight="1" x14ac:dyDescent="0.25">
      <c r="A215" s="16">
        <f>'Grad Raw Data'!L108</f>
        <v>0</v>
      </c>
      <c r="B215" s="20"/>
      <c r="C215" s="20"/>
      <c r="D215" s="20" t="str" cm="1">
        <f t="array" aca="1" ref="D215" ca="1">IF(I215="","",INDIRECT("'Grad Raw Data'!G"&amp;I215))</f>
        <v/>
      </c>
      <c r="H215">
        <v>215</v>
      </c>
      <c r="I215" t="str">
        <f t="shared" si="3"/>
        <v/>
      </c>
    </row>
    <row r="216" spans="1:9" ht="24.95" customHeight="1" x14ac:dyDescent="0.25">
      <c r="A216" s="20" t="str">
        <f>'Grad Raw Data'!I109</f>
        <v>Jack</v>
      </c>
      <c r="B216" s="20" t="str">
        <f>'Grad Raw Data'!K110</f>
        <v/>
      </c>
      <c r="C216" s="20" t="str">
        <f>'Grad Raw Data'!H109</f>
        <v>Goodfellow</v>
      </c>
      <c r="D216" s="20" cm="1">
        <f t="array" aca="1" ref="D216" ca="1">IF(I216="","",INDIRECT("'Grad Raw Data'!G"&amp;I216))</f>
        <v>0</v>
      </c>
      <c r="E216" s="44" t="str">
        <f>'Grad Raw Data'!D109</f>
        <v>RIGHT</v>
      </c>
      <c r="F216" s="44">
        <f>'Grad Raw Data'!E109</f>
        <v>5</v>
      </c>
      <c r="H216">
        <v>216</v>
      </c>
      <c r="I216">
        <f t="shared" si="3"/>
        <v>109</v>
      </c>
    </row>
    <row r="217" spans="1:9" ht="24.95" customHeight="1" x14ac:dyDescent="0.25">
      <c r="A217" s="16">
        <f>'Grad Raw Data'!L109</f>
        <v>0</v>
      </c>
      <c r="B217" s="20"/>
      <c r="C217" s="20"/>
      <c r="D217" s="20" t="str" cm="1">
        <f t="array" aca="1" ref="D217" ca="1">IF(I217="","",INDIRECT("'Grad Raw Data'!G"&amp;I217))</f>
        <v/>
      </c>
      <c r="H217">
        <v>217</v>
      </c>
      <c r="I217" t="str">
        <f t="shared" si="3"/>
        <v/>
      </c>
    </row>
    <row r="218" spans="1:9" ht="24.95" customHeight="1" x14ac:dyDescent="0.25">
      <c r="A218" s="20" t="str">
        <f>'Grad Raw Data'!I110</f>
        <v>Drew</v>
      </c>
      <c r="B218" s="20" t="str">
        <f>'Grad Raw Data'!K111</f>
        <v/>
      </c>
      <c r="C218" s="20" t="str">
        <f>'Grad Raw Data'!H110</f>
        <v>Gorski</v>
      </c>
      <c r="D218" s="20" cm="1">
        <f t="array" aca="1" ref="D218" ca="1">IF(I218="","",INDIRECT("'Grad Raw Data'!G"&amp;I218))</f>
        <v>0</v>
      </c>
      <c r="E218" s="44" t="str">
        <f>'Grad Raw Data'!D110</f>
        <v>RIGHT</v>
      </c>
      <c r="F218" s="44">
        <f>'Grad Raw Data'!E110</f>
        <v>5</v>
      </c>
      <c r="H218">
        <v>218</v>
      </c>
      <c r="I218">
        <f t="shared" si="3"/>
        <v>110</v>
      </c>
    </row>
    <row r="219" spans="1:9" ht="24.95" customHeight="1" x14ac:dyDescent="0.25">
      <c r="A219" s="16" t="str">
        <f>'Grad Raw Data'!L110</f>
        <v>Drew</v>
      </c>
      <c r="B219" s="20"/>
      <c r="C219" s="20"/>
      <c r="D219" s="20" t="str" cm="1">
        <f t="array" aca="1" ref="D219" ca="1">IF(I219="","",INDIRECT("'Grad Raw Data'!G"&amp;I219))</f>
        <v/>
      </c>
      <c r="H219">
        <v>219</v>
      </c>
      <c r="I219" t="str">
        <f t="shared" si="3"/>
        <v/>
      </c>
    </row>
    <row r="220" spans="1:9" ht="24.95" customHeight="1" x14ac:dyDescent="0.25">
      <c r="A220" s="20" t="str">
        <f>'Grad Raw Data'!I111</f>
        <v>Lila</v>
      </c>
      <c r="B220" s="20" t="str">
        <f>'Grad Raw Data'!K112</f>
        <v/>
      </c>
      <c r="C220" s="20" t="str">
        <f>'Grad Raw Data'!H111</f>
        <v>Gosdanian</v>
      </c>
      <c r="D220" s="20" cm="1">
        <f t="array" aca="1" ref="D220" ca="1">IF(I220="","",INDIRECT("'Grad Raw Data'!G"&amp;I220))</f>
        <v>0</v>
      </c>
      <c r="E220" s="44" t="str">
        <f>'Grad Raw Data'!D111</f>
        <v>RIGHT</v>
      </c>
      <c r="F220" s="44">
        <f>'Grad Raw Data'!E111</f>
        <v>5</v>
      </c>
      <c r="H220">
        <v>220</v>
      </c>
      <c r="I220">
        <f t="shared" si="3"/>
        <v>111</v>
      </c>
    </row>
    <row r="221" spans="1:9" ht="24.95" customHeight="1" x14ac:dyDescent="0.25">
      <c r="A221" s="16" t="str">
        <f>'Grad Raw Data'!L111</f>
        <v>Lylah Gosdainian</v>
      </c>
      <c r="B221" s="20"/>
      <c r="C221" s="20"/>
      <c r="D221" s="20" t="str" cm="1">
        <f t="array" aca="1" ref="D221" ca="1">IF(I221="","",INDIRECT("'Grad Raw Data'!G"&amp;I221))</f>
        <v/>
      </c>
      <c r="H221">
        <v>221</v>
      </c>
      <c r="I221" t="str">
        <f t="shared" si="3"/>
        <v/>
      </c>
    </row>
    <row r="222" spans="1:9" ht="24.95" customHeight="1" x14ac:dyDescent="0.25">
      <c r="A222" s="20" t="str">
        <f>'Grad Raw Data'!I112</f>
        <v>Cole</v>
      </c>
      <c r="B222" s="20" t="str">
        <f>'Grad Raw Data'!K113</f>
        <v>Sebastian</v>
      </c>
      <c r="C222" s="20" t="str">
        <f>'Grad Raw Data'!H112</f>
        <v>Grant</v>
      </c>
      <c r="D222" s="20" cm="1">
        <f t="array" aca="1" ref="D222" ca="1">IF(I222="","",INDIRECT("'Grad Raw Data'!G"&amp;I222))</f>
        <v>0</v>
      </c>
      <c r="E222" s="44" t="str">
        <f>'Grad Raw Data'!D112</f>
        <v>RIGHT</v>
      </c>
      <c r="F222" s="44">
        <f>'Grad Raw Data'!E112</f>
        <v>5</v>
      </c>
      <c r="H222">
        <v>222</v>
      </c>
      <c r="I222">
        <f t="shared" si="3"/>
        <v>112</v>
      </c>
    </row>
    <row r="223" spans="1:9" ht="24.95" customHeight="1" x14ac:dyDescent="0.25">
      <c r="A223" s="16">
        <f>'Grad Raw Data'!L112</f>
        <v>0</v>
      </c>
      <c r="B223" s="20"/>
      <c r="C223" s="20"/>
      <c r="D223" s="20" t="str" cm="1">
        <f t="array" aca="1" ref="D223" ca="1">IF(I223="","",INDIRECT("'Grad Raw Data'!G"&amp;I223))</f>
        <v/>
      </c>
      <c r="H223">
        <v>223</v>
      </c>
      <c r="I223" t="str">
        <f t="shared" si="3"/>
        <v/>
      </c>
    </row>
    <row r="224" spans="1:9" ht="24.95" customHeight="1" x14ac:dyDescent="0.25">
      <c r="A224" s="20" t="str">
        <f>'Grad Raw Data'!I113</f>
        <v>Kendall</v>
      </c>
      <c r="B224" s="20" t="str">
        <f>'Grad Raw Data'!K114</f>
        <v/>
      </c>
      <c r="C224" s="20" t="str">
        <f>'Grad Raw Data'!H113</f>
        <v>Graves</v>
      </c>
      <c r="D224" s="20" cm="1">
        <f t="array" aca="1" ref="D224" ca="1">IF(I224="","",INDIRECT("'Grad Raw Data'!G"&amp;I224))</f>
        <v>0</v>
      </c>
      <c r="E224" s="44" t="str">
        <f>'Grad Raw Data'!D113</f>
        <v>RIGHT</v>
      </c>
      <c r="F224" s="44">
        <f>'Grad Raw Data'!E113</f>
        <v>5</v>
      </c>
      <c r="H224">
        <v>224</v>
      </c>
      <c r="I224">
        <f t="shared" si="3"/>
        <v>113</v>
      </c>
    </row>
    <row r="225" spans="1:9" ht="24.95" customHeight="1" x14ac:dyDescent="0.25">
      <c r="A225" s="16">
        <f>'Grad Raw Data'!L113</f>
        <v>0</v>
      </c>
      <c r="B225" s="20"/>
      <c r="C225" s="20"/>
      <c r="D225" s="20" t="str" cm="1">
        <f t="array" aca="1" ref="D225" ca="1">IF(I225="","",INDIRECT("'Grad Raw Data'!G"&amp;I225))</f>
        <v/>
      </c>
      <c r="H225">
        <v>225</v>
      </c>
      <c r="I225" t="str">
        <f t="shared" si="3"/>
        <v/>
      </c>
    </row>
    <row r="226" spans="1:9" ht="24.95" customHeight="1" x14ac:dyDescent="0.25">
      <c r="A226" s="20" t="str">
        <f>'Grad Raw Data'!I114</f>
        <v>Griffin</v>
      </c>
      <c r="B226" s="20" t="str">
        <f>'Grad Raw Data'!K115</f>
        <v>James</v>
      </c>
      <c r="C226" s="20" t="str">
        <f>'Grad Raw Data'!H114</f>
        <v>Haggerty</v>
      </c>
      <c r="D226" s="20" cm="1">
        <f t="array" aca="1" ref="D226" ca="1">IF(I226="","",INDIRECT("'Grad Raw Data'!G"&amp;I226))</f>
        <v>0</v>
      </c>
      <c r="E226" s="44" t="str">
        <f>'Grad Raw Data'!D114</f>
        <v>RIGHT</v>
      </c>
      <c r="F226" s="44">
        <f>'Grad Raw Data'!E114</f>
        <v>5</v>
      </c>
      <c r="H226">
        <v>226</v>
      </c>
      <c r="I226">
        <f t="shared" si="3"/>
        <v>114</v>
      </c>
    </row>
    <row r="227" spans="1:9" ht="24.95" customHeight="1" x14ac:dyDescent="0.25">
      <c r="A227" s="16">
        <f>'Grad Raw Data'!L114</f>
        <v>0</v>
      </c>
      <c r="B227" s="20"/>
      <c r="C227" s="20"/>
      <c r="D227" s="20" t="str" cm="1">
        <f t="array" aca="1" ref="D227" ca="1">IF(I227="","",INDIRECT("'Grad Raw Data'!G"&amp;I227))</f>
        <v/>
      </c>
      <c r="H227">
        <v>227</v>
      </c>
      <c r="I227" t="str">
        <f t="shared" si="3"/>
        <v/>
      </c>
    </row>
    <row r="228" spans="1:9" ht="24.95" customHeight="1" x14ac:dyDescent="0.25">
      <c r="A228" s="20" t="str">
        <f>'Grad Raw Data'!I115</f>
        <v>Andrea</v>
      </c>
      <c r="B228" s="20" t="str">
        <f>'Grad Raw Data'!K116</f>
        <v/>
      </c>
      <c r="C228" s="20" t="str">
        <f>'Grad Raw Data'!H115</f>
        <v>Hall</v>
      </c>
      <c r="D228" s="20" cm="1">
        <f t="array" aca="1" ref="D228" ca="1">IF(I228="","",INDIRECT("'Grad Raw Data'!G"&amp;I228))</f>
        <v>0</v>
      </c>
      <c r="E228" s="44" t="str">
        <f>'Grad Raw Data'!D115</f>
        <v>LEFT</v>
      </c>
      <c r="F228" s="44">
        <f>'Grad Raw Data'!E115</f>
        <v>5</v>
      </c>
      <c r="H228">
        <v>228</v>
      </c>
      <c r="I228">
        <f t="shared" si="3"/>
        <v>115</v>
      </c>
    </row>
    <row r="229" spans="1:9" ht="24.95" customHeight="1" x14ac:dyDescent="0.25">
      <c r="A229" s="16" t="str">
        <f>'Grad Raw Data'!L115</f>
        <v>Alpha, November, Delta, Romeo, Echo, alpha</v>
      </c>
      <c r="B229" s="20"/>
      <c r="C229" s="20"/>
      <c r="D229" s="20" t="str" cm="1">
        <f t="array" aca="1" ref="D229" ca="1">IF(I229="","",INDIRECT("'Grad Raw Data'!G"&amp;I229))</f>
        <v/>
      </c>
      <c r="H229">
        <v>229</v>
      </c>
      <c r="I229" t="str">
        <f t="shared" si="3"/>
        <v/>
      </c>
    </row>
    <row r="230" spans="1:9" ht="24.95" customHeight="1" x14ac:dyDescent="0.25">
      <c r="A230" s="20" t="str">
        <f>'Grad Raw Data'!I116</f>
        <v>Sarah</v>
      </c>
      <c r="B230" s="20" t="str">
        <f>'Grad Raw Data'!K117</f>
        <v/>
      </c>
      <c r="C230" s="20" t="str">
        <f>'Grad Raw Data'!H116</f>
        <v>Hamilton</v>
      </c>
      <c r="D230" s="20" cm="1">
        <f t="array" aca="1" ref="D230" ca="1">IF(I230="","",INDIRECT("'Grad Raw Data'!G"&amp;I230))</f>
        <v>0</v>
      </c>
      <c r="E230" s="44" t="str">
        <f>'Grad Raw Data'!D116</f>
        <v>LEFT</v>
      </c>
      <c r="F230" s="44">
        <f>'Grad Raw Data'!E116</f>
        <v>5</v>
      </c>
      <c r="H230">
        <v>230</v>
      </c>
      <c r="I230">
        <f t="shared" si="3"/>
        <v>116</v>
      </c>
    </row>
    <row r="231" spans="1:9" ht="24.95" customHeight="1" x14ac:dyDescent="0.25">
      <c r="A231" s="16">
        <f>'Grad Raw Data'!L116</f>
        <v>0</v>
      </c>
      <c r="B231" s="20"/>
      <c r="C231" s="20"/>
      <c r="D231" s="20" t="str" cm="1">
        <f t="array" aca="1" ref="D231" ca="1">IF(I231="","",INDIRECT("'Grad Raw Data'!G"&amp;I231))</f>
        <v/>
      </c>
      <c r="H231">
        <v>231</v>
      </c>
      <c r="I231" t="str">
        <f t="shared" si="3"/>
        <v/>
      </c>
    </row>
    <row r="232" spans="1:9" ht="24.95" customHeight="1" x14ac:dyDescent="0.25">
      <c r="A232" s="20" t="str">
        <f>'Grad Raw Data'!I117</f>
        <v>Margaret</v>
      </c>
      <c r="B232" s="20" t="str">
        <f>'Grad Raw Data'!K118</f>
        <v/>
      </c>
      <c r="C232" s="20" t="str">
        <f>'Grad Raw Data'!H117</f>
        <v>Hanifan</v>
      </c>
      <c r="D232" s="20" cm="1">
        <f t="array" aca="1" ref="D232" ca="1">IF(I232="","",INDIRECT("'Grad Raw Data'!G"&amp;I232))</f>
        <v>0</v>
      </c>
      <c r="E232" s="44" t="str">
        <f>'Grad Raw Data'!D117</f>
        <v>LEFT</v>
      </c>
      <c r="F232" s="44">
        <f>'Grad Raw Data'!E117</f>
        <v>5</v>
      </c>
      <c r="H232">
        <v>232</v>
      </c>
      <c r="I232">
        <f t="shared" si="3"/>
        <v>117</v>
      </c>
    </row>
    <row r="233" spans="1:9" ht="24.95" customHeight="1" x14ac:dyDescent="0.25">
      <c r="A233" s="16">
        <f>'Grad Raw Data'!L117</f>
        <v>0</v>
      </c>
      <c r="B233" s="20"/>
      <c r="C233" s="20"/>
      <c r="D233" s="20" t="str" cm="1">
        <f t="array" aca="1" ref="D233" ca="1">IF(I233="","",INDIRECT("'Grad Raw Data'!G"&amp;I233))</f>
        <v/>
      </c>
      <c r="H233">
        <v>233</v>
      </c>
      <c r="I233" t="str">
        <f t="shared" si="3"/>
        <v/>
      </c>
    </row>
    <row r="234" spans="1:9" ht="24.95" customHeight="1" x14ac:dyDescent="0.25">
      <c r="A234" s="20" t="str">
        <f>'Grad Raw Data'!I118</f>
        <v>Cameron</v>
      </c>
      <c r="B234" s="20" t="str">
        <f>'Grad Raw Data'!K119</f>
        <v/>
      </c>
      <c r="C234" s="20" t="str">
        <f>'Grad Raw Data'!H118</f>
        <v>Harrigan</v>
      </c>
      <c r="D234" s="20" cm="1">
        <f t="array" aca="1" ref="D234" ca="1">IF(I234="","",INDIRECT("'Grad Raw Data'!G"&amp;I234))</f>
        <v>0</v>
      </c>
      <c r="E234" s="44" t="str">
        <f>'Grad Raw Data'!D118</f>
        <v>LEFT</v>
      </c>
      <c r="F234" s="44">
        <f>'Grad Raw Data'!E118</f>
        <v>5</v>
      </c>
      <c r="H234">
        <v>234</v>
      </c>
      <c r="I234">
        <f t="shared" si="3"/>
        <v>118</v>
      </c>
    </row>
    <row r="235" spans="1:9" ht="24.95" customHeight="1" x14ac:dyDescent="0.25">
      <c r="A235" s="16">
        <f>'Grad Raw Data'!L118</f>
        <v>0</v>
      </c>
      <c r="B235" s="20"/>
      <c r="C235" s="20"/>
      <c r="D235" s="20" t="str" cm="1">
        <f t="array" aca="1" ref="D235" ca="1">IF(I235="","",INDIRECT("'Grad Raw Data'!G"&amp;I235))</f>
        <v/>
      </c>
      <c r="H235">
        <v>235</v>
      </c>
      <c r="I235" t="str">
        <f t="shared" si="3"/>
        <v/>
      </c>
    </row>
    <row r="236" spans="1:9" ht="24.95" customHeight="1" x14ac:dyDescent="0.25">
      <c r="A236" s="20" t="str">
        <f>'Grad Raw Data'!I119</f>
        <v>Victoria</v>
      </c>
      <c r="B236" s="20" t="str">
        <f>'Grad Raw Data'!K120</f>
        <v/>
      </c>
      <c r="C236" s="20" t="str">
        <f>'Grad Raw Data'!H119</f>
        <v>Henri</v>
      </c>
      <c r="D236" s="20" cm="1">
        <f t="array" aca="1" ref="D236" ca="1">IF(I236="","",INDIRECT("'Grad Raw Data'!G"&amp;I236))</f>
        <v>0</v>
      </c>
      <c r="E236" s="44" t="str">
        <f>'Grad Raw Data'!D119</f>
        <v>LEFT</v>
      </c>
      <c r="F236" s="44">
        <f>'Grad Raw Data'!E119</f>
        <v>5</v>
      </c>
      <c r="H236">
        <v>236</v>
      </c>
      <c r="I236">
        <f t="shared" si="3"/>
        <v>119</v>
      </c>
    </row>
    <row r="237" spans="1:9" ht="24.95" customHeight="1" x14ac:dyDescent="0.25">
      <c r="A237" s="16" t="str">
        <f>'Grad Raw Data'!L119</f>
        <v>Vic-tor-ee-a Hen-ree</v>
      </c>
      <c r="B237" s="20"/>
      <c r="C237" s="20"/>
      <c r="D237" s="20" t="str" cm="1">
        <f t="array" aca="1" ref="D237" ca="1">IF(I237="","",INDIRECT("'Grad Raw Data'!G"&amp;I237))</f>
        <v/>
      </c>
      <c r="H237">
        <v>237</v>
      </c>
      <c r="I237" t="str">
        <f t="shared" si="3"/>
        <v/>
      </c>
    </row>
    <row r="238" spans="1:9" ht="24.95" customHeight="1" x14ac:dyDescent="0.25">
      <c r="A238" s="20" t="str">
        <f>'Grad Raw Data'!I120</f>
        <v>Kayke</v>
      </c>
      <c r="B238" s="20" t="str">
        <f>'Grad Raw Data'!K121</f>
        <v/>
      </c>
      <c r="C238" s="20" t="str">
        <f>'Grad Raw Data'!H120</f>
        <v>Henrique</v>
      </c>
      <c r="D238" s="20" cm="1">
        <f t="array" aca="1" ref="D238" ca="1">IF(I238="","",INDIRECT("'Grad Raw Data'!G"&amp;I238))</f>
        <v>0</v>
      </c>
      <c r="E238" s="44" t="str">
        <f>'Grad Raw Data'!D120</f>
        <v>LEFT</v>
      </c>
      <c r="F238" s="44">
        <f>'Grad Raw Data'!E120</f>
        <v>5</v>
      </c>
      <c r="H238">
        <v>238</v>
      </c>
      <c r="I238">
        <f t="shared" si="3"/>
        <v>120</v>
      </c>
    </row>
    <row r="239" spans="1:9" ht="24.95" customHeight="1" x14ac:dyDescent="0.25">
      <c r="A239" s="16">
        <f>'Grad Raw Data'!L120</f>
        <v>0</v>
      </c>
      <c r="B239" s="20"/>
      <c r="C239" s="20"/>
      <c r="D239" s="20" t="str" cm="1">
        <f t="array" aca="1" ref="D239" ca="1">IF(I239="","",INDIRECT("'Grad Raw Data'!G"&amp;I239))</f>
        <v/>
      </c>
      <c r="H239">
        <v>239</v>
      </c>
      <c r="I239" t="str">
        <f t="shared" si="3"/>
        <v/>
      </c>
    </row>
    <row r="240" spans="1:9" ht="24.95" customHeight="1" x14ac:dyDescent="0.25">
      <c r="A240" s="20" t="str">
        <f>'Grad Raw Data'!I121</f>
        <v>Jahkye</v>
      </c>
      <c r="B240" s="20" t="str">
        <f>'Grad Raw Data'!K122</f>
        <v/>
      </c>
      <c r="C240" s="20" t="str">
        <f>'Grad Raw Data'!H121</f>
        <v>Hobson</v>
      </c>
      <c r="D240" s="20" cm="1">
        <f t="array" aca="1" ref="D240" ca="1">IF(I240="","",INDIRECT("'Grad Raw Data'!G"&amp;I240))</f>
        <v>0</v>
      </c>
      <c r="E240" s="44" t="str">
        <f>'Grad Raw Data'!D121</f>
        <v>LEFT</v>
      </c>
      <c r="F240" s="44">
        <f>'Grad Raw Data'!E121</f>
        <v>5</v>
      </c>
      <c r="H240">
        <v>240</v>
      </c>
      <c r="I240">
        <f t="shared" si="3"/>
        <v>121</v>
      </c>
    </row>
    <row r="241" spans="1:9" ht="24.95" customHeight="1" x14ac:dyDescent="0.25">
      <c r="A241" s="16" t="str">
        <f>'Grad Raw Data'!L121</f>
        <v>JAH-KIA</v>
      </c>
      <c r="B241" s="20"/>
      <c r="C241" s="20"/>
      <c r="D241" s="20" t="str" cm="1">
        <f t="array" aca="1" ref="D241" ca="1">IF(I241="","",INDIRECT("'Grad Raw Data'!G"&amp;I241))</f>
        <v/>
      </c>
      <c r="H241">
        <v>241</v>
      </c>
      <c r="I241" t="str">
        <f t="shared" si="3"/>
        <v/>
      </c>
    </row>
    <row r="242" spans="1:9" ht="24.95" customHeight="1" x14ac:dyDescent="0.25">
      <c r="A242" s="20" t="str">
        <f>'Grad Raw Data'!I122</f>
        <v>Sam</v>
      </c>
      <c r="B242" s="20" t="str">
        <f>'Grad Raw Data'!K123</f>
        <v/>
      </c>
      <c r="C242" s="20" t="str">
        <f>'Grad Raw Data'!H122</f>
        <v>Holt</v>
      </c>
      <c r="D242" s="20" cm="1">
        <f t="array" aca="1" ref="D242" ca="1">IF(I242="","",INDIRECT("'Grad Raw Data'!G"&amp;I242))</f>
        <v>0</v>
      </c>
      <c r="E242" s="44" t="str">
        <f>'Grad Raw Data'!D122</f>
        <v>LEFT</v>
      </c>
      <c r="F242" s="44">
        <f>'Grad Raw Data'!E122</f>
        <v>5</v>
      </c>
      <c r="H242">
        <v>242</v>
      </c>
      <c r="I242">
        <f t="shared" si="3"/>
        <v>122</v>
      </c>
    </row>
    <row r="243" spans="1:9" ht="24.95" customHeight="1" x14ac:dyDescent="0.25">
      <c r="A243" s="16">
        <f>'Grad Raw Data'!L122</f>
        <v>0</v>
      </c>
      <c r="B243" s="20"/>
      <c r="C243" s="20"/>
      <c r="D243" s="20" t="str" cm="1">
        <f t="array" aca="1" ref="D243" ca="1">IF(I243="","",INDIRECT("'Grad Raw Data'!G"&amp;I243))</f>
        <v/>
      </c>
      <c r="H243">
        <v>243</v>
      </c>
      <c r="I243" t="str">
        <f t="shared" si="3"/>
        <v/>
      </c>
    </row>
    <row r="244" spans="1:9" ht="24.95" customHeight="1" x14ac:dyDescent="0.25">
      <c r="A244" s="20" t="str">
        <f>'Grad Raw Data'!I123</f>
        <v>Benjamin</v>
      </c>
      <c r="B244" s="20" t="str">
        <f>'Grad Raw Data'!K124</f>
        <v/>
      </c>
      <c r="C244" s="20" t="str">
        <f>'Grad Raw Data'!H123</f>
        <v>Houle</v>
      </c>
      <c r="D244" s="20" cm="1">
        <f t="array" aca="1" ref="D244" ca="1">IF(I244="","",INDIRECT("'Grad Raw Data'!G"&amp;I244))</f>
        <v>0</v>
      </c>
      <c r="E244" s="44" t="str">
        <f>'Grad Raw Data'!D123</f>
        <v>LEFT</v>
      </c>
      <c r="F244" s="44">
        <f>'Grad Raw Data'!E123</f>
        <v>5</v>
      </c>
      <c r="H244">
        <v>244</v>
      </c>
      <c r="I244">
        <f t="shared" si="3"/>
        <v>123</v>
      </c>
    </row>
    <row r="245" spans="1:9" ht="24.95" customHeight="1" x14ac:dyDescent="0.25">
      <c r="A245" s="16" t="str">
        <f>'Grad Raw Data'!L123</f>
        <v>H-oo-l</v>
      </c>
      <c r="B245" s="20"/>
      <c r="C245" s="20"/>
      <c r="D245" s="20" t="str" cm="1">
        <f t="array" aca="1" ref="D245" ca="1">IF(I245="","",INDIRECT("'Grad Raw Data'!G"&amp;I245))</f>
        <v/>
      </c>
      <c r="H245">
        <v>245</v>
      </c>
      <c r="I245" t="str">
        <f t="shared" si="3"/>
        <v/>
      </c>
    </row>
    <row r="246" spans="1:9" ht="24.95" customHeight="1" x14ac:dyDescent="0.25">
      <c r="A246" s="20" t="str">
        <f>'Grad Raw Data'!I124</f>
        <v>Evin</v>
      </c>
      <c r="B246" s="20" t="str">
        <f>'Grad Raw Data'!K125</f>
        <v/>
      </c>
      <c r="C246" s="20" t="str">
        <f>'Grad Raw Data'!H124</f>
        <v>Howell</v>
      </c>
      <c r="D246" s="20" cm="1">
        <f t="array" aca="1" ref="D246" ca="1">IF(I246="","",INDIRECT("'Grad Raw Data'!G"&amp;I246))</f>
        <v>0</v>
      </c>
      <c r="E246" s="44" t="str">
        <f>'Grad Raw Data'!D124</f>
        <v>LEFT</v>
      </c>
      <c r="F246" s="44">
        <f>'Grad Raw Data'!E124</f>
        <v>5</v>
      </c>
      <c r="H246">
        <v>246</v>
      </c>
      <c r="I246">
        <f t="shared" si="3"/>
        <v>124</v>
      </c>
    </row>
    <row r="247" spans="1:9" ht="24.95" customHeight="1" x14ac:dyDescent="0.25">
      <c r="A247" s="16">
        <f>'Grad Raw Data'!L124</f>
        <v>0</v>
      </c>
      <c r="B247" s="20"/>
      <c r="C247" s="20"/>
      <c r="D247" s="20" t="str" cm="1">
        <f t="array" aca="1" ref="D247" ca="1">IF(I247="","",INDIRECT("'Grad Raw Data'!G"&amp;I247))</f>
        <v/>
      </c>
      <c r="H247">
        <v>247</v>
      </c>
      <c r="I247" t="str">
        <f t="shared" si="3"/>
        <v/>
      </c>
    </row>
    <row r="248" spans="1:9" ht="24.95" customHeight="1" x14ac:dyDescent="0.25">
      <c r="A248" s="20" t="str">
        <f>'Grad Raw Data'!I125</f>
        <v>Paul</v>
      </c>
      <c r="B248" s="20" t="str">
        <f>'Grad Raw Data'!K126</f>
        <v>Joseph</v>
      </c>
      <c r="C248" s="20" t="str">
        <f>'Grad Raw Data'!H125</f>
        <v>Iosua</v>
      </c>
      <c r="D248" s="20" cm="1">
        <f t="array" aca="1" ref="D248" ca="1">IF(I248="","",INDIRECT("'Grad Raw Data'!G"&amp;I248))</f>
        <v>0</v>
      </c>
      <c r="E248" s="44" t="str">
        <f>'Grad Raw Data'!D125</f>
        <v>LEFT</v>
      </c>
      <c r="F248" s="44">
        <f>'Grad Raw Data'!E125</f>
        <v>5</v>
      </c>
      <c r="H248">
        <v>248</v>
      </c>
      <c r="I248">
        <f t="shared" si="3"/>
        <v>125</v>
      </c>
    </row>
    <row r="249" spans="1:9" ht="24.95" customHeight="1" x14ac:dyDescent="0.25">
      <c r="A249" s="16" t="str">
        <f>'Grad Raw Data'!L125</f>
        <v>I-osh-u-ah</v>
      </c>
      <c r="B249" s="20"/>
      <c r="C249" s="20"/>
      <c r="D249" s="20" t="str" cm="1">
        <f t="array" aca="1" ref="D249" ca="1">IF(I249="","",INDIRECT("'Grad Raw Data'!G"&amp;I249))</f>
        <v/>
      </c>
      <c r="H249">
        <v>249</v>
      </c>
      <c r="I249" t="str">
        <f t="shared" si="3"/>
        <v/>
      </c>
    </row>
    <row r="250" spans="1:9" ht="24.95" customHeight="1" x14ac:dyDescent="0.25">
      <c r="A250" s="20" t="str">
        <f>'Grad Raw Data'!I126</f>
        <v>Leah</v>
      </c>
      <c r="B250" s="20" t="str">
        <f>'Grad Raw Data'!K127</f>
        <v/>
      </c>
      <c r="C250" s="20" t="str">
        <f>'Grad Raw Data'!H126</f>
        <v>Jackvony</v>
      </c>
      <c r="D250" s="20" cm="1">
        <f t="array" aca="1" ref="D250" ca="1">IF(I250="","",INDIRECT("'Grad Raw Data'!G"&amp;I250))</f>
        <v>0</v>
      </c>
      <c r="E250" s="44" t="str">
        <f>'Grad Raw Data'!D126</f>
        <v>LEFT</v>
      </c>
      <c r="F250" s="44">
        <f>'Grad Raw Data'!E126</f>
        <v>5</v>
      </c>
      <c r="H250">
        <v>250</v>
      </c>
      <c r="I250">
        <f t="shared" si="3"/>
        <v>126</v>
      </c>
    </row>
    <row r="251" spans="1:9" ht="24.95" customHeight="1" x14ac:dyDescent="0.25">
      <c r="A251" s="16">
        <f>'Grad Raw Data'!L126</f>
        <v>0</v>
      </c>
      <c r="B251" s="20"/>
      <c r="C251" s="20"/>
      <c r="D251" s="20" t="str" cm="1">
        <f t="array" aca="1" ref="D251" ca="1">IF(I251="","",INDIRECT("'Grad Raw Data'!G"&amp;I251))</f>
        <v/>
      </c>
      <c r="H251">
        <v>251</v>
      </c>
      <c r="I251" t="str">
        <f t="shared" si="3"/>
        <v/>
      </c>
    </row>
    <row r="252" spans="1:9" ht="24.95" customHeight="1" x14ac:dyDescent="0.25">
      <c r="A252" s="20" t="str">
        <f>'Grad Raw Data'!I127</f>
        <v>Wayne</v>
      </c>
      <c r="B252" s="20" t="str">
        <f>'Grad Raw Data'!K128</f>
        <v/>
      </c>
      <c r="C252" s="20" t="str">
        <f>'Grad Raw Data'!H127</f>
        <v>Jankun</v>
      </c>
      <c r="D252" s="20" cm="1">
        <f t="array" aca="1" ref="D252" ca="1">IF(I252="","",INDIRECT("'Grad Raw Data'!G"&amp;I252))</f>
        <v>0</v>
      </c>
      <c r="E252" s="44" t="str">
        <f>'Grad Raw Data'!D127</f>
        <v>RIGHT</v>
      </c>
      <c r="F252" s="44">
        <f>'Grad Raw Data'!E127</f>
        <v>6</v>
      </c>
      <c r="H252">
        <v>252</v>
      </c>
      <c r="I252">
        <f t="shared" si="3"/>
        <v>127</v>
      </c>
    </row>
    <row r="253" spans="1:9" ht="24.95" customHeight="1" x14ac:dyDescent="0.25">
      <c r="A253" s="16">
        <f>'Grad Raw Data'!L127</f>
        <v>0</v>
      </c>
      <c r="B253" s="20"/>
      <c r="C253" s="20"/>
      <c r="D253" s="20" t="str" cm="1">
        <f t="array" aca="1" ref="D253" ca="1">IF(I253="","",INDIRECT("'Grad Raw Data'!G"&amp;I253))</f>
        <v/>
      </c>
      <c r="H253">
        <v>253</v>
      </c>
      <c r="I253" t="str">
        <f t="shared" si="3"/>
        <v/>
      </c>
    </row>
    <row r="254" spans="1:9" ht="24.95" customHeight="1" x14ac:dyDescent="0.25">
      <c r="A254" s="20" t="str">
        <f>'Grad Raw Data'!I128</f>
        <v>Tristan</v>
      </c>
      <c r="B254" s="20" t="str">
        <f>'Grad Raw Data'!K129</f>
        <v/>
      </c>
      <c r="C254" s="20" t="str">
        <f>'Grad Raw Data'!H128</f>
        <v>Jenkins</v>
      </c>
      <c r="D254" s="20" cm="1">
        <f t="array" aca="1" ref="D254" ca="1">IF(I254="","",INDIRECT("'Grad Raw Data'!G"&amp;I254))</f>
        <v>0</v>
      </c>
      <c r="E254" s="44" t="str">
        <f>'Grad Raw Data'!D128</f>
        <v>RIGHT</v>
      </c>
      <c r="F254" s="44">
        <f>'Grad Raw Data'!E128</f>
        <v>6</v>
      </c>
      <c r="H254">
        <v>254</v>
      </c>
      <c r="I254">
        <f t="shared" si="3"/>
        <v>128</v>
      </c>
    </row>
    <row r="255" spans="1:9" ht="24.95" customHeight="1" x14ac:dyDescent="0.25">
      <c r="A255" s="16">
        <f>'Grad Raw Data'!L128</f>
        <v>0</v>
      </c>
      <c r="B255" s="20"/>
      <c r="C255" s="20"/>
      <c r="D255" s="20" t="str" cm="1">
        <f t="array" aca="1" ref="D255" ca="1">IF(I255="","",INDIRECT("'Grad Raw Data'!G"&amp;I255))</f>
        <v/>
      </c>
      <c r="H255">
        <v>255</v>
      </c>
      <c r="I255" t="str">
        <f t="shared" si="3"/>
        <v/>
      </c>
    </row>
    <row r="256" spans="1:9" ht="24.95" customHeight="1" x14ac:dyDescent="0.25">
      <c r="A256" s="20" t="str">
        <f>'Grad Raw Data'!I129</f>
        <v>Evan</v>
      </c>
      <c r="B256" s="20" t="str">
        <f>'Grad Raw Data'!K130</f>
        <v/>
      </c>
      <c r="C256" s="20" t="str">
        <f>'Grad Raw Data'!H129</f>
        <v>Jenney</v>
      </c>
      <c r="D256" s="20" cm="1">
        <f t="array" aca="1" ref="D256" ca="1">IF(I256="","",INDIRECT("'Grad Raw Data'!G"&amp;I256))</f>
        <v>0</v>
      </c>
      <c r="E256" s="44" t="str">
        <f>'Grad Raw Data'!D129</f>
        <v>RIGHT</v>
      </c>
      <c r="F256" s="44">
        <f>'Grad Raw Data'!E129</f>
        <v>6</v>
      </c>
      <c r="H256">
        <v>256</v>
      </c>
      <c r="I256">
        <f t="shared" si="3"/>
        <v>129</v>
      </c>
    </row>
    <row r="257" spans="1:9" ht="24.95" customHeight="1" x14ac:dyDescent="0.25">
      <c r="A257" s="16">
        <f>'Grad Raw Data'!L129</f>
        <v>0</v>
      </c>
      <c r="B257" s="20"/>
      <c r="C257" s="20"/>
      <c r="D257" s="20" t="str" cm="1">
        <f t="array" aca="1" ref="D257" ca="1">IF(I257="","",INDIRECT("'Grad Raw Data'!G"&amp;I257))</f>
        <v/>
      </c>
      <c r="H257">
        <v>257</v>
      </c>
      <c r="I257" t="str">
        <f t="shared" si="3"/>
        <v/>
      </c>
    </row>
    <row r="258" spans="1:9" ht="24.95" customHeight="1" x14ac:dyDescent="0.25">
      <c r="A258" s="20" t="str">
        <f>'Grad Raw Data'!I130</f>
        <v>Michael</v>
      </c>
      <c r="B258" s="20" t="str">
        <f>'Grad Raw Data'!K131</f>
        <v/>
      </c>
      <c r="C258" s="20" t="str">
        <f>'Grad Raw Data'!H130</f>
        <v>Jenney</v>
      </c>
      <c r="D258" s="20" cm="1">
        <f t="array" aca="1" ref="D258" ca="1">IF(I258="","",INDIRECT("'Grad Raw Data'!G"&amp;I258))</f>
        <v>0</v>
      </c>
      <c r="E258" s="44" t="str">
        <f>'Grad Raw Data'!D130</f>
        <v>RIGHT</v>
      </c>
      <c r="F258" s="44">
        <f>'Grad Raw Data'!E130</f>
        <v>6</v>
      </c>
      <c r="H258">
        <v>258</v>
      </c>
      <c r="I258">
        <f t="shared" si="3"/>
        <v>130</v>
      </c>
    </row>
    <row r="259" spans="1:9" ht="24.95" customHeight="1" x14ac:dyDescent="0.25">
      <c r="A259" s="16">
        <f>'Grad Raw Data'!L130</f>
        <v>0</v>
      </c>
      <c r="B259" s="20"/>
      <c r="C259" s="20"/>
      <c r="D259" s="20" t="str" cm="1">
        <f t="array" aca="1" ref="D259" ca="1">IF(I259="","",INDIRECT("'Grad Raw Data'!G"&amp;I259))</f>
        <v/>
      </c>
      <c r="H259">
        <v>259</v>
      </c>
      <c r="I259" t="str">
        <f t="shared" ref="I259:I322" si="4">IF(MOD((H259+2)/1,2)=0,(H259/2+1),"")</f>
        <v/>
      </c>
    </row>
    <row r="260" spans="1:9" ht="24.95" customHeight="1" x14ac:dyDescent="0.25">
      <c r="A260" s="20" t="str">
        <f>'Grad Raw Data'!I131</f>
        <v>Luke</v>
      </c>
      <c r="B260" s="20" t="str">
        <f>'Grad Raw Data'!K132</f>
        <v/>
      </c>
      <c r="C260" s="20" t="str">
        <f>'Grad Raw Data'!H131</f>
        <v>Johnson</v>
      </c>
      <c r="D260" s="20" cm="1">
        <f t="array" aca="1" ref="D260" ca="1">IF(I260="","",INDIRECT("'Grad Raw Data'!G"&amp;I260))</f>
        <v>0</v>
      </c>
      <c r="E260" s="44" t="str">
        <f>'Grad Raw Data'!D131</f>
        <v>RIGHT</v>
      </c>
      <c r="F260" s="44">
        <f>'Grad Raw Data'!E131</f>
        <v>6</v>
      </c>
      <c r="H260">
        <v>260</v>
      </c>
      <c r="I260">
        <f t="shared" si="4"/>
        <v>131</v>
      </c>
    </row>
    <row r="261" spans="1:9" ht="24.95" customHeight="1" x14ac:dyDescent="0.25">
      <c r="A261" s="16">
        <f>'Grad Raw Data'!L131</f>
        <v>0</v>
      </c>
      <c r="B261" s="20"/>
      <c r="C261" s="20"/>
      <c r="D261" s="20" t="str" cm="1">
        <f t="array" aca="1" ref="D261" ca="1">IF(I261="","",INDIRECT("'Grad Raw Data'!G"&amp;I261))</f>
        <v/>
      </c>
      <c r="H261">
        <v>261</v>
      </c>
      <c r="I261" t="str">
        <f t="shared" si="4"/>
        <v/>
      </c>
    </row>
    <row r="262" spans="1:9" ht="24.95" customHeight="1" x14ac:dyDescent="0.25">
      <c r="A262" s="20" t="str">
        <f>'Grad Raw Data'!I132</f>
        <v>Maeve</v>
      </c>
      <c r="B262" s="20" t="str">
        <f>'Grad Raw Data'!K133</f>
        <v/>
      </c>
      <c r="C262" s="20" t="str">
        <f>'Grad Raw Data'!H132</f>
        <v>Jones</v>
      </c>
      <c r="D262" s="20" cm="1">
        <f t="array" aca="1" ref="D262" ca="1">IF(I262="","",INDIRECT("'Grad Raw Data'!G"&amp;I262))</f>
        <v>0</v>
      </c>
      <c r="E262" s="44" t="str">
        <f>'Grad Raw Data'!D132</f>
        <v>RIGHT</v>
      </c>
      <c r="F262" s="44">
        <f>'Grad Raw Data'!E132</f>
        <v>6</v>
      </c>
      <c r="H262">
        <v>262</v>
      </c>
      <c r="I262">
        <f t="shared" si="4"/>
        <v>132</v>
      </c>
    </row>
    <row r="263" spans="1:9" ht="24.95" customHeight="1" x14ac:dyDescent="0.25">
      <c r="A263" s="16">
        <f>'Grad Raw Data'!L132</f>
        <v>0</v>
      </c>
      <c r="B263" s="20"/>
      <c r="C263" s="20"/>
      <c r="D263" s="20" t="str" cm="1">
        <f t="array" aca="1" ref="D263" ca="1">IF(I263="","",INDIRECT("'Grad Raw Data'!G"&amp;I263))</f>
        <v/>
      </c>
      <c r="H263">
        <v>263</v>
      </c>
      <c r="I263" t="str">
        <f t="shared" si="4"/>
        <v/>
      </c>
    </row>
    <row r="264" spans="1:9" ht="24.95" customHeight="1" x14ac:dyDescent="0.25">
      <c r="A264" s="20" t="str">
        <f>'Grad Raw Data'!I133</f>
        <v>Nolan</v>
      </c>
      <c r="B264" s="20" t="str">
        <f>'Grad Raw Data'!K134</f>
        <v/>
      </c>
      <c r="C264" s="20" t="str">
        <f>'Grad Raw Data'!H133</f>
        <v>Jordan</v>
      </c>
      <c r="D264" s="20" cm="1">
        <f t="array" aca="1" ref="D264" ca="1">IF(I264="","",INDIRECT("'Grad Raw Data'!G"&amp;I264))</f>
        <v>0</v>
      </c>
      <c r="E264" s="44" t="str">
        <f>'Grad Raw Data'!D133</f>
        <v>RIGHT</v>
      </c>
      <c r="F264" s="44">
        <f>'Grad Raw Data'!E133</f>
        <v>6</v>
      </c>
      <c r="H264">
        <v>264</v>
      </c>
      <c r="I264">
        <f t="shared" si="4"/>
        <v>133</v>
      </c>
    </row>
    <row r="265" spans="1:9" ht="24.95" customHeight="1" x14ac:dyDescent="0.25">
      <c r="A265" s="16">
        <f>'Grad Raw Data'!L133</f>
        <v>0</v>
      </c>
      <c r="B265" s="20"/>
      <c r="C265" s="20"/>
      <c r="D265" s="20" t="str" cm="1">
        <f t="array" aca="1" ref="D265" ca="1">IF(I265="","",INDIRECT("'Grad Raw Data'!G"&amp;I265))</f>
        <v/>
      </c>
      <c r="H265">
        <v>265</v>
      </c>
      <c r="I265" t="str">
        <f t="shared" si="4"/>
        <v/>
      </c>
    </row>
    <row r="266" spans="1:9" ht="24.95" customHeight="1" x14ac:dyDescent="0.25">
      <c r="A266" s="20" t="str">
        <f>'Grad Raw Data'!I134</f>
        <v>Emma</v>
      </c>
      <c r="B266" s="20" t="str">
        <f>'Grad Raw Data'!K135</f>
        <v/>
      </c>
      <c r="C266" s="20" t="str">
        <f>'Grad Raw Data'!H134</f>
        <v>Kaberle</v>
      </c>
      <c r="D266" s="20" cm="1">
        <f t="array" aca="1" ref="D266" ca="1">IF(I266="","",INDIRECT("'Grad Raw Data'!G"&amp;I266))</f>
        <v>0</v>
      </c>
      <c r="E266" s="44" t="str">
        <f>'Grad Raw Data'!D134</f>
        <v>RIGHT</v>
      </c>
      <c r="F266" s="44">
        <f>'Grad Raw Data'!E134</f>
        <v>6</v>
      </c>
      <c r="H266">
        <v>266</v>
      </c>
      <c r="I266">
        <f t="shared" si="4"/>
        <v>134</v>
      </c>
    </row>
    <row r="267" spans="1:9" ht="24.95" customHeight="1" x14ac:dyDescent="0.25">
      <c r="A267" s="16" t="str">
        <f>'Grad Raw Data'!L134</f>
        <v xml:space="preserve">K-ber-le </v>
      </c>
      <c r="B267" s="20"/>
      <c r="C267" s="20"/>
      <c r="D267" s="20" t="str" cm="1">
        <f t="array" aca="1" ref="D267" ca="1">IF(I267="","",INDIRECT("'Grad Raw Data'!G"&amp;I267))</f>
        <v/>
      </c>
      <c r="H267">
        <v>267</v>
      </c>
      <c r="I267" t="str">
        <f t="shared" si="4"/>
        <v/>
      </c>
    </row>
    <row r="268" spans="1:9" ht="24.95" customHeight="1" x14ac:dyDescent="0.25">
      <c r="A268" s="20" t="str">
        <f>'Grad Raw Data'!I135</f>
        <v>Azra</v>
      </c>
      <c r="B268" s="20" t="str">
        <f>'Grad Raw Data'!K136</f>
        <v/>
      </c>
      <c r="C268" s="20" t="str">
        <f>'Grad Raw Data'!H135</f>
        <v>Kadric</v>
      </c>
      <c r="D268" s="20" cm="1">
        <f t="array" aca="1" ref="D268" ca="1">IF(I268="","",INDIRECT("'Grad Raw Data'!G"&amp;I268))</f>
        <v>0</v>
      </c>
      <c r="E268" s="44" t="str">
        <f>'Grad Raw Data'!D135</f>
        <v>RIGHT</v>
      </c>
      <c r="F268" s="44">
        <f>'Grad Raw Data'!E135</f>
        <v>6</v>
      </c>
      <c r="H268">
        <v>268</v>
      </c>
      <c r="I268">
        <f t="shared" si="4"/>
        <v>135</v>
      </c>
    </row>
    <row r="269" spans="1:9" ht="24.95" customHeight="1" x14ac:dyDescent="0.25">
      <c r="A269" s="16" t="str">
        <f>'Grad Raw Data'!L135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B269" s="20"/>
      <c r="C269" s="20"/>
      <c r="D269" s="20" t="str" cm="1">
        <f t="array" aca="1" ref="D269" ca="1">IF(I269="","",INDIRECT("'Grad Raw Data'!G"&amp;I269))</f>
        <v/>
      </c>
      <c r="H269">
        <v>269</v>
      </c>
      <c r="I269" t="str">
        <f t="shared" si="4"/>
        <v/>
      </c>
    </row>
    <row r="270" spans="1:9" ht="24.95" customHeight="1" x14ac:dyDescent="0.25">
      <c r="A270" s="20" t="str">
        <f>'Grad Raw Data'!I136</f>
        <v>Brady</v>
      </c>
      <c r="B270" s="20" t="str">
        <f>'Grad Raw Data'!K137</f>
        <v/>
      </c>
      <c r="C270" s="20" t="str">
        <f>'Grad Raw Data'!H136</f>
        <v>Keaveney</v>
      </c>
      <c r="D270" s="20" cm="1">
        <f t="array" aca="1" ref="D270" ca="1">IF(I270="","",INDIRECT("'Grad Raw Data'!G"&amp;I270))</f>
        <v>0</v>
      </c>
      <c r="E270" s="44" t="str">
        <f>'Grad Raw Data'!D136</f>
        <v>RIGHT</v>
      </c>
      <c r="F270" s="44">
        <f>'Grad Raw Data'!E136</f>
        <v>6</v>
      </c>
      <c r="H270">
        <v>270</v>
      </c>
      <c r="I270">
        <f t="shared" si="4"/>
        <v>136</v>
      </c>
    </row>
    <row r="271" spans="1:9" ht="24.95" customHeight="1" x14ac:dyDescent="0.25">
      <c r="A271" s="16" t="str">
        <f>'Grad Raw Data'!L136</f>
        <v>Key van e</v>
      </c>
      <c r="B271" s="20"/>
      <c r="C271" s="20"/>
      <c r="D271" s="20" t="str" cm="1">
        <f t="array" aca="1" ref="D271" ca="1">IF(I271="","",INDIRECT("'Grad Raw Data'!G"&amp;I271))</f>
        <v/>
      </c>
      <c r="H271">
        <v>271</v>
      </c>
      <c r="I271" t="str">
        <f t="shared" si="4"/>
        <v/>
      </c>
    </row>
    <row r="272" spans="1:9" ht="24.95" customHeight="1" x14ac:dyDescent="0.25">
      <c r="A272" s="20" t="str">
        <f>'Grad Raw Data'!I137</f>
        <v>Hannah</v>
      </c>
      <c r="B272" s="20" t="str">
        <f>'Grad Raw Data'!K138</f>
        <v/>
      </c>
      <c r="C272" s="20" t="str">
        <f>'Grad Raw Data'!H137</f>
        <v>Kenton</v>
      </c>
      <c r="D272" s="20" cm="1">
        <f t="array" aca="1" ref="D272" ca="1">IF(I272="","",INDIRECT("'Grad Raw Data'!G"&amp;I272))</f>
        <v>0</v>
      </c>
      <c r="E272" s="44" t="str">
        <f>'Grad Raw Data'!D137</f>
        <v>RIGHT</v>
      </c>
      <c r="F272" s="44">
        <f>'Grad Raw Data'!E137</f>
        <v>6</v>
      </c>
      <c r="H272">
        <v>272</v>
      </c>
      <c r="I272">
        <f t="shared" si="4"/>
        <v>137</v>
      </c>
    </row>
    <row r="273" spans="1:9" ht="24.95" customHeight="1" x14ac:dyDescent="0.25">
      <c r="A273" s="16" t="str">
        <f>'Grad Raw Data'!L137</f>
        <v xml:space="preserve">Ken-tin </v>
      </c>
      <c r="B273" s="20"/>
      <c r="C273" s="20"/>
      <c r="D273" s="20" t="str" cm="1">
        <f t="array" aca="1" ref="D273" ca="1">IF(I273="","",INDIRECT("'Grad Raw Data'!G"&amp;I273))</f>
        <v/>
      </c>
      <c r="H273">
        <v>273</v>
      </c>
      <c r="I273" t="str">
        <f t="shared" si="4"/>
        <v/>
      </c>
    </row>
    <row r="274" spans="1:9" ht="24.95" customHeight="1" x14ac:dyDescent="0.25">
      <c r="A274" s="20" t="str">
        <f>'Grad Raw Data'!I138</f>
        <v>Aiden</v>
      </c>
      <c r="B274" s="20" t="str">
        <f>'Grad Raw Data'!K139</f>
        <v/>
      </c>
      <c r="C274" s="20" t="str">
        <f>'Grad Raw Data'!H138</f>
        <v>Kiley</v>
      </c>
      <c r="D274" s="20" cm="1">
        <f t="array" aca="1" ref="D274" ca="1">IF(I274="","",INDIRECT("'Grad Raw Data'!G"&amp;I274))</f>
        <v>0</v>
      </c>
      <c r="E274" s="44" t="str">
        <f>'Grad Raw Data'!D138</f>
        <v>RIGHT</v>
      </c>
      <c r="F274" s="44">
        <f>'Grad Raw Data'!E138</f>
        <v>6</v>
      </c>
      <c r="H274">
        <v>274</v>
      </c>
      <c r="I274">
        <f t="shared" si="4"/>
        <v>138</v>
      </c>
    </row>
    <row r="275" spans="1:9" ht="24.95" customHeight="1" x14ac:dyDescent="0.25">
      <c r="A275" s="16" t="str">
        <f>'Grad Raw Data'!L138</f>
        <v>Aiden Liley</v>
      </c>
      <c r="B275" s="20"/>
      <c r="C275" s="20"/>
      <c r="D275" s="20" t="str" cm="1">
        <f t="array" aca="1" ref="D275" ca="1">IF(I275="","",INDIRECT("'Grad Raw Data'!G"&amp;I275))</f>
        <v/>
      </c>
      <c r="H275">
        <v>275</v>
      </c>
      <c r="I275" t="str">
        <f t="shared" si="4"/>
        <v/>
      </c>
    </row>
    <row r="276" spans="1:9" ht="24.95" customHeight="1" x14ac:dyDescent="0.25">
      <c r="A276" s="20" t="str">
        <f>'Grad Raw Data'!I139</f>
        <v>Clinton</v>
      </c>
      <c r="B276" s="20" t="str">
        <f>'Grad Raw Data'!K140</f>
        <v/>
      </c>
      <c r="C276" s="20" t="str">
        <f>'Grad Raw Data'!H139</f>
        <v>King</v>
      </c>
      <c r="D276" s="20" cm="1">
        <f t="array" aca="1" ref="D276" ca="1">IF(I276="","",INDIRECT("'Grad Raw Data'!G"&amp;I276))</f>
        <v>0</v>
      </c>
      <c r="E276" s="44" t="str">
        <f>'Grad Raw Data'!D139</f>
        <v>LEFT</v>
      </c>
      <c r="F276" s="44">
        <f>'Grad Raw Data'!E139</f>
        <v>6</v>
      </c>
      <c r="H276">
        <v>276</v>
      </c>
      <c r="I276">
        <f t="shared" si="4"/>
        <v>139</v>
      </c>
    </row>
    <row r="277" spans="1:9" ht="24.95" customHeight="1" x14ac:dyDescent="0.25">
      <c r="A277" s="16">
        <f>'Grad Raw Data'!L139</f>
        <v>0</v>
      </c>
      <c r="B277" s="20"/>
      <c r="C277" s="20"/>
      <c r="D277" s="20" t="str" cm="1">
        <f t="array" aca="1" ref="D277" ca="1">IF(I277="","",INDIRECT("'Grad Raw Data'!G"&amp;I277))</f>
        <v/>
      </c>
      <c r="H277">
        <v>277</v>
      </c>
      <c r="I277" t="str">
        <f t="shared" si="4"/>
        <v/>
      </c>
    </row>
    <row r="278" spans="1:9" ht="24.95" customHeight="1" x14ac:dyDescent="0.25">
      <c r="A278" s="20" t="str">
        <f>'Grad Raw Data'!I140</f>
        <v>Kyle</v>
      </c>
      <c r="B278" s="20" t="str">
        <f>'Grad Raw Data'!K141</f>
        <v/>
      </c>
      <c r="C278" s="20" t="str">
        <f>'Grad Raw Data'!H140</f>
        <v>Koster</v>
      </c>
      <c r="D278" s="20" cm="1">
        <f t="array" aca="1" ref="D278" ca="1">IF(I278="","",INDIRECT("'Grad Raw Data'!G"&amp;I278))</f>
        <v>0</v>
      </c>
      <c r="E278" s="44" t="str">
        <f>'Grad Raw Data'!D140</f>
        <v>LEFT</v>
      </c>
      <c r="F278" s="44">
        <f>'Grad Raw Data'!E140</f>
        <v>6</v>
      </c>
      <c r="H278">
        <v>278</v>
      </c>
      <c r="I278">
        <f t="shared" si="4"/>
        <v>140</v>
      </c>
    </row>
    <row r="279" spans="1:9" ht="24.95" customHeight="1" x14ac:dyDescent="0.25">
      <c r="A279" s="16">
        <f>'Grad Raw Data'!L140</f>
        <v>0</v>
      </c>
      <c r="B279" s="20"/>
      <c r="C279" s="20"/>
      <c r="D279" s="20" t="str" cm="1">
        <f t="array" aca="1" ref="D279" ca="1">IF(I279="","",INDIRECT("'Grad Raw Data'!G"&amp;I279))</f>
        <v/>
      </c>
      <c r="H279">
        <v>279</v>
      </c>
      <c r="I279" t="str">
        <f t="shared" si="4"/>
        <v/>
      </c>
    </row>
    <row r="280" spans="1:9" ht="24.95" customHeight="1" x14ac:dyDescent="0.25">
      <c r="A280" s="20" t="str">
        <f>'Grad Raw Data'!I141</f>
        <v>Enzo</v>
      </c>
      <c r="B280" s="20" t="str">
        <f>'Grad Raw Data'!K142</f>
        <v>George</v>
      </c>
      <c r="C280" s="20" t="str">
        <f>'Grad Raw Data'!H141</f>
        <v>Lalicata</v>
      </c>
      <c r="D280" s="20" cm="1">
        <f t="array" aca="1" ref="D280" ca="1">IF(I280="","",INDIRECT("'Grad Raw Data'!G"&amp;I280))</f>
        <v>0</v>
      </c>
      <c r="E280" s="44" t="str">
        <f>'Grad Raw Data'!D141</f>
        <v>LEFT</v>
      </c>
      <c r="F280" s="44">
        <f>'Grad Raw Data'!E141</f>
        <v>6</v>
      </c>
      <c r="H280">
        <v>280</v>
      </c>
      <c r="I280">
        <f t="shared" si="4"/>
        <v>141</v>
      </c>
    </row>
    <row r="281" spans="1:9" ht="24.95" customHeight="1" x14ac:dyDescent="0.25">
      <c r="A281" s="16" t="str">
        <f>'Grad Raw Data'!L141</f>
        <v>Enzo George Lahlicatah</v>
      </c>
      <c r="B281" s="20"/>
      <c r="C281" s="20"/>
      <c r="D281" s="20" t="str" cm="1">
        <f t="array" aca="1" ref="D281" ca="1">IF(I281="","",INDIRECT("'Grad Raw Data'!G"&amp;I281))</f>
        <v/>
      </c>
      <c r="H281">
        <v>281</v>
      </c>
      <c r="I281" t="str">
        <f t="shared" si="4"/>
        <v/>
      </c>
    </row>
    <row r="282" spans="1:9" ht="24.95" customHeight="1" x14ac:dyDescent="0.25">
      <c r="A282" s="20" t="str">
        <f>'Grad Raw Data'!I142</f>
        <v>Matthew</v>
      </c>
      <c r="B282" s="20" t="str">
        <f>'Grad Raw Data'!K143</f>
        <v/>
      </c>
      <c r="C282" s="20" t="str">
        <f>'Grad Raw Data'!H142</f>
        <v>Laurino</v>
      </c>
      <c r="D282" s="20" cm="1">
        <f t="array" aca="1" ref="D282" ca="1">IF(I282="","",INDIRECT("'Grad Raw Data'!G"&amp;I282))</f>
        <v>0</v>
      </c>
      <c r="E282" s="44" t="str">
        <f>'Grad Raw Data'!D142</f>
        <v>LEFT</v>
      </c>
      <c r="F282" s="44">
        <f>'Grad Raw Data'!E142</f>
        <v>6</v>
      </c>
      <c r="H282">
        <v>282</v>
      </c>
      <c r="I282">
        <f t="shared" si="4"/>
        <v>142</v>
      </c>
    </row>
    <row r="283" spans="1:9" ht="24.95" customHeight="1" x14ac:dyDescent="0.25">
      <c r="A283" s="16" t="str">
        <f>'Grad Raw Data'!L142</f>
        <v>Matthew La-Ree-No</v>
      </c>
      <c r="B283" s="20"/>
      <c r="C283" s="20"/>
      <c r="D283" s="20" t="str" cm="1">
        <f t="array" aca="1" ref="D283" ca="1">IF(I283="","",INDIRECT("'Grad Raw Data'!G"&amp;I283))</f>
        <v/>
      </c>
      <c r="H283">
        <v>283</v>
      </c>
      <c r="I283" t="str">
        <f t="shared" si="4"/>
        <v/>
      </c>
    </row>
    <row r="284" spans="1:9" ht="24.95" customHeight="1" x14ac:dyDescent="0.25">
      <c r="A284" s="20" t="str">
        <f>'Grad Raw Data'!I143</f>
        <v>Jonathan</v>
      </c>
      <c r="B284" s="20" t="str">
        <f>'Grad Raw Data'!K144</f>
        <v/>
      </c>
      <c r="C284" s="20" t="str">
        <f>'Grad Raw Data'!H143</f>
        <v>Laurino</v>
      </c>
      <c r="D284" s="20" cm="1">
        <f t="array" aca="1" ref="D284" ca="1">IF(I284="","",INDIRECT("'Grad Raw Data'!G"&amp;I284))</f>
        <v>0</v>
      </c>
      <c r="E284" s="44" t="str">
        <f>'Grad Raw Data'!D143</f>
        <v>LEFT</v>
      </c>
      <c r="F284" s="44">
        <f>'Grad Raw Data'!E143</f>
        <v>6</v>
      </c>
      <c r="H284">
        <v>284</v>
      </c>
      <c r="I284">
        <f t="shared" si="4"/>
        <v>143</v>
      </c>
    </row>
    <row r="285" spans="1:9" ht="24.95" customHeight="1" x14ac:dyDescent="0.25">
      <c r="A285" s="16">
        <f>'Grad Raw Data'!L143</f>
        <v>0</v>
      </c>
      <c r="B285" s="20"/>
      <c r="C285" s="20"/>
      <c r="D285" s="20" t="str" cm="1">
        <f t="array" aca="1" ref="D285" ca="1">IF(I285="","",INDIRECT("'Grad Raw Data'!G"&amp;I285))</f>
        <v/>
      </c>
      <c r="H285">
        <v>285</v>
      </c>
      <c r="I285" t="str">
        <f t="shared" si="4"/>
        <v/>
      </c>
    </row>
    <row r="286" spans="1:9" ht="24.95" customHeight="1" x14ac:dyDescent="0.25">
      <c r="A286" s="20" t="str">
        <f>'Grad Raw Data'!I144</f>
        <v>Asad</v>
      </c>
      <c r="B286" s="20" t="str">
        <f>'Grad Raw Data'!K145</f>
        <v/>
      </c>
      <c r="C286" s="20" t="str">
        <f>'Grad Raw Data'!H144</f>
        <v>Layne</v>
      </c>
      <c r="D286" s="20" cm="1">
        <f t="array" aca="1" ref="D286" ca="1">IF(I286="","",INDIRECT("'Grad Raw Data'!G"&amp;I286))</f>
        <v>0</v>
      </c>
      <c r="E286" s="44" t="str">
        <f>'Grad Raw Data'!D144</f>
        <v>LEFT</v>
      </c>
      <c r="F286" s="44">
        <f>'Grad Raw Data'!E144</f>
        <v>6</v>
      </c>
      <c r="H286">
        <v>286</v>
      </c>
      <c r="I286">
        <f t="shared" si="4"/>
        <v>144</v>
      </c>
    </row>
    <row r="287" spans="1:9" ht="24.95" customHeight="1" x14ac:dyDescent="0.25">
      <c r="A287" s="16" t="str">
        <f>'Grad Raw Data'!L144</f>
        <v>Uh-Sod</v>
      </c>
      <c r="B287" s="20"/>
      <c r="C287" s="20"/>
      <c r="D287" s="20" t="str" cm="1">
        <f t="array" aca="1" ref="D287" ca="1">IF(I287="","",INDIRECT("'Grad Raw Data'!G"&amp;I287))</f>
        <v/>
      </c>
      <c r="H287">
        <v>287</v>
      </c>
      <c r="I287" t="str">
        <f t="shared" si="4"/>
        <v/>
      </c>
    </row>
    <row r="288" spans="1:9" ht="24.95" customHeight="1" x14ac:dyDescent="0.25">
      <c r="A288" s="20" t="str">
        <f>'Grad Raw Data'!I145</f>
        <v>Jonathan</v>
      </c>
      <c r="B288" s="20" t="str">
        <f>'Grad Raw Data'!K146</f>
        <v/>
      </c>
      <c r="C288" s="20" t="str">
        <f>'Grad Raw Data'!H145</f>
        <v>Lee</v>
      </c>
      <c r="D288" s="20" cm="1">
        <f t="array" aca="1" ref="D288" ca="1">IF(I288="","",INDIRECT("'Grad Raw Data'!G"&amp;I288))</f>
        <v>0</v>
      </c>
      <c r="E288" s="44" t="str">
        <f>'Grad Raw Data'!D145</f>
        <v>LEFT</v>
      </c>
      <c r="F288" s="44">
        <f>'Grad Raw Data'!E145</f>
        <v>6</v>
      </c>
      <c r="H288">
        <v>288</v>
      </c>
      <c r="I288">
        <f t="shared" si="4"/>
        <v>145</v>
      </c>
    </row>
    <row r="289" spans="1:9" ht="24.95" customHeight="1" x14ac:dyDescent="0.25">
      <c r="A289" s="16">
        <f>'Grad Raw Data'!L145</f>
        <v>0</v>
      </c>
      <c r="B289" s="20"/>
      <c r="C289" s="20"/>
      <c r="D289" s="20" t="str" cm="1">
        <f t="array" aca="1" ref="D289" ca="1">IF(I289="","",INDIRECT("'Grad Raw Data'!G"&amp;I289))</f>
        <v/>
      </c>
      <c r="H289">
        <v>289</v>
      </c>
      <c r="I289" t="str">
        <f t="shared" si="4"/>
        <v/>
      </c>
    </row>
    <row r="290" spans="1:9" ht="24.95" customHeight="1" x14ac:dyDescent="0.25">
      <c r="A290" s="20" t="str">
        <f>'Grad Raw Data'!I146</f>
        <v>Austin</v>
      </c>
      <c r="B290" s="20" t="str">
        <f>'Grad Raw Data'!K147</f>
        <v>James</v>
      </c>
      <c r="C290" s="20" t="str">
        <f>'Grad Raw Data'!H146</f>
        <v>Lee</v>
      </c>
      <c r="D290" s="20" cm="1">
        <f t="array" aca="1" ref="D290" ca="1">IF(I290="","",INDIRECT("'Grad Raw Data'!G"&amp;I290))</f>
        <v>0</v>
      </c>
      <c r="E290" s="44" t="str">
        <f>'Grad Raw Data'!D146</f>
        <v>LEFT</v>
      </c>
      <c r="F290" s="44">
        <f>'Grad Raw Data'!E146</f>
        <v>6</v>
      </c>
      <c r="H290">
        <v>290</v>
      </c>
      <c r="I290">
        <f t="shared" si="4"/>
        <v>146</v>
      </c>
    </row>
    <row r="291" spans="1:9" ht="24.95" customHeight="1" x14ac:dyDescent="0.25">
      <c r="A291" s="16">
        <f>'Grad Raw Data'!L146</f>
        <v>0</v>
      </c>
      <c r="B291" s="20"/>
      <c r="C291" s="20"/>
      <c r="D291" s="20" t="str" cm="1">
        <f t="array" aca="1" ref="D291" ca="1">IF(I291="","",INDIRECT("'Grad Raw Data'!G"&amp;I291))</f>
        <v/>
      </c>
      <c r="H291">
        <v>291</v>
      </c>
      <c r="I291" t="str">
        <f t="shared" si="4"/>
        <v/>
      </c>
    </row>
    <row r="292" spans="1:9" ht="24.95" customHeight="1" x14ac:dyDescent="0.25">
      <c r="A292" s="20" t="str">
        <f>'Grad Raw Data'!I147</f>
        <v>Desmond</v>
      </c>
      <c r="B292" s="20" t="str">
        <f>'Grad Raw Data'!K148</f>
        <v/>
      </c>
      <c r="C292" s="20" t="str">
        <f>'Grad Raw Data'!H147</f>
        <v>Lethin</v>
      </c>
      <c r="D292" s="20" cm="1">
        <f t="array" aca="1" ref="D292" ca="1">IF(I292="","",INDIRECT("'Grad Raw Data'!G"&amp;I292))</f>
        <v>0</v>
      </c>
      <c r="E292" s="44" t="str">
        <f>'Grad Raw Data'!D147</f>
        <v>LEFT</v>
      </c>
      <c r="F292" s="44">
        <f>'Grad Raw Data'!E147</f>
        <v>6</v>
      </c>
      <c r="H292">
        <v>292</v>
      </c>
      <c r="I292">
        <f t="shared" si="4"/>
        <v>147</v>
      </c>
    </row>
    <row r="293" spans="1:9" ht="24.95" customHeight="1" x14ac:dyDescent="0.25">
      <c r="A293" s="16">
        <f>'Grad Raw Data'!L147</f>
        <v>0</v>
      </c>
      <c r="B293" s="20"/>
      <c r="C293" s="20"/>
      <c r="D293" s="20" t="str" cm="1">
        <f t="array" aca="1" ref="D293" ca="1">IF(I293="","",INDIRECT("'Grad Raw Data'!G"&amp;I293))</f>
        <v/>
      </c>
      <c r="H293">
        <v>293</v>
      </c>
      <c r="I293" t="str">
        <f t="shared" si="4"/>
        <v/>
      </c>
    </row>
    <row r="294" spans="1:9" ht="24.95" customHeight="1" x14ac:dyDescent="0.25">
      <c r="A294" s="20" t="str">
        <f>'Grad Raw Data'!I148</f>
        <v>Katie</v>
      </c>
      <c r="B294" s="20" t="str">
        <f>'Grad Raw Data'!K149</f>
        <v/>
      </c>
      <c r="C294" s="20" t="str">
        <f>'Grad Raw Data'!H148</f>
        <v>Lewis</v>
      </c>
      <c r="D294" s="20" cm="1">
        <f t="array" aca="1" ref="D294" ca="1">IF(I294="","",INDIRECT("'Grad Raw Data'!G"&amp;I294))</f>
        <v>0</v>
      </c>
      <c r="E294" s="44" t="str">
        <f>'Grad Raw Data'!D148</f>
        <v>LEFT</v>
      </c>
      <c r="F294" s="44">
        <f>'Grad Raw Data'!E148</f>
        <v>6</v>
      </c>
      <c r="H294">
        <v>294</v>
      </c>
      <c r="I294">
        <f t="shared" si="4"/>
        <v>148</v>
      </c>
    </row>
    <row r="295" spans="1:9" ht="24.95" customHeight="1" x14ac:dyDescent="0.25">
      <c r="A295" s="16">
        <f>'Grad Raw Data'!L148</f>
        <v>0</v>
      </c>
      <c r="B295" s="20"/>
      <c r="C295" s="20"/>
      <c r="D295" s="20" t="str" cm="1">
        <f t="array" aca="1" ref="D295" ca="1">IF(I295="","",INDIRECT("'Grad Raw Data'!G"&amp;I295))</f>
        <v/>
      </c>
      <c r="H295">
        <v>295</v>
      </c>
      <c r="I295" t="str">
        <f t="shared" si="4"/>
        <v/>
      </c>
    </row>
    <row r="296" spans="1:9" ht="24.95" customHeight="1" x14ac:dyDescent="0.25">
      <c r="A296" s="20" t="str">
        <f>'Grad Raw Data'!I149</f>
        <v>Isabelle</v>
      </c>
      <c r="B296" s="20" t="str">
        <f>'Grad Raw Data'!K150</f>
        <v/>
      </c>
      <c r="C296" s="20" t="str">
        <f>'Grad Raw Data'!H149</f>
        <v>Lightbody</v>
      </c>
      <c r="D296" s="20" cm="1">
        <f t="array" aca="1" ref="D296" ca="1">IF(I296="","",INDIRECT("'Grad Raw Data'!G"&amp;I296))</f>
        <v>0</v>
      </c>
      <c r="E296" s="44" t="str">
        <f>'Grad Raw Data'!D149</f>
        <v>LEFT</v>
      </c>
      <c r="F296" s="44">
        <f>'Grad Raw Data'!E149</f>
        <v>6</v>
      </c>
      <c r="H296">
        <v>296</v>
      </c>
      <c r="I296">
        <f t="shared" si="4"/>
        <v>149</v>
      </c>
    </row>
    <row r="297" spans="1:9" ht="24.95" customHeight="1" x14ac:dyDescent="0.25">
      <c r="A297" s="16">
        <f>'Grad Raw Data'!L149</f>
        <v>0</v>
      </c>
      <c r="B297" s="20"/>
      <c r="C297" s="20"/>
      <c r="D297" s="20" t="str" cm="1">
        <f t="array" aca="1" ref="D297" ca="1">IF(I297="","",INDIRECT("'Grad Raw Data'!G"&amp;I297))</f>
        <v/>
      </c>
      <c r="H297">
        <v>297</v>
      </c>
      <c r="I297" t="str">
        <f t="shared" si="4"/>
        <v/>
      </c>
    </row>
    <row r="298" spans="1:9" ht="24.95" customHeight="1" x14ac:dyDescent="0.25">
      <c r="A298" s="20" t="str">
        <f>'Grad Raw Data'!I150</f>
        <v>Steven</v>
      </c>
      <c r="B298" s="20" t="str">
        <f>'Grad Raw Data'!K151</f>
        <v/>
      </c>
      <c r="C298" s="20" t="str">
        <f>'Grad Raw Data'!H150</f>
        <v>Lin</v>
      </c>
      <c r="D298" s="20" cm="1">
        <f t="array" aca="1" ref="D298" ca="1">IF(I298="","",INDIRECT("'Grad Raw Data'!G"&amp;I298))</f>
        <v>0</v>
      </c>
      <c r="E298" s="44" t="str">
        <f>'Grad Raw Data'!D150</f>
        <v>LEFT</v>
      </c>
      <c r="F298" s="44">
        <f>'Grad Raw Data'!E150</f>
        <v>6</v>
      </c>
      <c r="H298">
        <v>298</v>
      </c>
      <c r="I298">
        <f t="shared" si="4"/>
        <v>150</v>
      </c>
    </row>
    <row r="299" spans="1:9" ht="24.95" customHeight="1" x14ac:dyDescent="0.25">
      <c r="A299" s="16">
        <f>'Grad Raw Data'!L150</f>
        <v>0</v>
      </c>
      <c r="B299" s="20"/>
      <c r="C299" s="20"/>
      <c r="D299" s="20" t="str" cm="1">
        <f t="array" aca="1" ref="D299" ca="1">IF(I299="","",INDIRECT("'Grad Raw Data'!G"&amp;I299))</f>
        <v/>
      </c>
      <c r="H299">
        <v>299</v>
      </c>
      <c r="I299" t="str">
        <f t="shared" si="4"/>
        <v/>
      </c>
    </row>
    <row r="300" spans="1:9" ht="24.95" customHeight="1" x14ac:dyDescent="0.25">
      <c r="A300" s="20" t="str">
        <f>'Grad Raw Data'!I151</f>
        <v>Zackary</v>
      </c>
      <c r="B300" s="20" t="str">
        <f>'Grad Raw Data'!K152</f>
        <v/>
      </c>
      <c r="C300" s="20" t="str">
        <f>'Grad Raw Data'!H151</f>
        <v>Lizotte</v>
      </c>
      <c r="D300" s="20" cm="1">
        <f t="array" aca="1" ref="D300" ca="1">IF(I300="","",INDIRECT("'Grad Raw Data'!G"&amp;I300))</f>
        <v>0</v>
      </c>
      <c r="E300" s="44" t="str">
        <f>'Grad Raw Data'!D151</f>
        <v>RIGHT</v>
      </c>
      <c r="F300" s="44">
        <f>'Grad Raw Data'!E151</f>
        <v>7</v>
      </c>
      <c r="H300">
        <v>300</v>
      </c>
      <c r="I300">
        <f t="shared" si="4"/>
        <v>151</v>
      </c>
    </row>
    <row r="301" spans="1:9" ht="24.95" customHeight="1" x14ac:dyDescent="0.25">
      <c r="A301" s="16" t="str">
        <f>'Grad Raw Data'!L151</f>
        <v>Liz-ought</v>
      </c>
      <c r="B301" s="20"/>
      <c r="C301" s="20"/>
      <c r="D301" s="20" t="str" cm="1">
        <f t="array" aca="1" ref="D301" ca="1">IF(I301="","",INDIRECT("'Grad Raw Data'!G"&amp;I301))</f>
        <v/>
      </c>
      <c r="H301">
        <v>301</v>
      </c>
      <c r="I301" t="str">
        <f t="shared" si="4"/>
        <v/>
      </c>
    </row>
    <row r="302" spans="1:9" ht="24.95" customHeight="1" x14ac:dyDescent="0.25">
      <c r="A302" s="20" t="str">
        <f>'Grad Raw Data'!I152</f>
        <v>Isla</v>
      </c>
      <c r="B302" s="20" t="str">
        <f>'Grad Raw Data'!K153</f>
        <v/>
      </c>
      <c r="C302" s="20" t="str">
        <f>'Grad Raw Data'!H152</f>
        <v>Lusk</v>
      </c>
      <c r="D302" s="20" cm="1">
        <f t="array" aca="1" ref="D302" ca="1">IF(I302="","",INDIRECT("'Grad Raw Data'!G"&amp;I302))</f>
        <v>0</v>
      </c>
      <c r="E302" s="44" t="str">
        <f>'Grad Raw Data'!D152</f>
        <v>RIGHT</v>
      </c>
      <c r="F302" s="44">
        <f>'Grad Raw Data'!E152</f>
        <v>7</v>
      </c>
      <c r="H302">
        <v>302</v>
      </c>
      <c r="I302">
        <f t="shared" si="4"/>
        <v>152</v>
      </c>
    </row>
    <row r="303" spans="1:9" ht="24.95" customHeight="1" x14ac:dyDescent="0.25">
      <c r="A303" s="16" t="str">
        <f>'Grad Raw Data'!L152</f>
        <v>eye-la</v>
      </c>
      <c r="B303" s="20"/>
      <c r="C303" s="20"/>
      <c r="D303" s="20" t="str" cm="1">
        <f t="array" aca="1" ref="D303" ca="1">IF(I303="","",INDIRECT("'Grad Raw Data'!G"&amp;I303))</f>
        <v/>
      </c>
      <c r="H303">
        <v>303</v>
      </c>
      <c r="I303" t="str">
        <f t="shared" si="4"/>
        <v/>
      </c>
    </row>
    <row r="304" spans="1:9" ht="24.95" customHeight="1" x14ac:dyDescent="0.25">
      <c r="A304" s="20" t="str">
        <f>'Grad Raw Data'!I153</f>
        <v>Lilyana</v>
      </c>
      <c r="B304" s="20" t="str">
        <f>'Grad Raw Data'!K154</f>
        <v/>
      </c>
      <c r="C304" s="20" t="str">
        <f>'Grad Raw Data'!H153</f>
        <v>Madden</v>
      </c>
      <c r="D304" s="20" cm="1">
        <f t="array" aca="1" ref="D304" ca="1">IF(I304="","",INDIRECT("'Grad Raw Data'!G"&amp;I304))</f>
        <v>0</v>
      </c>
      <c r="E304" s="44" t="str">
        <f>'Grad Raw Data'!D153</f>
        <v>RIGHT</v>
      </c>
      <c r="F304" s="44">
        <f>'Grad Raw Data'!E153</f>
        <v>7</v>
      </c>
      <c r="H304">
        <v>304</v>
      </c>
      <c r="I304">
        <f t="shared" si="4"/>
        <v>153</v>
      </c>
    </row>
    <row r="305" spans="1:9" ht="24.95" customHeight="1" x14ac:dyDescent="0.25">
      <c r="A305" s="16">
        <f>'Grad Raw Data'!L153</f>
        <v>0</v>
      </c>
      <c r="B305" s="20"/>
      <c r="C305" s="20"/>
      <c r="D305" s="20" t="str" cm="1">
        <f t="array" aca="1" ref="D305" ca="1">IF(I305="","",INDIRECT("'Grad Raw Data'!G"&amp;I305))</f>
        <v/>
      </c>
      <c r="H305">
        <v>305</v>
      </c>
      <c r="I305" t="str">
        <f t="shared" si="4"/>
        <v/>
      </c>
    </row>
    <row r="306" spans="1:9" ht="24.95" customHeight="1" x14ac:dyDescent="0.25">
      <c r="A306" s="20" t="str">
        <f>'Grad Raw Data'!I154</f>
        <v>Rosalia</v>
      </c>
      <c r="B306" s="20" t="str">
        <f>'Grad Raw Data'!K155</f>
        <v/>
      </c>
      <c r="C306" s="20" t="str">
        <f>'Grad Raw Data'!H154</f>
        <v>Maganzini</v>
      </c>
      <c r="D306" s="20" cm="1">
        <f t="array" aca="1" ref="D306" ca="1">IF(I306="","",INDIRECT("'Grad Raw Data'!G"&amp;I306))</f>
        <v>0</v>
      </c>
      <c r="E306" s="44" t="str">
        <f>'Grad Raw Data'!D154</f>
        <v>RIGHT</v>
      </c>
      <c r="F306" s="44">
        <f>'Grad Raw Data'!E154</f>
        <v>7</v>
      </c>
      <c r="H306">
        <v>306</v>
      </c>
      <c r="I306">
        <f t="shared" si="4"/>
        <v>154</v>
      </c>
    </row>
    <row r="307" spans="1:9" ht="24.95" customHeight="1" x14ac:dyDescent="0.25">
      <c r="A307" s="16" t="str">
        <f>'Grad Raw Data'!L154</f>
        <v>Rose uh Leah - Mag An Zee Knee</v>
      </c>
      <c r="B307" s="20"/>
      <c r="C307" s="20"/>
      <c r="D307" s="20" t="str" cm="1">
        <f t="array" aca="1" ref="D307" ca="1">IF(I307="","",INDIRECT("'Grad Raw Data'!G"&amp;I307))</f>
        <v/>
      </c>
      <c r="H307">
        <v>307</v>
      </c>
      <c r="I307" t="str">
        <f t="shared" si="4"/>
        <v/>
      </c>
    </row>
    <row r="308" spans="1:9" ht="24.95" customHeight="1" x14ac:dyDescent="0.25">
      <c r="A308" s="20" t="str">
        <f>'Grad Raw Data'!I155</f>
        <v>Trent</v>
      </c>
      <c r="B308" s="20" t="str">
        <f>'Grad Raw Data'!K156</f>
        <v>Joseph</v>
      </c>
      <c r="C308" s="20" t="str">
        <f>'Grad Raw Data'!H155</f>
        <v>Maganzini</v>
      </c>
      <c r="D308" s="20" cm="1">
        <f t="array" aca="1" ref="D308" ca="1">IF(I308="","",INDIRECT("'Grad Raw Data'!G"&amp;I308))</f>
        <v>0</v>
      </c>
      <c r="E308" s="44" t="str">
        <f>'Grad Raw Data'!D155</f>
        <v>RIGHT</v>
      </c>
      <c r="F308" s="44">
        <f>'Grad Raw Data'!E155</f>
        <v>7</v>
      </c>
      <c r="H308">
        <v>308</v>
      </c>
      <c r="I308">
        <f t="shared" si="4"/>
        <v>155</v>
      </c>
    </row>
    <row r="309" spans="1:9" ht="24.95" customHeight="1" x14ac:dyDescent="0.25">
      <c r="A309" s="16">
        <f>'Grad Raw Data'!L155</f>
        <v>0</v>
      </c>
      <c r="B309" s="20"/>
      <c r="C309" s="20"/>
      <c r="D309" s="20" t="str" cm="1">
        <f t="array" aca="1" ref="D309" ca="1">IF(I309="","",INDIRECT("'Grad Raw Data'!G"&amp;I309))</f>
        <v/>
      </c>
      <c r="H309">
        <v>309</v>
      </c>
      <c r="I309" t="str">
        <f t="shared" si="4"/>
        <v/>
      </c>
    </row>
    <row r="310" spans="1:9" ht="24.95" customHeight="1" x14ac:dyDescent="0.25">
      <c r="A310" s="20" t="str">
        <f>'Grad Raw Data'!I156</f>
        <v>Emma</v>
      </c>
      <c r="B310" s="20" t="str">
        <f>'Grad Raw Data'!K157</f>
        <v/>
      </c>
      <c r="C310" s="20" t="str">
        <f>'Grad Raw Data'!H156</f>
        <v>Mahoney</v>
      </c>
      <c r="D310" s="20" cm="1">
        <f t="array" aca="1" ref="D310" ca="1">IF(I310="","",INDIRECT("'Grad Raw Data'!G"&amp;I310))</f>
        <v>0</v>
      </c>
      <c r="E310" s="44" t="str">
        <f>'Grad Raw Data'!D156</f>
        <v>RIGHT</v>
      </c>
      <c r="F310" s="44">
        <f>'Grad Raw Data'!E156</f>
        <v>7</v>
      </c>
      <c r="H310">
        <v>310</v>
      </c>
      <c r="I310">
        <f t="shared" si="4"/>
        <v>156</v>
      </c>
    </row>
    <row r="311" spans="1:9" ht="24.95" customHeight="1" x14ac:dyDescent="0.25">
      <c r="A311" s="16">
        <f>'Grad Raw Data'!L156</f>
        <v>0</v>
      </c>
      <c r="B311" s="20"/>
      <c r="C311" s="20"/>
      <c r="D311" s="20" t="str" cm="1">
        <f t="array" aca="1" ref="D311" ca="1">IF(I311="","",INDIRECT("'Grad Raw Data'!G"&amp;I311))</f>
        <v/>
      </c>
      <c r="H311">
        <v>311</v>
      </c>
      <c r="I311" t="str">
        <f t="shared" si="4"/>
        <v/>
      </c>
    </row>
    <row r="312" spans="1:9" ht="24.95" customHeight="1" x14ac:dyDescent="0.25">
      <c r="A312" s="20" t="str">
        <f>'Grad Raw Data'!I157</f>
        <v>Charles</v>
      </c>
      <c r="B312" s="20" t="str">
        <f>'Grad Raw Data'!K158</f>
        <v/>
      </c>
      <c r="C312" s="20" t="str">
        <f>'Grad Raw Data'!H157</f>
        <v>Maness</v>
      </c>
      <c r="D312" s="20" cm="1">
        <f t="array" aca="1" ref="D312" ca="1">IF(I312="","",INDIRECT("'Grad Raw Data'!G"&amp;I312))</f>
        <v>0</v>
      </c>
      <c r="E312" s="44" t="str">
        <f>'Grad Raw Data'!D157</f>
        <v>RIGHT</v>
      </c>
      <c r="F312" s="44">
        <f>'Grad Raw Data'!E157</f>
        <v>7</v>
      </c>
      <c r="H312">
        <v>312</v>
      </c>
      <c r="I312">
        <f t="shared" si="4"/>
        <v>157</v>
      </c>
    </row>
    <row r="313" spans="1:9" ht="24.95" customHeight="1" x14ac:dyDescent="0.25">
      <c r="A313" s="16" t="str">
        <f>'Grad Raw Data'!L157</f>
        <v>May-ness</v>
      </c>
      <c r="B313" s="20"/>
      <c r="C313" s="20"/>
      <c r="D313" s="20" t="str" cm="1">
        <f t="array" aca="1" ref="D313" ca="1">IF(I313="","",INDIRECT("'Grad Raw Data'!G"&amp;I313))</f>
        <v/>
      </c>
      <c r="H313">
        <v>313</v>
      </c>
      <c r="I313" t="str">
        <f t="shared" si="4"/>
        <v/>
      </c>
    </row>
    <row r="314" spans="1:9" ht="24.95" customHeight="1" x14ac:dyDescent="0.25">
      <c r="A314" s="20" t="str">
        <f>'Grad Raw Data'!I158</f>
        <v>Evan</v>
      </c>
      <c r="B314" s="20" t="str">
        <f>'Grad Raw Data'!K159</f>
        <v/>
      </c>
      <c r="C314" s="20" t="str">
        <f>'Grad Raw Data'!H158</f>
        <v>Manfredi</v>
      </c>
      <c r="D314" s="20" cm="1">
        <f t="array" aca="1" ref="D314" ca="1">IF(I314="","",INDIRECT("'Grad Raw Data'!G"&amp;I314))</f>
        <v>0</v>
      </c>
      <c r="E314" s="44" t="str">
        <f>'Grad Raw Data'!D158</f>
        <v>RIGHT</v>
      </c>
      <c r="F314" s="44">
        <f>'Grad Raw Data'!E158</f>
        <v>7</v>
      </c>
      <c r="H314">
        <v>314</v>
      </c>
      <c r="I314">
        <f t="shared" si="4"/>
        <v>158</v>
      </c>
    </row>
    <row r="315" spans="1:9" ht="24.95" customHeight="1" x14ac:dyDescent="0.25">
      <c r="A315" s="16">
        <f>'Grad Raw Data'!L158</f>
        <v>0</v>
      </c>
      <c r="B315" s="20"/>
      <c r="C315" s="20"/>
      <c r="D315" s="20" t="str" cm="1">
        <f t="array" aca="1" ref="D315" ca="1">IF(I315="","",INDIRECT("'Grad Raw Data'!G"&amp;I315))</f>
        <v/>
      </c>
      <c r="H315">
        <v>315</v>
      </c>
      <c r="I315" t="str">
        <f t="shared" si="4"/>
        <v/>
      </c>
    </row>
    <row r="316" spans="1:9" ht="24.95" customHeight="1" x14ac:dyDescent="0.25">
      <c r="A316" s="20" t="str">
        <f>'Grad Raw Data'!I159</f>
        <v>Syler</v>
      </c>
      <c r="B316" s="20" t="str">
        <f>'Grad Raw Data'!K160</f>
        <v/>
      </c>
      <c r="C316" s="20" t="str">
        <f>'Grad Raw Data'!H159</f>
        <v>Manning</v>
      </c>
      <c r="D316" s="20" cm="1">
        <f t="array" aca="1" ref="D316" ca="1">IF(I316="","",INDIRECT("'Grad Raw Data'!G"&amp;I316))</f>
        <v>0</v>
      </c>
      <c r="E316" s="44" t="str">
        <f>'Grad Raw Data'!D159</f>
        <v>RIGHT</v>
      </c>
      <c r="F316" s="44">
        <f>'Grad Raw Data'!E159</f>
        <v>7</v>
      </c>
      <c r="H316">
        <v>316</v>
      </c>
      <c r="I316">
        <f t="shared" si="4"/>
        <v>159</v>
      </c>
    </row>
    <row r="317" spans="1:9" ht="24.95" customHeight="1" x14ac:dyDescent="0.25">
      <c r="A317" s="16">
        <f>'Grad Raw Data'!L159</f>
        <v>0</v>
      </c>
      <c r="B317" s="20"/>
      <c r="C317" s="20"/>
      <c r="D317" s="20" t="str" cm="1">
        <f t="array" aca="1" ref="D317" ca="1">IF(I317="","",INDIRECT("'Grad Raw Data'!G"&amp;I317))</f>
        <v/>
      </c>
      <c r="H317">
        <v>317</v>
      </c>
      <c r="I317" t="str">
        <f t="shared" si="4"/>
        <v/>
      </c>
    </row>
    <row r="318" spans="1:9" ht="24.95" customHeight="1" x14ac:dyDescent="0.25">
      <c r="A318" s="20" t="str">
        <f>'Grad Raw Data'!I160</f>
        <v>Tyler</v>
      </c>
      <c r="B318" s="20" t="str">
        <f>'Grad Raw Data'!K161</f>
        <v/>
      </c>
      <c r="C318" s="20" t="str">
        <f>'Grad Raw Data'!H160</f>
        <v>Marchlik</v>
      </c>
      <c r="D318" s="20" cm="1">
        <f t="array" aca="1" ref="D318" ca="1">IF(I318="","",INDIRECT("'Grad Raw Data'!G"&amp;I318))</f>
        <v>0</v>
      </c>
      <c r="E318" s="44" t="str">
        <f>'Grad Raw Data'!D160</f>
        <v>RIGHT</v>
      </c>
      <c r="F318" s="44">
        <f>'Grad Raw Data'!E160</f>
        <v>7</v>
      </c>
      <c r="H318">
        <v>318</v>
      </c>
      <c r="I318">
        <f t="shared" si="4"/>
        <v>160</v>
      </c>
    </row>
    <row r="319" spans="1:9" ht="24.95" customHeight="1" x14ac:dyDescent="0.25">
      <c r="A319" s="16" t="str">
        <f>'Grad Raw Data'!L160</f>
        <v>Tyler Marchlik</v>
      </c>
      <c r="B319" s="20"/>
      <c r="C319" s="20"/>
      <c r="D319" s="20" t="str" cm="1">
        <f t="array" aca="1" ref="D319" ca="1">IF(I319="","",INDIRECT("'Grad Raw Data'!G"&amp;I319))</f>
        <v/>
      </c>
      <c r="H319">
        <v>319</v>
      </c>
      <c r="I319" t="str">
        <f t="shared" si="4"/>
        <v/>
      </c>
    </row>
    <row r="320" spans="1:9" ht="24.95" customHeight="1" x14ac:dyDescent="0.25">
      <c r="A320" s="20" t="e">
        <f>'Grad Raw Data'!I161</f>
        <v>#N/A</v>
      </c>
      <c r="B320" s="20" t="e">
        <f>'Grad Raw Data'!K162</f>
        <v>#N/A</v>
      </c>
      <c r="C320" s="20" t="e">
        <f>'Grad Raw Data'!H161</f>
        <v>#N/A</v>
      </c>
      <c r="D320" s="20" t="e" cm="1">
        <f t="array" aca="1" ref="D320" ca="1">IF(I320="","",INDIRECT("'Grad Raw Data'!G"&amp;I320))</f>
        <v>#N/A</v>
      </c>
      <c r="E320" s="44" t="str">
        <f>'Grad Raw Data'!D161</f>
        <v>RIGHT</v>
      </c>
      <c r="F320" s="44">
        <f>'Grad Raw Data'!E161</f>
        <v>7</v>
      </c>
      <c r="H320">
        <v>320</v>
      </c>
      <c r="I320">
        <f t="shared" si="4"/>
        <v>161</v>
      </c>
    </row>
    <row r="321" spans="1:9" ht="24.95" customHeight="1" x14ac:dyDescent="0.25">
      <c r="A321" s="16" t="e">
        <f>'Grad Raw Data'!L161</f>
        <v>#N/A</v>
      </c>
      <c r="B321" s="20"/>
      <c r="C321" s="20"/>
      <c r="D321" s="20" t="str" cm="1">
        <f t="array" aca="1" ref="D321" ca="1">IF(I321="","",INDIRECT("'Grad Raw Data'!G"&amp;I321))</f>
        <v/>
      </c>
      <c r="H321">
        <v>321</v>
      </c>
      <c r="I321" t="str">
        <f t="shared" si="4"/>
        <v/>
      </c>
    </row>
    <row r="322" spans="1:9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 cm="1">
        <f t="array" aca="1" ref="D322" ca="1">IF(I322="","",INDIRECT("'Grad Raw Data'!G"&amp;I322))</f>
        <v>0</v>
      </c>
      <c r="E322" s="44" t="str">
        <f>'Grad Raw Data'!D162</f>
        <v>RIGHT</v>
      </c>
      <c r="F322" s="44">
        <f>'Grad Raw Data'!E162</f>
        <v>7</v>
      </c>
      <c r="H322">
        <v>322</v>
      </c>
      <c r="I322">
        <f t="shared" si="4"/>
        <v>162</v>
      </c>
    </row>
    <row r="323" spans="1:9" ht="24.95" customHeight="1" x14ac:dyDescent="0.25">
      <c r="A323" s="16">
        <f>'Grad Raw Data'!L162</f>
        <v>0</v>
      </c>
      <c r="B323" s="20"/>
      <c r="C323" s="20"/>
      <c r="D323" s="20" t="str" cm="1">
        <f t="array" aca="1" ref="D323" ca="1">IF(I323="","",INDIRECT("'Grad Raw Data'!G"&amp;I323))</f>
        <v/>
      </c>
      <c r="H323">
        <v>323</v>
      </c>
      <c r="I323" t="str">
        <f t="shared" ref="I323:I386" si="5">IF(MOD((H323+2)/1,2)=0,(H323/2+1),"")</f>
        <v/>
      </c>
    </row>
    <row r="324" spans="1:9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 cm="1">
        <f t="array" aca="1" ref="D324" ca="1">IF(I324="","",INDIRECT("'Grad Raw Data'!G"&amp;I324))</f>
        <v>0</v>
      </c>
      <c r="E324" s="44" t="str">
        <f>'Grad Raw Data'!D163</f>
        <v>LEFT</v>
      </c>
      <c r="F324" s="44">
        <f>'Grad Raw Data'!E163</f>
        <v>7</v>
      </c>
      <c r="H324">
        <v>324</v>
      </c>
      <c r="I324">
        <f t="shared" si="5"/>
        <v>163</v>
      </c>
    </row>
    <row r="325" spans="1:9" ht="24.95" customHeight="1" x14ac:dyDescent="0.25">
      <c r="A325" s="16">
        <f>'Grad Raw Data'!L153</f>
        <v>0</v>
      </c>
      <c r="B325" s="20"/>
      <c r="C325" s="20"/>
      <c r="D325" s="20" t="str" cm="1">
        <f t="array" aca="1" ref="D325" ca="1">IF(I325="","",INDIRECT("'Grad Raw Data'!G"&amp;I325))</f>
        <v/>
      </c>
      <c r="H325">
        <v>325</v>
      </c>
      <c r="I325" t="str">
        <f t="shared" si="5"/>
        <v/>
      </c>
    </row>
    <row r="326" spans="1:9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 cm="1">
        <f t="array" aca="1" ref="D326" ca="1">IF(I326="","",INDIRECT("'Grad Raw Data'!G"&amp;I326))</f>
        <v>0</v>
      </c>
      <c r="E326" s="44" t="str">
        <f>'Grad Raw Data'!D164</f>
        <v>LEFT</v>
      </c>
      <c r="F326" s="44">
        <f>'Grad Raw Data'!E164</f>
        <v>7</v>
      </c>
      <c r="H326">
        <v>326</v>
      </c>
      <c r="I326">
        <f t="shared" si="5"/>
        <v>164</v>
      </c>
    </row>
    <row r="327" spans="1:9" ht="24.95" customHeight="1" x14ac:dyDescent="0.25">
      <c r="A327" s="16">
        <f>'Grad Raw Data'!L164</f>
        <v>0</v>
      </c>
      <c r="B327" s="20"/>
      <c r="C327" s="20"/>
      <c r="D327" s="20" t="str" cm="1">
        <f t="array" aca="1" ref="D327" ca="1">IF(I327="","",INDIRECT("'Grad Raw Data'!G"&amp;I327))</f>
        <v/>
      </c>
      <c r="H327">
        <v>327</v>
      </c>
      <c r="I327" t="str">
        <f t="shared" si="5"/>
        <v/>
      </c>
    </row>
    <row r="328" spans="1:9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 cm="1">
        <f t="array" aca="1" ref="D328" ca="1">IF(I328="","",INDIRECT("'Grad Raw Data'!G"&amp;I328))</f>
        <v>0</v>
      </c>
      <c r="E328" s="44" t="str">
        <f>'Grad Raw Data'!D165</f>
        <v>LEFT</v>
      </c>
      <c r="F328" s="44">
        <f>'Grad Raw Data'!E165</f>
        <v>7</v>
      </c>
      <c r="H328">
        <v>328</v>
      </c>
      <c r="I328">
        <f t="shared" si="5"/>
        <v>165</v>
      </c>
    </row>
    <row r="329" spans="1:9" ht="24.95" customHeight="1" x14ac:dyDescent="0.25">
      <c r="A329" s="16">
        <f>'Grad Raw Data'!L165</f>
        <v>0</v>
      </c>
      <c r="B329" s="20"/>
      <c r="C329" s="20"/>
      <c r="D329" s="20" t="str" cm="1">
        <f t="array" aca="1" ref="D329" ca="1">IF(I329="","",INDIRECT("'Grad Raw Data'!G"&amp;I329))</f>
        <v/>
      </c>
      <c r="H329">
        <v>329</v>
      </c>
      <c r="I329" t="str">
        <f t="shared" si="5"/>
        <v/>
      </c>
    </row>
    <row r="330" spans="1:9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 cm="1">
        <f t="array" aca="1" ref="D330" ca="1">IF(I330="","",INDIRECT("'Grad Raw Data'!G"&amp;I330))</f>
        <v>0</v>
      </c>
      <c r="E330" s="44" t="str">
        <f>'Grad Raw Data'!D166</f>
        <v>LEFT</v>
      </c>
      <c r="F330" s="44">
        <f>'Grad Raw Data'!E166</f>
        <v>7</v>
      </c>
      <c r="H330">
        <v>330</v>
      </c>
      <c r="I330">
        <f t="shared" si="5"/>
        <v>166</v>
      </c>
    </row>
    <row r="331" spans="1:9" ht="24.95" customHeight="1" x14ac:dyDescent="0.25">
      <c r="A331" s="16" t="str">
        <f>'Grad Raw Data'!L166</f>
        <v>Zo-Ee Mick-Glock-Linn Show-Stack</v>
      </c>
      <c r="B331" s="20"/>
      <c r="C331" s="20"/>
      <c r="D331" s="20" t="str" cm="1">
        <f t="array" aca="1" ref="D331" ca="1">IF(I331="","",INDIRECT("'Grad Raw Data'!G"&amp;I331))</f>
        <v/>
      </c>
      <c r="H331">
        <v>331</v>
      </c>
      <c r="I331" t="str">
        <f t="shared" si="5"/>
        <v/>
      </c>
    </row>
    <row r="332" spans="1:9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 cm="1">
        <f t="array" aca="1" ref="D332" ca="1">IF(I332="","",INDIRECT("'Grad Raw Data'!G"&amp;I332))</f>
        <v>0</v>
      </c>
      <c r="E332" s="44" t="str">
        <f>'Grad Raw Data'!D167</f>
        <v>LEFT</v>
      </c>
      <c r="F332" s="44">
        <f>'Grad Raw Data'!E167</f>
        <v>7</v>
      </c>
      <c r="H332">
        <v>332</v>
      </c>
      <c r="I332">
        <f t="shared" si="5"/>
        <v>167</v>
      </c>
    </row>
    <row r="333" spans="1:9" ht="24.95" customHeight="1" x14ac:dyDescent="0.25">
      <c r="A333" s="16" t="str">
        <f>'Grad Raw Data'!L167</f>
        <v xml:space="preserve">mick - men - o - men </v>
      </c>
      <c r="B333" s="20"/>
      <c r="C333" s="20"/>
      <c r="D333" s="20" t="str" cm="1">
        <f t="array" aca="1" ref="D333" ca="1">IF(I333="","",INDIRECT("'Grad Raw Data'!G"&amp;I333))</f>
        <v/>
      </c>
      <c r="H333">
        <v>333</v>
      </c>
      <c r="I333" t="str">
        <f t="shared" si="5"/>
        <v/>
      </c>
    </row>
    <row r="334" spans="1:9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 cm="1">
        <f t="array" aca="1" ref="D334" ca="1">IF(I334="","",INDIRECT("'Grad Raw Data'!G"&amp;I334))</f>
        <v>0</v>
      </c>
      <c r="E334" s="44" t="str">
        <f>'Grad Raw Data'!D168</f>
        <v>LEFT</v>
      </c>
      <c r="F334" s="44">
        <f>'Grad Raw Data'!E168</f>
        <v>7</v>
      </c>
      <c r="H334">
        <v>334</v>
      </c>
      <c r="I334">
        <f t="shared" si="5"/>
        <v>168</v>
      </c>
    </row>
    <row r="335" spans="1:9" ht="24.95" customHeight="1" x14ac:dyDescent="0.25">
      <c r="A335" s="16">
        <f>'Grad Raw Data'!L168</f>
        <v>0</v>
      </c>
      <c r="B335" s="20"/>
      <c r="C335" s="20"/>
      <c r="D335" s="20" t="str" cm="1">
        <f t="array" aca="1" ref="D335" ca="1">IF(I335="","",INDIRECT("'Grad Raw Data'!G"&amp;I335))</f>
        <v/>
      </c>
      <c r="H335">
        <v>335</v>
      </c>
      <c r="I335" t="str">
        <f t="shared" si="5"/>
        <v/>
      </c>
    </row>
    <row r="336" spans="1:9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 cm="1">
        <f t="array" aca="1" ref="D336" ca="1">IF(I336="","",INDIRECT("'Grad Raw Data'!G"&amp;I336))</f>
        <v>0</v>
      </c>
      <c r="E336" s="44" t="str">
        <f>'Grad Raw Data'!D169</f>
        <v>LEFT</v>
      </c>
      <c r="F336" s="44">
        <f>'Grad Raw Data'!E169</f>
        <v>7</v>
      </c>
      <c r="H336">
        <v>336</v>
      </c>
      <c r="I336">
        <f t="shared" si="5"/>
        <v>169</v>
      </c>
    </row>
    <row r="337" spans="1:9" ht="24.95" customHeight="1" x14ac:dyDescent="0.25">
      <c r="A337" s="16">
        <f>'Grad Raw Data'!L169</f>
        <v>0</v>
      </c>
      <c r="B337" s="20"/>
      <c r="C337" s="20"/>
      <c r="D337" s="20" t="str" cm="1">
        <f t="array" aca="1" ref="D337" ca="1">IF(I337="","",INDIRECT("'Grad Raw Data'!G"&amp;I337))</f>
        <v/>
      </c>
      <c r="H337">
        <v>337</v>
      </c>
      <c r="I337" t="str">
        <f t="shared" si="5"/>
        <v/>
      </c>
    </row>
    <row r="338" spans="1:9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 cm="1">
        <f t="array" aca="1" ref="D338" ca="1">IF(I338="","",INDIRECT("'Grad Raw Data'!G"&amp;I338))</f>
        <v>0</v>
      </c>
      <c r="E338" s="44" t="str">
        <f>'Grad Raw Data'!D170</f>
        <v>LEFT</v>
      </c>
      <c r="F338" s="44">
        <f>'Grad Raw Data'!E170</f>
        <v>7</v>
      </c>
      <c r="H338">
        <v>338</v>
      </c>
      <c r="I338">
        <f t="shared" si="5"/>
        <v>170</v>
      </c>
    </row>
    <row r="339" spans="1:9" ht="24.95" customHeight="1" x14ac:dyDescent="0.25">
      <c r="A339" s="16">
        <f>'Grad Raw Data'!L170</f>
        <v>0</v>
      </c>
      <c r="B339" s="20"/>
      <c r="C339" s="20"/>
      <c r="D339" s="20" t="str" cm="1">
        <f t="array" aca="1" ref="D339" ca="1">IF(I339="","",INDIRECT("'Grad Raw Data'!G"&amp;I339))</f>
        <v/>
      </c>
      <c r="H339">
        <v>339</v>
      </c>
      <c r="I339" t="str">
        <f t="shared" si="5"/>
        <v/>
      </c>
    </row>
    <row r="340" spans="1:9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 cm="1">
        <f t="array" aca="1" ref="D340" ca="1">IF(I340="","",INDIRECT("'Grad Raw Data'!G"&amp;I340))</f>
        <v>0</v>
      </c>
      <c r="E340" s="44" t="str">
        <f>'Grad Raw Data'!D171</f>
        <v>LEFT</v>
      </c>
      <c r="F340" s="44">
        <f>'Grad Raw Data'!E171</f>
        <v>7</v>
      </c>
      <c r="H340">
        <v>340</v>
      </c>
      <c r="I340">
        <f t="shared" si="5"/>
        <v>171</v>
      </c>
    </row>
    <row r="341" spans="1:9" ht="24.95" customHeight="1" x14ac:dyDescent="0.25">
      <c r="A341" s="16" t="str">
        <f>'Grad Raw Data'!L171</f>
        <v>Mi-tch-elli</v>
      </c>
      <c r="B341" s="20"/>
      <c r="C341" s="20"/>
      <c r="D341" s="20" t="str" cm="1">
        <f t="array" aca="1" ref="D341" ca="1">IF(I341="","",INDIRECT("'Grad Raw Data'!G"&amp;I341))</f>
        <v/>
      </c>
      <c r="H341">
        <v>341</v>
      </c>
      <c r="I341" t="str">
        <f t="shared" si="5"/>
        <v/>
      </c>
    </row>
    <row r="342" spans="1:9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 cm="1">
        <f t="array" aca="1" ref="D342" ca="1">IF(I342="","",INDIRECT("'Grad Raw Data'!G"&amp;I342))</f>
        <v>0</v>
      </c>
      <c r="E342" s="44" t="str">
        <f>'Grad Raw Data'!D172</f>
        <v>LEFT</v>
      </c>
      <c r="F342" s="44">
        <f>'Grad Raw Data'!E172</f>
        <v>7</v>
      </c>
      <c r="H342">
        <v>342</v>
      </c>
      <c r="I342">
        <f t="shared" si="5"/>
        <v>172</v>
      </c>
    </row>
    <row r="343" spans="1:9" ht="24.95" customHeight="1" x14ac:dyDescent="0.25">
      <c r="A343" s="16">
        <f>'Grad Raw Data'!L172</f>
        <v>0</v>
      </c>
      <c r="B343" s="20"/>
      <c r="C343" s="20"/>
      <c r="D343" s="20" t="str" cm="1">
        <f t="array" aca="1" ref="D343" ca="1">IF(I343="","",INDIRECT("'Grad Raw Data'!G"&amp;I343))</f>
        <v/>
      </c>
      <c r="H343">
        <v>343</v>
      </c>
      <c r="I343" t="str">
        <f t="shared" si="5"/>
        <v/>
      </c>
    </row>
    <row r="344" spans="1:9" ht="24.95" customHeight="1" x14ac:dyDescent="0.25">
      <c r="A344" s="20" t="str">
        <f>'Grad Raw Data'!I173</f>
        <v>Marcus</v>
      </c>
      <c r="B344" s="20" t="str">
        <f>'Grad Raw Data'!K174</f>
        <v/>
      </c>
      <c r="C344" s="20" t="str">
        <f>'Grad Raw Data'!H173</f>
        <v>Moller</v>
      </c>
      <c r="D344" s="20" cm="1">
        <f t="array" aca="1" ref="D344" ca="1">IF(I344="","",INDIRECT("'Grad Raw Data'!G"&amp;I344))</f>
        <v>0</v>
      </c>
      <c r="E344" s="44" t="str">
        <f>'Grad Raw Data'!D173</f>
        <v>LEFT</v>
      </c>
      <c r="F344" s="44">
        <f>'Grad Raw Data'!E173</f>
        <v>7</v>
      </c>
      <c r="H344">
        <v>344</v>
      </c>
      <c r="I344">
        <f t="shared" si="5"/>
        <v>173</v>
      </c>
    </row>
    <row r="345" spans="1:9" ht="24.95" customHeight="1" x14ac:dyDescent="0.25">
      <c r="A345" s="16" t="str">
        <f>'Grad Raw Data'!L173</f>
        <v>Mole - er</v>
      </c>
      <c r="B345" s="20"/>
      <c r="C345" s="20"/>
      <c r="D345" s="20" t="str" cm="1">
        <f t="array" aca="1" ref="D345" ca="1">IF(I345="","",INDIRECT("'Grad Raw Data'!G"&amp;I345))</f>
        <v/>
      </c>
      <c r="H345">
        <v>345</v>
      </c>
      <c r="I345" t="str">
        <f t="shared" si="5"/>
        <v/>
      </c>
    </row>
    <row r="346" spans="1:9" ht="24.95" customHeight="1" x14ac:dyDescent="0.25">
      <c r="A346" s="20" t="str">
        <f>'Grad Raw Data'!I174</f>
        <v>Evangeline</v>
      </c>
      <c r="B346" s="20" t="str">
        <f>'Grad Raw Data'!K175</f>
        <v/>
      </c>
      <c r="C346" s="20" t="str">
        <f>'Grad Raw Data'!H174</f>
        <v>Moreira</v>
      </c>
      <c r="D346" s="20" cm="1">
        <f t="array" aca="1" ref="D346" ca="1">IF(I346="","",INDIRECT("'Grad Raw Data'!G"&amp;I346))</f>
        <v>0</v>
      </c>
      <c r="E346" s="44" t="str">
        <f>'Grad Raw Data'!D174</f>
        <v>LEFT</v>
      </c>
      <c r="F346" s="44">
        <f>'Grad Raw Data'!E174</f>
        <v>7</v>
      </c>
      <c r="H346">
        <v>346</v>
      </c>
      <c r="I346">
        <f t="shared" si="5"/>
        <v>174</v>
      </c>
    </row>
    <row r="347" spans="1:9" ht="24.95" customHeight="1" x14ac:dyDescent="0.25">
      <c r="A347" s="16" t="str">
        <f>'Grad Raw Data'!L174</f>
        <v>Eh-van-jeh-lean More-air-ah</v>
      </c>
      <c r="B347" s="20"/>
      <c r="C347" s="20"/>
      <c r="D347" s="20" t="str" cm="1">
        <f t="array" aca="1" ref="D347" ca="1">IF(I347="","",INDIRECT("'Grad Raw Data'!G"&amp;I347))</f>
        <v/>
      </c>
      <c r="H347">
        <v>347</v>
      </c>
      <c r="I347" t="str">
        <f t="shared" si="5"/>
        <v/>
      </c>
    </row>
    <row r="348" spans="1:9" ht="24.95" customHeight="1" x14ac:dyDescent="0.25">
      <c r="A348" s="20" t="str">
        <f>'Grad Raw Data'!I175</f>
        <v>Bobby</v>
      </c>
      <c r="B348" s="20" t="str">
        <f>'Grad Raw Data'!K176</f>
        <v/>
      </c>
      <c r="C348" s="20" t="str">
        <f>'Grad Raw Data'!H175</f>
        <v>Morris</v>
      </c>
      <c r="D348" s="20" cm="1">
        <f t="array" aca="1" ref="D348" ca="1">IF(I348="","",INDIRECT("'Grad Raw Data'!G"&amp;I348))</f>
        <v>0</v>
      </c>
      <c r="E348" s="44" t="str">
        <f>'Grad Raw Data'!D175</f>
        <v>RIGHT</v>
      </c>
      <c r="F348" s="44">
        <f>'Grad Raw Data'!E175</f>
        <v>8</v>
      </c>
      <c r="H348">
        <v>348</v>
      </c>
      <c r="I348">
        <f t="shared" si="5"/>
        <v>175</v>
      </c>
    </row>
    <row r="349" spans="1:9" ht="24.95" customHeight="1" x14ac:dyDescent="0.25">
      <c r="A349" s="16">
        <f>'Grad Raw Data'!L175</f>
        <v>0</v>
      </c>
      <c r="B349" s="20"/>
      <c r="C349" s="20"/>
      <c r="D349" s="20" t="str" cm="1">
        <f t="array" aca="1" ref="D349" ca="1">IF(I349="","",INDIRECT("'Grad Raw Data'!G"&amp;I349))</f>
        <v/>
      </c>
      <c r="H349">
        <v>349</v>
      </c>
      <c r="I349" t="str">
        <f t="shared" si="5"/>
        <v/>
      </c>
    </row>
    <row r="350" spans="1:9" ht="24.95" customHeight="1" x14ac:dyDescent="0.25">
      <c r="A350" s="20" t="str">
        <f>'Grad Raw Data'!I176</f>
        <v>Kaiden</v>
      </c>
      <c r="B350" s="20" t="str">
        <f>'Grad Raw Data'!K177</f>
        <v/>
      </c>
      <c r="C350" s="20" t="str">
        <f>'Grad Raw Data'!H176</f>
        <v>Morrison</v>
      </c>
      <c r="D350" s="20" cm="1">
        <f t="array" aca="1" ref="D350" ca="1">IF(I350="","",INDIRECT("'Grad Raw Data'!G"&amp;I350))</f>
        <v>0</v>
      </c>
      <c r="E350" s="44" t="str">
        <f>'Grad Raw Data'!D176</f>
        <v>RIGHT</v>
      </c>
      <c r="F350" s="44">
        <f>'Grad Raw Data'!E176</f>
        <v>8</v>
      </c>
      <c r="H350">
        <v>350</v>
      </c>
      <c r="I350">
        <f t="shared" si="5"/>
        <v>176</v>
      </c>
    </row>
    <row r="351" spans="1:9" ht="24.95" customHeight="1" x14ac:dyDescent="0.25">
      <c r="A351" s="16">
        <f>'Grad Raw Data'!L176</f>
        <v>0</v>
      </c>
      <c r="B351" s="20"/>
      <c r="C351" s="20"/>
      <c r="D351" s="20" t="str" cm="1">
        <f t="array" aca="1" ref="D351" ca="1">IF(I351="","",INDIRECT("'Grad Raw Data'!G"&amp;I351))</f>
        <v/>
      </c>
      <c r="H351">
        <v>351</v>
      </c>
      <c r="I351" t="str">
        <f t="shared" si="5"/>
        <v/>
      </c>
    </row>
    <row r="352" spans="1:9" ht="24.95" customHeight="1" x14ac:dyDescent="0.25">
      <c r="A352" s="20" t="str">
        <f>'Grad Raw Data'!I177</f>
        <v>Abdul</v>
      </c>
      <c r="B352" s="20" t="str">
        <f>'Grad Raw Data'!K178</f>
        <v>Raheem</v>
      </c>
      <c r="C352" s="20" t="str">
        <f>'Grad Raw Data'!H177</f>
        <v>Mughal</v>
      </c>
      <c r="D352" s="20" cm="1">
        <f t="array" aca="1" ref="D352" ca="1">IF(I352="","",INDIRECT("'Grad Raw Data'!G"&amp;I352))</f>
        <v>0</v>
      </c>
      <c r="E352" s="44" t="str">
        <f>'Grad Raw Data'!D177</f>
        <v>RIGHT</v>
      </c>
      <c r="F352" s="44">
        <f>'Grad Raw Data'!E177</f>
        <v>8</v>
      </c>
      <c r="H352">
        <v>352</v>
      </c>
      <c r="I352">
        <f t="shared" si="5"/>
        <v>177</v>
      </c>
    </row>
    <row r="353" spans="1:9" ht="24.95" customHeight="1" x14ac:dyDescent="0.25">
      <c r="A353" s="16" t="str">
        <f>'Grad Raw Data'!L178</f>
        <v>William Mull-er (rhymes with color)</v>
      </c>
      <c r="B353" s="20"/>
      <c r="C353" s="20"/>
      <c r="D353" s="20" t="str" cm="1">
        <f t="array" aca="1" ref="D353" ca="1">IF(I353="","",INDIRECT("'Grad Raw Data'!G"&amp;I353))</f>
        <v/>
      </c>
      <c r="H353">
        <v>353</v>
      </c>
      <c r="I353" t="str">
        <f t="shared" si="5"/>
        <v/>
      </c>
    </row>
    <row r="354" spans="1:9" ht="24.95" customHeight="1" x14ac:dyDescent="0.25">
      <c r="A354" s="20" t="str">
        <f>'Grad Raw Data'!I178</f>
        <v>William</v>
      </c>
      <c r="B354" s="20" t="str">
        <f>'Grad Raw Data'!K179</f>
        <v/>
      </c>
      <c r="C354" s="20" t="str">
        <f>'Grad Raw Data'!H178</f>
        <v>Muller</v>
      </c>
      <c r="D354" s="20" cm="1">
        <f t="array" aca="1" ref="D354" ca="1">IF(I354="","",INDIRECT("'Grad Raw Data'!G"&amp;I354))</f>
        <v>0</v>
      </c>
      <c r="E354" s="44" t="str">
        <f>'Grad Raw Data'!D178</f>
        <v>RIGHT</v>
      </c>
      <c r="F354" s="44">
        <f>'Grad Raw Data'!E178</f>
        <v>8</v>
      </c>
      <c r="H354">
        <v>354</v>
      </c>
      <c r="I354">
        <f t="shared" si="5"/>
        <v>178</v>
      </c>
    </row>
    <row r="355" spans="1:9" ht="24.95" customHeight="1" x14ac:dyDescent="0.25">
      <c r="A355" s="16" t="str">
        <f>'Grad Raw Data'!L178</f>
        <v>William Mull-er (rhymes with color)</v>
      </c>
      <c r="B355" s="20"/>
      <c r="C355" s="20"/>
      <c r="D355" s="20" t="str" cm="1">
        <f t="array" aca="1" ref="D355" ca="1">IF(I355="","",INDIRECT("'Grad Raw Data'!G"&amp;I355))</f>
        <v/>
      </c>
      <c r="H355">
        <v>355</v>
      </c>
      <c r="I355" t="str">
        <f t="shared" si="5"/>
        <v/>
      </c>
    </row>
    <row r="356" spans="1:9" ht="24.95" customHeight="1" x14ac:dyDescent="0.25">
      <c r="A356" s="20" t="str">
        <f>'Grad Raw Data'!I179</f>
        <v>Jack</v>
      </c>
      <c r="B356" s="20" t="str">
        <f>'Grad Raw Data'!K180</f>
        <v/>
      </c>
      <c r="C356" s="20" t="str">
        <f>'Grad Raw Data'!H179</f>
        <v>Murphy</v>
      </c>
      <c r="D356" s="20" cm="1">
        <f t="array" aca="1" ref="D356" ca="1">IF(I356="","",INDIRECT("'Grad Raw Data'!G"&amp;I356))</f>
        <v>0</v>
      </c>
      <c r="E356" s="44" t="str">
        <f>'Grad Raw Data'!D179</f>
        <v>RIGHT</v>
      </c>
      <c r="F356" s="44">
        <f>'Grad Raw Data'!E179</f>
        <v>8</v>
      </c>
      <c r="H356">
        <v>356</v>
      </c>
      <c r="I356">
        <f t="shared" si="5"/>
        <v>179</v>
      </c>
    </row>
    <row r="357" spans="1:9" ht="24.95" customHeight="1" x14ac:dyDescent="0.25">
      <c r="A357" s="16">
        <f>'Grad Raw Data'!L179</f>
        <v>0</v>
      </c>
      <c r="B357" s="20"/>
      <c r="C357" s="20"/>
      <c r="D357" s="20" t="str" cm="1">
        <f t="array" aca="1" ref="D357" ca="1">IF(I357="","",INDIRECT("'Grad Raw Data'!G"&amp;I357))</f>
        <v/>
      </c>
      <c r="H357">
        <v>357</v>
      </c>
      <c r="I357" t="str">
        <f t="shared" si="5"/>
        <v/>
      </c>
    </row>
    <row r="358" spans="1:9" ht="24.95" customHeight="1" x14ac:dyDescent="0.25">
      <c r="A358" s="20" t="str">
        <f>'Grad Raw Data'!I180</f>
        <v>Abigail</v>
      </c>
      <c r="B358" s="20" t="str">
        <f>'Grad Raw Data'!K181</f>
        <v/>
      </c>
      <c r="C358" s="20" t="str">
        <f>'Grad Raw Data'!H180</f>
        <v>Nelson</v>
      </c>
      <c r="D358" s="20" cm="1">
        <f t="array" aca="1" ref="D358" ca="1">IF(I358="","",INDIRECT("'Grad Raw Data'!G"&amp;I358))</f>
        <v>0</v>
      </c>
      <c r="E358" s="44" t="str">
        <f>'Grad Raw Data'!D180</f>
        <v>RIGHT</v>
      </c>
      <c r="F358" s="44">
        <f>'Grad Raw Data'!E180</f>
        <v>8</v>
      </c>
      <c r="H358">
        <v>358</v>
      </c>
      <c r="I358">
        <f t="shared" si="5"/>
        <v>180</v>
      </c>
    </row>
    <row r="359" spans="1:9" ht="24.95" customHeight="1" x14ac:dyDescent="0.25">
      <c r="A359" s="16">
        <f>'Grad Raw Data'!L180</f>
        <v>0</v>
      </c>
      <c r="B359" s="20"/>
      <c r="C359" s="20"/>
      <c r="D359" s="20" t="str" cm="1">
        <f t="array" aca="1" ref="D359" ca="1">IF(I359="","",INDIRECT("'Grad Raw Data'!G"&amp;I359))</f>
        <v/>
      </c>
      <c r="H359">
        <v>359</v>
      </c>
      <c r="I359" t="str">
        <f t="shared" si="5"/>
        <v/>
      </c>
    </row>
    <row r="360" spans="1:9" ht="24.95" customHeight="1" x14ac:dyDescent="0.25">
      <c r="A360" s="20" t="str">
        <f>'Grad Raw Data'!I181</f>
        <v>Patience</v>
      </c>
      <c r="B360" s="20" t="str">
        <f>'Grad Raw Data'!K182</f>
        <v/>
      </c>
      <c r="C360" s="20" t="str">
        <f>'Grad Raw Data'!H181</f>
        <v>Nguyen</v>
      </c>
      <c r="D360" s="20" cm="1">
        <f t="array" aca="1" ref="D360" ca="1">IF(I360="","",INDIRECT("'Grad Raw Data'!G"&amp;I360))</f>
        <v>0</v>
      </c>
      <c r="E360" s="44" t="str">
        <f>'Grad Raw Data'!D181</f>
        <v>RIGHT</v>
      </c>
      <c r="F360" s="44">
        <f>'Grad Raw Data'!E181</f>
        <v>8</v>
      </c>
      <c r="H360">
        <v>360</v>
      </c>
      <c r="I360">
        <f t="shared" si="5"/>
        <v>181</v>
      </c>
    </row>
    <row r="361" spans="1:9" ht="24.95" customHeight="1" x14ac:dyDescent="0.25">
      <c r="A361" s="16" t="str">
        <f>'Grad Raw Data'!L181</f>
        <v xml:space="preserve">Patience Nuh-win </v>
      </c>
      <c r="B361" s="20"/>
      <c r="C361" s="20"/>
      <c r="D361" s="20" t="str" cm="1">
        <f t="array" aca="1" ref="D361" ca="1">IF(I361="","",INDIRECT("'Grad Raw Data'!G"&amp;I361))</f>
        <v/>
      </c>
      <c r="H361">
        <v>361</v>
      </c>
      <c r="I361" t="str">
        <f t="shared" si="5"/>
        <v/>
      </c>
    </row>
    <row r="362" spans="1:9" ht="24.95" customHeight="1" x14ac:dyDescent="0.25">
      <c r="A362" s="20" t="str">
        <f>'Grad Raw Data'!I182</f>
        <v>Charlotte</v>
      </c>
      <c r="B362" s="20" t="str">
        <f>'Grad Raw Data'!K183</f>
        <v/>
      </c>
      <c r="C362" s="20" t="str">
        <f>'Grad Raw Data'!H182</f>
        <v>Nolty</v>
      </c>
      <c r="D362" s="20" cm="1">
        <f t="array" aca="1" ref="D362" ca="1">IF(I362="","",INDIRECT("'Grad Raw Data'!G"&amp;I362))</f>
        <v>0</v>
      </c>
      <c r="E362" s="44" t="str">
        <f>'Grad Raw Data'!D182</f>
        <v>RIGHT</v>
      </c>
      <c r="F362" s="44">
        <f>'Grad Raw Data'!E182</f>
        <v>8</v>
      </c>
      <c r="H362">
        <v>362</v>
      </c>
      <c r="I362">
        <f t="shared" si="5"/>
        <v>182</v>
      </c>
    </row>
    <row r="363" spans="1:9" ht="24.95" customHeight="1" x14ac:dyDescent="0.25">
      <c r="A363" s="16">
        <f>'Grad Raw Data'!L182</f>
        <v>0</v>
      </c>
      <c r="B363" s="20"/>
      <c r="C363" s="20"/>
      <c r="D363" s="20" t="str" cm="1">
        <f t="array" aca="1" ref="D363" ca="1">IF(I363="","",INDIRECT("'Grad Raw Data'!G"&amp;I363))</f>
        <v/>
      </c>
      <c r="H363">
        <v>363</v>
      </c>
      <c r="I363" t="str">
        <f t="shared" si="5"/>
        <v/>
      </c>
    </row>
    <row r="364" spans="1:9" ht="24.95" customHeight="1" x14ac:dyDescent="0.25">
      <c r="A364" s="20" t="str">
        <f>'Grad Raw Data'!I183</f>
        <v>Mackenzie</v>
      </c>
      <c r="B364" s="20" t="str">
        <f>'Grad Raw Data'!K184</f>
        <v/>
      </c>
      <c r="C364" s="20" t="str">
        <f>'Grad Raw Data'!H183</f>
        <v>Norris</v>
      </c>
      <c r="D364" s="20" cm="1">
        <f t="array" aca="1" ref="D364" ca="1">IF(I364="","",INDIRECT("'Grad Raw Data'!G"&amp;I364))</f>
        <v>0</v>
      </c>
      <c r="E364" s="44" t="str">
        <f>'Grad Raw Data'!D183</f>
        <v>RIGHT</v>
      </c>
      <c r="F364" s="44">
        <f>'Grad Raw Data'!E183</f>
        <v>8</v>
      </c>
      <c r="H364">
        <v>364</v>
      </c>
      <c r="I364">
        <f t="shared" si="5"/>
        <v>183</v>
      </c>
    </row>
    <row r="365" spans="1:9" ht="24.95" customHeight="1" x14ac:dyDescent="0.25">
      <c r="A365" s="16" t="str">
        <f>'Grad Raw Data'!L183</f>
        <v>Ma - ken - zee  Nor - is</v>
      </c>
      <c r="B365" s="20"/>
      <c r="C365" s="20"/>
      <c r="D365" s="20" t="str" cm="1">
        <f t="array" aca="1" ref="D365" ca="1">IF(I365="","",INDIRECT("'Grad Raw Data'!G"&amp;I365))</f>
        <v/>
      </c>
      <c r="H365">
        <v>365</v>
      </c>
      <c r="I365" t="str">
        <f t="shared" si="5"/>
        <v/>
      </c>
    </row>
    <row r="366" spans="1:9" ht="24.95" customHeight="1" x14ac:dyDescent="0.25">
      <c r="A366" s="20" t="str">
        <f>'Grad Raw Data'!I184</f>
        <v>Michelle</v>
      </c>
      <c r="B366" s="20" t="str">
        <f>'Grad Raw Data'!K185</f>
        <v/>
      </c>
      <c r="C366" s="20" t="str">
        <f>'Grad Raw Data'!H184</f>
        <v>Ohlson</v>
      </c>
      <c r="D366" s="20" cm="1">
        <f t="array" aca="1" ref="D366" ca="1">IF(I366="","",INDIRECT("'Grad Raw Data'!G"&amp;I366))</f>
        <v>0</v>
      </c>
      <c r="E366" s="44" t="str">
        <f>'Grad Raw Data'!D184</f>
        <v>RIGHT</v>
      </c>
      <c r="F366" s="44">
        <f>'Grad Raw Data'!E184</f>
        <v>8</v>
      </c>
      <c r="H366">
        <v>366</v>
      </c>
      <c r="I366">
        <f t="shared" si="5"/>
        <v>184</v>
      </c>
    </row>
    <row r="367" spans="1:9" ht="24.95" customHeight="1" x14ac:dyDescent="0.25">
      <c r="A367" s="16">
        <f>'Grad Raw Data'!L184</f>
        <v>0</v>
      </c>
      <c r="B367" s="20"/>
      <c r="C367" s="20"/>
      <c r="D367" s="20" t="str" cm="1">
        <f t="array" aca="1" ref="D367" ca="1">IF(I367="","",INDIRECT("'Grad Raw Data'!G"&amp;I367))</f>
        <v/>
      </c>
      <c r="H367">
        <v>367</v>
      </c>
      <c r="I367" t="str">
        <f t="shared" si="5"/>
        <v/>
      </c>
    </row>
    <row r="368" spans="1:9" ht="24.95" customHeight="1" x14ac:dyDescent="0.25">
      <c r="A368" s="20" t="str">
        <f>'Grad Raw Data'!I185</f>
        <v>Natalie</v>
      </c>
      <c r="B368" s="20" t="str">
        <f>'Grad Raw Data'!K186</f>
        <v/>
      </c>
      <c r="C368" s="20" t="str">
        <f>'Grad Raw Data'!H185</f>
        <v>Ortins</v>
      </c>
      <c r="D368" s="20" cm="1">
        <f t="array" aca="1" ref="D368" ca="1">IF(I368="","",INDIRECT("'Grad Raw Data'!G"&amp;I368))</f>
        <v>0</v>
      </c>
      <c r="E368" s="44" t="str">
        <f>'Grad Raw Data'!D185</f>
        <v>RIGHT</v>
      </c>
      <c r="F368" s="44">
        <f>'Grad Raw Data'!E185</f>
        <v>8</v>
      </c>
      <c r="H368">
        <v>368</v>
      </c>
      <c r="I368">
        <f t="shared" si="5"/>
        <v>185</v>
      </c>
    </row>
    <row r="369" spans="1:9" ht="24.95" customHeight="1" x14ac:dyDescent="0.25">
      <c r="A369" s="16" t="str">
        <f>'Grad Raw Data'!L185</f>
        <v>Please don't say Orteens; It is OrtINs and the i is like the i in it</v>
      </c>
      <c r="B369" s="20"/>
      <c r="C369" s="20"/>
      <c r="D369" s="20" t="str" cm="1">
        <f t="array" aca="1" ref="D369" ca="1">IF(I369="","",INDIRECT("'Grad Raw Data'!G"&amp;I369))</f>
        <v/>
      </c>
      <c r="H369">
        <v>369</v>
      </c>
      <c r="I369" t="str">
        <f t="shared" si="5"/>
        <v/>
      </c>
    </row>
    <row r="370" spans="1:9" ht="24.95" customHeight="1" x14ac:dyDescent="0.25">
      <c r="A370" s="20" t="str">
        <f>'Grad Raw Data'!I186</f>
        <v>Franklin</v>
      </c>
      <c r="B370" s="20" t="str">
        <f>'Grad Raw Data'!K187</f>
        <v/>
      </c>
      <c r="C370" s="20" t="str">
        <f>'Grad Raw Data'!H186</f>
        <v>Ortiz</v>
      </c>
      <c r="D370" s="20" cm="1">
        <f t="array" aca="1" ref="D370" ca="1">IF(I370="","",INDIRECT("'Grad Raw Data'!G"&amp;I370))</f>
        <v>0</v>
      </c>
      <c r="E370" s="44" t="str">
        <f>'Grad Raw Data'!D186</f>
        <v>RIGHT</v>
      </c>
      <c r="F370" s="44">
        <f>'Grad Raw Data'!E186</f>
        <v>8</v>
      </c>
      <c r="H370">
        <v>370</v>
      </c>
      <c r="I370">
        <f t="shared" si="5"/>
        <v>186</v>
      </c>
    </row>
    <row r="371" spans="1:9" ht="24.95" customHeight="1" x14ac:dyDescent="0.25">
      <c r="A371" s="16" t="str">
        <f>'Grad Raw Data'!L186</f>
        <v>Franklin Ortiz</v>
      </c>
      <c r="B371" s="20"/>
      <c r="C371" s="20"/>
      <c r="D371" s="20" t="str" cm="1">
        <f t="array" aca="1" ref="D371" ca="1">IF(I371="","",INDIRECT("'Grad Raw Data'!G"&amp;I371))</f>
        <v/>
      </c>
      <c r="H371">
        <v>371</v>
      </c>
      <c r="I371" t="str">
        <f t="shared" si="5"/>
        <v/>
      </c>
    </row>
    <row r="372" spans="1:9" ht="24.95" customHeight="1" x14ac:dyDescent="0.25">
      <c r="A372" s="20" t="str">
        <f>'Grad Raw Data'!I187</f>
        <v>Isabelle</v>
      </c>
      <c r="B372" s="20" t="str">
        <f>'Grad Raw Data'!K188</f>
        <v>Grace</v>
      </c>
      <c r="C372" s="20" t="str">
        <f>'Grad Raw Data'!H187</f>
        <v>Parent</v>
      </c>
      <c r="D372" s="20" cm="1">
        <f t="array" aca="1" ref="D372" ca="1">IF(I372="","",INDIRECT("'Grad Raw Data'!G"&amp;I372))</f>
        <v>0</v>
      </c>
      <c r="E372" s="44" t="str">
        <f>'Grad Raw Data'!D187</f>
        <v>LEFT</v>
      </c>
      <c r="F372" s="44">
        <f>'Grad Raw Data'!E187</f>
        <v>8</v>
      </c>
      <c r="H372">
        <v>372</v>
      </c>
      <c r="I372">
        <f t="shared" si="5"/>
        <v>187</v>
      </c>
    </row>
    <row r="373" spans="1:9" ht="24.95" customHeight="1" x14ac:dyDescent="0.25">
      <c r="A373" s="16">
        <f>'Grad Raw Data'!L187</f>
        <v>0</v>
      </c>
      <c r="B373" s="20"/>
      <c r="C373" s="20"/>
      <c r="D373" s="20" t="str" cm="1">
        <f t="array" aca="1" ref="D373" ca="1">IF(I373="","",INDIRECT("'Grad Raw Data'!G"&amp;I373))</f>
        <v/>
      </c>
      <c r="H373">
        <v>373</v>
      </c>
      <c r="I373" t="str">
        <f t="shared" si="5"/>
        <v/>
      </c>
    </row>
    <row r="374" spans="1:9" ht="24.95" customHeight="1" x14ac:dyDescent="0.25">
      <c r="A374" s="20" t="str">
        <f>'Grad Raw Data'!I188</f>
        <v>Saloni</v>
      </c>
      <c r="B374" s="20" t="str">
        <f>'Grad Raw Data'!K189</f>
        <v/>
      </c>
      <c r="C374" s="20" t="str">
        <f>'Grad Raw Data'!H188</f>
        <v>Patel</v>
      </c>
      <c r="D374" s="20" cm="1">
        <f t="array" aca="1" ref="D374" ca="1">IF(I374="","",INDIRECT("'Grad Raw Data'!G"&amp;I374))</f>
        <v>0</v>
      </c>
      <c r="E374" s="44" t="str">
        <f>'Grad Raw Data'!D188</f>
        <v>LEFT</v>
      </c>
      <c r="F374" s="44">
        <f>'Grad Raw Data'!E188</f>
        <v>8</v>
      </c>
      <c r="H374">
        <v>374</v>
      </c>
      <c r="I374">
        <f t="shared" si="5"/>
        <v>188</v>
      </c>
    </row>
    <row r="375" spans="1:9" ht="24.95" customHeight="1" x14ac:dyDescent="0.25">
      <c r="A375" s="16" t="str">
        <f>'Grad Raw Data'!L188</f>
        <v>Sa-low-knee Pa-tel</v>
      </c>
      <c r="B375" s="20"/>
      <c r="C375" s="20"/>
      <c r="D375" s="20" t="str" cm="1">
        <f t="array" aca="1" ref="D375" ca="1">IF(I375="","",INDIRECT("'Grad Raw Data'!G"&amp;I375))</f>
        <v/>
      </c>
      <c r="H375">
        <v>375</v>
      </c>
      <c r="I375" t="str">
        <f t="shared" si="5"/>
        <v/>
      </c>
    </row>
    <row r="376" spans="1:9" ht="24.95" customHeight="1" x14ac:dyDescent="0.25">
      <c r="A376" s="20" t="str">
        <f>'Grad Raw Data'!I189</f>
        <v>Lerika</v>
      </c>
      <c r="B376" s="20" t="str">
        <f>'Grad Raw Data'!K190</f>
        <v/>
      </c>
      <c r="C376" s="20" t="str">
        <f>'Grad Raw Data'!H189</f>
        <v>Peat</v>
      </c>
      <c r="D376" s="20" cm="1">
        <f t="array" aca="1" ref="D376" ca="1">IF(I376="","",INDIRECT("'Grad Raw Data'!G"&amp;I376))</f>
        <v>0</v>
      </c>
      <c r="E376" s="44" t="str">
        <f>'Grad Raw Data'!D189</f>
        <v>LEFT</v>
      </c>
      <c r="F376" s="44">
        <f>'Grad Raw Data'!E189</f>
        <v>8</v>
      </c>
      <c r="H376">
        <v>376</v>
      </c>
      <c r="I376">
        <f t="shared" si="5"/>
        <v>189</v>
      </c>
    </row>
    <row r="377" spans="1:9" ht="24.95" customHeight="1" x14ac:dyDescent="0.25">
      <c r="A377" s="16">
        <f>'Grad Raw Data'!L189</f>
        <v>0</v>
      </c>
      <c r="B377" s="20"/>
      <c r="C377" s="20"/>
      <c r="D377" s="20" t="str" cm="1">
        <f t="array" aca="1" ref="D377" ca="1">IF(I377="","",INDIRECT("'Grad Raw Data'!G"&amp;I377))</f>
        <v/>
      </c>
      <c r="H377">
        <v>377</v>
      </c>
      <c r="I377" t="str">
        <f t="shared" si="5"/>
        <v/>
      </c>
    </row>
    <row r="378" spans="1:9" ht="24.95" customHeight="1" x14ac:dyDescent="0.25">
      <c r="A378" s="20" t="str">
        <f>'Grad Raw Data'!I190</f>
        <v>Jacob</v>
      </c>
      <c r="B378" s="20" t="str">
        <f>'Grad Raw Data'!K191</f>
        <v/>
      </c>
      <c r="C378" s="20" t="str">
        <f>'Grad Raw Data'!H190</f>
        <v>Petrin</v>
      </c>
      <c r="D378" s="20" cm="1">
        <f t="array" aca="1" ref="D378" ca="1">IF(I378="","",INDIRECT("'Grad Raw Data'!G"&amp;I378))</f>
        <v>0</v>
      </c>
      <c r="E378" s="44" t="str">
        <f>'Grad Raw Data'!D190</f>
        <v>LEFT</v>
      </c>
      <c r="F378" s="44">
        <f>'Grad Raw Data'!E190</f>
        <v>8</v>
      </c>
      <c r="H378">
        <v>378</v>
      </c>
      <c r="I378">
        <f t="shared" si="5"/>
        <v>190</v>
      </c>
    </row>
    <row r="379" spans="1:9" ht="24.95" customHeight="1" x14ac:dyDescent="0.25">
      <c r="A379" s="16" t="str">
        <f>'Grad Raw Data'!L190</f>
        <v>pee-trin</v>
      </c>
      <c r="B379" s="20"/>
      <c r="C379" s="20"/>
      <c r="D379" s="20" t="str" cm="1">
        <f t="array" aca="1" ref="D379" ca="1">IF(I379="","",INDIRECT("'Grad Raw Data'!G"&amp;I379))</f>
        <v/>
      </c>
      <c r="H379">
        <v>379</v>
      </c>
      <c r="I379" t="str">
        <f t="shared" si="5"/>
        <v/>
      </c>
    </row>
    <row r="380" spans="1:9" ht="24.95" customHeight="1" x14ac:dyDescent="0.25">
      <c r="A380" s="20" t="str">
        <f>'Grad Raw Data'!I191</f>
        <v>Wyatt</v>
      </c>
      <c r="B380" s="20" t="str">
        <f>'Grad Raw Data'!K192</f>
        <v/>
      </c>
      <c r="C380" s="20" t="str">
        <f>'Grad Raw Data'!H191</f>
        <v>Picard</v>
      </c>
      <c r="D380" s="20" cm="1">
        <f t="array" aca="1" ref="D380" ca="1">IF(I380="","",INDIRECT("'Grad Raw Data'!G"&amp;I380))</f>
        <v>0</v>
      </c>
      <c r="E380" s="44" t="str">
        <f>'Grad Raw Data'!D191</f>
        <v>LEFT</v>
      </c>
      <c r="F380" s="44">
        <f>'Grad Raw Data'!E191</f>
        <v>8</v>
      </c>
      <c r="H380">
        <v>380</v>
      </c>
      <c r="I380">
        <f t="shared" si="5"/>
        <v>191</v>
      </c>
    </row>
    <row r="381" spans="1:9" ht="24.95" customHeight="1" x14ac:dyDescent="0.25">
      <c r="A381" s="16">
        <f>'Grad Raw Data'!L191</f>
        <v>0</v>
      </c>
      <c r="B381" s="20"/>
      <c r="C381" s="20"/>
      <c r="D381" s="20" t="str" cm="1">
        <f t="array" aca="1" ref="D381" ca="1">IF(I381="","",INDIRECT("'Grad Raw Data'!G"&amp;I381))</f>
        <v/>
      </c>
      <c r="H381">
        <v>381</v>
      </c>
      <c r="I381" t="str">
        <f t="shared" si="5"/>
        <v/>
      </c>
    </row>
    <row r="382" spans="1:9" ht="24.95" customHeight="1" x14ac:dyDescent="0.25">
      <c r="A382" s="20" t="str">
        <f>'Grad Raw Data'!I192</f>
        <v>Samantha</v>
      </c>
      <c r="B382" s="20" t="str">
        <f>'Grad Raw Data'!K193</f>
        <v/>
      </c>
      <c r="C382" s="20" t="str">
        <f>'Grad Raw Data'!H192</f>
        <v>Pomerantz</v>
      </c>
      <c r="D382" s="20" cm="1">
        <f t="array" aca="1" ref="D382" ca="1">IF(I382="","",INDIRECT("'Grad Raw Data'!G"&amp;I382))</f>
        <v>0</v>
      </c>
      <c r="E382" s="44" t="str">
        <f>'Grad Raw Data'!D192</f>
        <v>LEFT</v>
      </c>
      <c r="F382" s="44">
        <f>'Grad Raw Data'!E192</f>
        <v>8</v>
      </c>
      <c r="H382">
        <v>382</v>
      </c>
      <c r="I382">
        <f t="shared" si="5"/>
        <v>192</v>
      </c>
    </row>
    <row r="383" spans="1:9" ht="24.95" customHeight="1" x14ac:dyDescent="0.25">
      <c r="A383" s="16" t="str">
        <f>'Grad Raw Data'!L192</f>
        <v>Pom er antz</v>
      </c>
      <c r="B383" s="20"/>
      <c r="C383" s="20"/>
      <c r="D383" s="20" t="str" cm="1">
        <f t="array" aca="1" ref="D383" ca="1">IF(I383="","",INDIRECT("'Grad Raw Data'!G"&amp;I383))</f>
        <v/>
      </c>
      <c r="H383">
        <v>383</v>
      </c>
      <c r="I383" t="str">
        <f t="shared" si="5"/>
        <v/>
      </c>
    </row>
    <row r="384" spans="1:9" ht="24.95" customHeight="1" x14ac:dyDescent="0.25">
      <c r="A384" s="20" t="str">
        <f>'Grad Raw Data'!I193</f>
        <v>Shivani</v>
      </c>
      <c r="B384" s="20" t="str">
        <f>'Grad Raw Data'!K194</f>
        <v/>
      </c>
      <c r="C384" s="20" t="str">
        <f>'Grad Raw Data'!H193</f>
        <v>Poudyal</v>
      </c>
      <c r="D384" s="20" cm="1">
        <f t="array" aca="1" ref="D384" ca="1">IF(I384="","",INDIRECT("'Grad Raw Data'!G"&amp;I384))</f>
        <v>0</v>
      </c>
      <c r="E384" s="44" t="str">
        <f>'Grad Raw Data'!D193</f>
        <v>LEFT</v>
      </c>
      <c r="F384" s="44">
        <f>'Grad Raw Data'!E193</f>
        <v>8</v>
      </c>
      <c r="H384">
        <v>384</v>
      </c>
      <c r="I384">
        <f t="shared" si="5"/>
        <v>193</v>
      </c>
    </row>
    <row r="385" spans="1:9" ht="24.95" customHeight="1" x14ac:dyDescent="0.25">
      <c r="A385" s="16" t="str">
        <f>'Grad Raw Data'!L193</f>
        <v>shiv-ah-knee POW-Dell</v>
      </c>
      <c r="B385" s="20"/>
      <c r="C385" s="20"/>
      <c r="D385" s="20" t="str" cm="1">
        <f t="array" aca="1" ref="D385" ca="1">IF(I385="","",INDIRECT("'Grad Raw Data'!G"&amp;I385))</f>
        <v/>
      </c>
      <c r="H385">
        <v>385</v>
      </c>
      <c r="I385" t="str">
        <f t="shared" si="5"/>
        <v/>
      </c>
    </row>
    <row r="386" spans="1:9" ht="24.95" customHeight="1" x14ac:dyDescent="0.25">
      <c r="A386" s="20" t="str">
        <f>'Grad Raw Data'!I194</f>
        <v>Ryan</v>
      </c>
      <c r="B386" s="20" t="str">
        <f>'Grad Raw Data'!K195</f>
        <v/>
      </c>
      <c r="C386" s="20" t="str">
        <f>'Grad Raw Data'!H194</f>
        <v>Pulpi</v>
      </c>
      <c r="D386" s="20" cm="1">
        <f t="array" aca="1" ref="D386" ca="1">IF(I386="","",INDIRECT("'Grad Raw Data'!G"&amp;I386))</f>
        <v>0</v>
      </c>
      <c r="E386" s="44" t="str">
        <f>'Grad Raw Data'!D194</f>
        <v>LEFT</v>
      </c>
      <c r="F386" s="44">
        <f>'Grad Raw Data'!E194</f>
        <v>8</v>
      </c>
      <c r="H386">
        <v>386</v>
      </c>
      <c r="I386">
        <f t="shared" si="5"/>
        <v>194</v>
      </c>
    </row>
    <row r="387" spans="1:9" ht="24.95" customHeight="1" x14ac:dyDescent="0.25">
      <c r="A387" s="16" t="str">
        <f>'Grad Raw Data'!L194</f>
        <v>Ryan pulpi</v>
      </c>
      <c r="B387" s="20"/>
      <c r="C387" s="20"/>
      <c r="D387" s="20" t="str" cm="1">
        <f t="array" aca="1" ref="D387" ca="1">IF(I387="","",INDIRECT("'Grad Raw Data'!G"&amp;I387))</f>
        <v/>
      </c>
      <c r="H387">
        <v>387</v>
      </c>
      <c r="I387" t="str">
        <f t="shared" ref="I387:I450" si="6">IF(MOD((H387+2)/1,2)=0,(H387/2+1),"")</f>
        <v/>
      </c>
    </row>
    <row r="388" spans="1:9" ht="24.95" customHeight="1" x14ac:dyDescent="0.25">
      <c r="A388" s="20" t="str">
        <f>'Grad Raw Data'!I195</f>
        <v>Jessica</v>
      </c>
      <c r="B388" s="20" t="str">
        <f>'Grad Raw Data'!K196</f>
        <v/>
      </c>
      <c r="C388" s="20" t="str">
        <f>'Grad Raw Data'!H195</f>
        <v>Rai</v>
      </c>
      <c r="D388" s="20" cm="1">
        <f t="array" aca="1" ref="D388" ca="1">IF(I388="","",INDIRECT("'Grad Raw Data'!G"&amp;I388))</f>
        <v>0</v>
      </c>
      <c r="E388" s="44" t="str">
        <f>'Grad Raw Data'!D195</f>
        <v>LEFT</v>
      </c>
      <c r="F388" s="44">
        <f>'Grad Raw Data'!E195</f>
        <v>8</v>
      </c>
      <c r="H388">
        <v>388</v>
      </c>
      <c r="I388">
        <f t="shared" si="6"/>
        <v>195</v>
      </c>
    </row>
    <row r="389" spans="1:9" ht="24.95" customHeight="1" x14ac:dyDescent="0.25">
      <c r="A389" s="16" t="str">
        <f>'Grad Raw Data'!L195</f>
        <v>Jessica r-eye</v>
      </c>
      <c r="B389" s="20"/>
      <c r="C389" s="20"/>
      <c r="D389" s="20" t="str" cm="1">
        <f t="array" aca="1" ref="D389" ca="1">IF(I389="","",INDIRECT("'Grad Raw Data'!G"&amp;I389))</f>
        <v/>
      </c>
      <c r="H389">
        <v>389</v>
      </c>
      <c r="I389" t="str">
        <f t="shared" si="6"/>
        <v/>
      </c>
    </row>
    <row r="390" spans="1:9" ht="24.95" customHeight="1" x14ac:dyDescent="0.25">
      <c r="A390" s="20" t="str">
        <f>'Grad Raw Data'!I196</f>
        <v>Ted</v>
      </c>
      <c r="B390" s="20" t="str">
        <f>'Grad Raw Data'!K197</f>
        <v/>
      </c>
      <c r="C390" s="20" t="str">
        <f>'Grad Raw Data'!H196</f>
        <v>Ravens</v>
      </c>
      <c r="D390" s="20" cm="1">
        <f t="array" aca="1" ref="D390" ca="1">IF(I390="","",INDIRECT("'Grad Raw Data'!G"&amp;I390))</f>
        <v>0</v>
      </c>
      <c r="E390" s="44" t="str">
        <f>'Grad Raw Data'!D196</f>
        <v>LEFT</v>
      </c>
      <c r="F390" s="44">
        <f>'Grad Raw Data'!E196</f>
        <v>8</v>
      </c>
      <c r="H390">
        <v>390</v>
      </c>
      <c r="I390">
        <f t="shared" si="6"/>
        <v>196</v>
      </c>
    </row>
    <row r="391" spans="1:9" ht="24.95" customHeight="1" x14ac:dyDescent="0.25">
      <c r="A391" s="16">
        <f>'Grad Raw Data'!L196</f>
        <v>0</v>
      </c>
      <c r="B391" s="20"/>
      <c r="C391" s="20"/>
      <c r="D391" s="20" t="str" cm="1">
        <f t="array" aca="1" ref="D391" ca="1">IF(I391="","",INDIRECT("'Grad Raw Data'!G"&amp;I391))</f>
        <v/>
      </c>
      <c r="H391">
        <v>391</v>
      </c>
      <c r="I391" t="str">
        <f t="shared" si="6"/>
        <v/>
      </c>
    </row>
    <row r="392" spans="1:9" ht="24.95" customHeight="1" x14ac:dyDescent="0.25">
      <c r="A392" s="20" t="str">
        <f>'Grad Raw Data'!I197</f>
        <v>Lucas</v>
      </c>
      <c r="B392" s="20" t="str">
        <f>'Grad Raw Data'!K198</f>
        <v/>
      </c>
      <c r="C392" s="20" t="str">
        <f>'Grad Raw Data'!H197</f>
        <v>Reis</v>
      </c>
      <c r="D392" s="20" cm="1">
        <f t="array" aca="1" ref="D392" ca="1">IF(I392="","",INDIRECT("'Grad Raw Data'!G"&amp;I392))</f>
        <v>0</v>
      </c>
      <c r="E392" s="44" t="str">
        <f>'Grad Raw Data'!D197</f>
        <v>LEFT</v>
      </c>
      <c r="F392" s="44">
        <f>'Grad Raw Data'!E197</f>
        <v>8</v>
      </c>
      <c r="H392">
        <v>392</v>
      </c>
      <c r="I392">
        <f t="shared" si="6"/>
        <v>197</v>
      </c>
    </row>
    <row r="393" spans="1:9" ht="24.95" customHeight="1" x14ac:dyDescent="0.25">
      <c r="A393" s="16">
        <f>'Grad Raw Data'!L197</f>
        <v>0</v>
      </c>
      <c r="B393" s="20"/>
      <c r="C393" s="20"/>
      <c r="D393" s="20" t="str" cm="1">
        <f t="array" aca="1" ref="D393" ca="1">IF(I393="","",INDIRECT("'Grad Raw Data'!G"&amp;I393))</f>
        <v/>
      </c>
      <c r="H393">
        <v>393</v>
      </c>
      <c r="I393" t="str">
        <f t="shared" si="6"/>
        <v/>
      </c>
    </row>
    <row r="394" spans="1:9" ht="24.95" customHeight="1" x14ac:dyDescent="0.25">
      <c r="A394" s="20" t="str">
        <f>'Grad Raw Data'!I198</f>
        <v>Olivia</v>
      </c>
      <c r="B394" s="20" t="str">
        <f>'Grad Raw Data'!K199</f>
        <v/>
      </c>
      <c r="C394" s="20" t="str">
        <f>'Grad Raw Data'!H198</f>
        <v>Renda</v>
      </c>
      <c r="D394" s="20" cm="1">
        <f t="array" aca="1" ref="D394" ca="1">IF(I394="","",INDIRECT("'Grad Raw Data'!G"&amp;I394))</f>
        <v>0</v>
      </c>
      <c r="E394" s="44" t="str">
        <f>'Grad Raw Data'!D198</f>
        <v>LEFT</v>
      </c>
      <c r="F394" s="44">
        <f>'Grad Raw Data'!E198</f>
        <v>8</v>
      </c>
      <c r="H394">
        <v>394</v>
      </c>
      <c r="I394">
        <f t="shared" si="6"/>
        <v>198</v>
      </c>
    </row>
    <row r="395" spans="1:9" ht="24.95" customHeight="1" x14ac:dyDescent="0.25">
      <c r="A395" s="16">
        <f>'Grad Raw Data'!L198</f>
        <v>0</v>
      </c>
      <c r="B395" s="20"/>
      <c r="C395" s="20"/>
      <c r="D395" s="20" t="str" cm="1">
        <f t="array" aca="1" ref="D395" ca="1">IF(I395="","",INDIRECT("'Grad Raw Data'!G"&amp;I395))</f>
        <v/>
      </c>
      <c r="H395">
        <v>395</v>
      </c>
      <c r="I395" t="str">
        <f t="shared" si="6"/>
        <v/>
      </c>
    </row>
    <row r="396" spans="1:9" ht="24.95" customHeight="1" x14ac:dyDescent="0.25">
      <c r="A396" s="20" t="str">
        <f>'Grad Raw Data'!I199</f>
        <v>Jessica</v>
      </c>
      <c r="B396" s="20" t="str">
        <f>'Grad Raw Data'!K200</f>
        <v/>
      </c>
      <c r="C396" s="20" t="str">
        <f>'Grad Raw Data'!H199</f>
        <v>Richter</v>
      </c>
      <c r="D396" s="20" cm="1">
        <f t="array" aca="1" ref="D396" ca="1">IF(I396="","",INDIRECT("'Grad Raw Data'!G"&amp;I396))</f>
        <v>0</v>
      </c>
      <c r="E396" s="44" t="str">
        <f>'Grad Raw Data'!D199</f>
        <v>RIGHT</v>
      </c>
      <c r="F396" s="44">
        <f>'Grad Raw Data'!E199</f>
        <v>9</v>
      </c>
      <c r="H396">
        <v>396</v>
      </c>
      <c r="I396">
        <f t="shared" si="6"/>
        <v>199</v>
      </c>
    </row>
    <row r="397" spans="1:9" ht="24.95" customHeight="1" x14ac:dyDescent="0.25">
      <c r="A397" s="16" t="str">
        <f>'Grad Raw Data'!L199</f>
        <v>Rick-ter or /ˈrɪktər/</v>
      </c>
      <c r="B397" s="20"/>
      <c r="C397" s="20"/>
      <c r="D397" s="20" t="str" cm="1">
        <f t="array" aca="1" ref="D397" ca="1">IF(I397="","",INDIRECT("'Grad Raw Data'!G"&amp;I397))</f>
        <v/>
      </c>
      <c r="H397">
        <v>397</v>
      </c>
      <c r="I397" t="str">
        <f t="shared" si="6"/>
        <v/>
      </c>
    </row>
    <row r="398" spans="1:9" ht="24.95" customHeight="1" x14ac:dyDescent="0.25">
      <c r="A398" s="20" t="str">
        <f>'Grad Raw Data'!I200</f>
        <v>Charlotte</v>
      </c>
      <c r="B398" s="20" t="str">
        <f>'Grad Raw Data'!K201</f>
        <v/>
      </c>
      <c r="C398" s="20" t="str">
        <f>'Grad Raw Data'!H200</f>
        <v>Robichaud</v>
      </c>
      <c r="D398" s="20" cm="1">
        <f t="array" aca="1" ref="D398" ca="1">IF(I398="","",INDIRECT("'Grad Raw Data'!G"&amp;I398))</f>
        <v>0</v>
      </c>
      <c r="E398" s="44" t="str">
        <f>'Grad Raw Data'!D200</f>
        <v>RIGHT</v>
      </c>
      <c r="F398" s="44">
        <f>'Grad Raw Data'!E200</f>
        <v>9</v>
      </c>
      <c r="H398">
        <v>398</v>
      </c>
      <c r="I398">
        <f t="shared" si="6"/>
        <v>200</v>
      </c>
    </row>
    <row r="399" spans="1:9" ht="24.95" customHeight="1" x14ac:dyDescent="0.25">
      <c r="A399" s="16" t="str">
        <f>'Grad Raw Data'!L200</f>
        <v>Shar-lit Row-bih-shawd</v>
      </c>
      <c r="B399" s="20"/>
      <c r="C399" s="20"/>
      <c r="D399" s="20" t="str" cm="1">
        <f t="array" aca="1" ref="D399" ca="1">IF(I399="","",INDIRECT("'Grad Raw Data'!G"&amp;I399))</f>
        <v/>
      </c>
      <c r="H399">
        <v>399</v>
      </c>
      <c r="I399" t="str">
        <f t="shared" si="6"/>
        <v/>
      </c>
    </row>
    <row r="400" spans="1:9" ht="24.95" customHeight="1" x14ac:dyDescent="0.25">
      <c r="A400" s="20" t="str">
        <f>'Grad Raw Data'!I201</f>
        <v>Derek</v>
      </c>
      <c r="B400" s="20" t="str">
        <f>'Grad Raw Data'!K202</f>
        <v/>
      </c>
      <c r="C400" s="20" t="str">
        <f>'Grad Raw Data'!H201</f>
        <v>Robillard</v>
      </c>
      <c r="D400" s="20" cm="1">
        <f t="array" aca="1" ref="D400" ca="1">IF(I400="","",INDIRECT("'Grad Raw Data'!G"&amp;I400))</f>
        <v>0</v>
      </c>
      <c r="E400" s="44" t="str">
        <f>'Grad Raw Data'!D201</f>
        <v>RIGHT</v>
      </c>
      <c r="F400" s="44">
        <f>'Grad Raw Data'!E201</f>
        <v>9</v>
      </c>
      <c r="H400">
        <v>400</v>
      </c>
      <c r="I400">
        <f t="shared" si="6"/>
        <v>201</v>
      </c>
    </row>
    <row r="401" spans="1:9" ht="24.95" customHeight="1" x14ac:dyDescent="0.25">
      <c r="A401" s="16">
        <f>'Grad Raw Data'!L201</f>
        <v>0</v>
      </c>
      <c r="B401" s="20"/>
      <c r="C401" s="20"/>
      <c r="D401" s="20" t="str" cm="1">
        <f t="array" aca="1" ref="D401" ca="1">IF(I401="","",INDIRECT("'Grad Raw Data'!G"&amp;I401))</f>
        <v/>
      </c>
      <c r="H401">
        <v>401</v>
      </c>
      <c r="I401" t="str">
        <f t="shared" si="6"/>
        <v/>
      </c>
    </row>
    <row r="402" spans="1:9" ht="24.95" customHeight="1" x14ac:dyDescent="0.25">
      <c r="A402" s="20" t="str">
        <f>'Grad Raw Data'!I202</f>
        <v>Isaac</v>
      </c>
      <c r="B402" s="20" t="str">
        <f>'Grad Raw Data'!K203</f>
        <v/>
      </c>
      <c r="C402" s="20" t="str">
        <f>'Grad Raw Data'!H202</f>
        <v>Robinson</v>
      </c>
      <c r="D402" s="20" cm="1">
        <f t="array" aca="1" ref="D402" ca="1">IF(I402="","",INDIRECT("'Grad Raw Data'!G"&amp;I402))</f>
        <v>0</v>
      </c>
      <c r="E402" s="44" t="str">
        <f>'Grad Raw Data'!D202</f>
        <v>RIGHT</v>
      </c>
      <c r="F402" s="44">
        <f>'Grad Raw Data'!E202</f>
        <v>9</v>
      </c>
      <c r="H402">
        <v>402</v>
      </c>
      <c r="I402">
        <f t="shared" si="6"/>
        <v>202</v>
      </c>
    </row>
    <row r="403" spans="1:9" ht="24.95" customHeight="1" x14ac:dyDescent="0.25">
      <c r="A403" s="16">
        <f>'Grad Raw Data'!L202</f>
        <v>0</v>
      </c>
      <c r="B403" s="20"/>
      <c r="C403" s="20"/>
      <c r="D403" s="20" t="str" cm="1">
        <f t="array" aca="1" ref="D403" ca="1">IF(I403="","",INDIRECT("'Grad Raw Data'!G"&amp;I403))</f>
        <v/>
      </c>
      <c r="H403">
        <v>403</v>
      </c>
      <c r="I403" t="str">
        <f t="shared" si="6"/>
        <v/>
      </c>
    </row>
    <row r="404" spans="1:9" ht="24.95" customHeight="1" x14ac:dyDescent="0.25">
      <c r="A404" s="20" t="str">
        <f>'Grad Raw Data'!I203</f>
        <v>Teresa</v>
      </c>
      <c r="B404" s="20" t="str">
        <f>'Grad Raw Data'!K204</f>
        <v/>
      </c>
      <c r="C404" s="20" t="str">
        <f>'Grad Raw Data'!H203</f>
        <v>Rock</v>
      </c>
      <c r="D404" s="20" cm="1">
        <f t="array" aca="1" ref="D404" ca="1">IF(I404="","",INDIRECT("'Grad Raw Data'!G"&amp;I404))</f>
        <v>0</v>
      </c>
      <c r="E404" s="44" t="str">
        <f>'Grad Raw Data'!D203</f>
        <v>RIGHT</v>
      </c>
      <c r="F404" s="44">
        <f>'Grad Raw Data'!E203</f>
        <v>9</v>
      </c>
      <c r="H404">
        <v>404</v>
      </c>
      <c r="I404">
        <f t="shared" si="6"/>
        <v>203</v>
      </c>
    </row>
    <row r="405" spans="1:9" ht="24.95" customHeight="1" x14ac:dyDescent="0.25">
      <c r="A405" s="16">
        <f>'Grad Raw Data'!L203</f>
        <v>0</v>
      </c>
      <c r="B405" s="20"/>
      <c r="C405" s="20"/>
      <c r="D405" s="20" t="str" cm="1">
        <f t="array" aca="1" ref="D405" ca="1">IF(I405="","",INDIRECT("'Grad Raw Data'!G"&amp;I405))</f>
        <v/>
      </c>
      <c r="H405">
        <v>405</v>
      </c>
      <c r="I405" t="str">
        <f t="shared" si="6"/>
        <v/>
      </c>
    </row>
    <row r="406" spans="1:9" ht="24.95" customHeight="1" x14ac:dyDescent="0.25">
      <c r="A406" s="20" t="str">
        <f>'Grad Raw Data'!I204</f>
        <v>James</v>
      </c>
      <c r="B406" s="20" t="str">
        <f>'Grad Raw Data'!K205</f>
        <v/>
      </c>
      <c r="C406" s="20" t="str">
        <f>'Grad Raw Data'!H204</f>
        <v>Rodrigues</v>
      </c>
      <c r="D406" s="20" cm="1">
        <f t="array" aca="1" ref="D406" ca="1">IF(I406="","",INDIRECT("'Grad Raw Data'!G"&amp;I406))</f>
        <v>0</v>
      </c>
      <c r="E406" s="44" t="str">
        <f>'Grad Raw Data'!D204</f>
        <v>RIGHT</v>
      </c>
      <c r="F406" s="44">
        <f>'Grad Raw Data'!E204</f>
        <v>9</v>
      </c>
      <c r="H406">
        <v>406</v>
      </c>
      <c r="I406">
        <f t="shared" si="6"/>
        <v>204</v>
      </c>
    </row>
    <row r="407" spans="1:9" ht="24.95" customHeight="1" x14ac:dyDescent="0.25">
      <c r="A407" s="16">
        <f>'Grad Raw Data'!L204</f>
        <v>0</v>
      </c>
      <c r="B407" s="20"/>
      <c r="C407" s="20"/>
      <c r="D407" s="20" t="str" cm="1">
        <f t="array" aca="1" ref="D407" ca="1">IF(I407="","",INDIRECT("'Grad Raw Data'!G"&amp;I407))</f>
        <v/>
      </c>
      <c r="H407">
        <v>407</v>
      </c>
      <c r="I407" t="str">
        <f t="shared" si="6"/>
        <v/>
      </c>
    </row>
    <row r="408" spans="1:9" ht="24.95" customHeight="1" x14ac:dyDescent="0.25">
      <c r="A408" s="20" t="str">
        <f>'Grad Raw Data'!I205</f>
        <v>Luke</v>
      </c>
      <c r="B408" s="20" t="str">
        <f>'Grad Raw Data'!K206</f>
        <v/>
      </c>
      <c r="C408" s="20" t="str">
        <f>'Grad Raw Data'!H205</f>
        <v>Rogerson</v>
      </c>
      <c r="D408" s="20" cm="1">
        <f t="array" aca="1" ref="D408" ca="1">IF(I408="","",INDIRECT("'Grad Raw Data'!G"&amp;I408))</f>
        <v>0</v>
      </c>
      <c r="E408" s="44" t="str">
        <f>'Grad Raw Data'!D205</f>
        <v>RIGHT</v>
      </c>
      <c r="F408" s="44">
        <f>'Grad Raw Data'!E205</f>
        <v>9</v>
      </c>
      <c r="H408">
        <v>408</v>
      </c>
      <c r="I408">
        <f t="shared" si="6"/>
        <v>205</v>
      </c>
    </row>
    <row r="409" spans="1:9" ht="24.95" customHeight="1" x14ac:dyDescent="0.25">
      <c r="A409" s="16">
        <f>'Grad Raw Data'!L205</f>
        <v>0</v>
      </c>
      <c r="B409" s="20"/>
      <c r="C409" s="20"/>
      <c r="D409" s="20" t="str" cm="1">
        <f t="array" aca="1" ref="D409" ca="1">IF(I409="","",INDIRECT("'Grad Raw Data'!G"&amp;I409))</f>
        <v/>
      </c>
      <c r="H409">
        <v>409</v>
      </c>
      <c r="I409" t="str">
        <f t="shared" si="6"/>
        <v/>
      </c>
    </row>
    <row r="410" spans="1:9" ht="24.95" customHeight="1" x14ac:dyDescent="0.25">
      <c r="A410" s="20" t="str">
        <f>'Grad Raw Data'!I206</f>
        <v>Javian</v>
      </c>
      <c r="B410" s="20" t="str">
        <f>'Grad Raw Data'!K207</f>
        <v/>
      </c>
      <c r="C410" s="20" t="str">
        <f>'Grad Raw Data'!H206</f>
        <v>Rojas</v>
      </c>
      <c r="D410" s="20" cm="1">
        <f t="array" aca="1" ref="D410" ca="1">IF(I410="","",INDIRECT("'Grad Raw Data'!G"&amp;I410))</f>
        <v>0</v>
      </c>
      <c r="E410" s="44" t="str">
        <f>'Grad Raw Data'!D206</f>
        <v>RIGHT</v>
      </c>
      <c r="F410" s="44">
        <f>'Grad Raw Data'!E206</f>
        <v>9</v>
      </c>
      <c r="H410">
        <v>410</v>
      </c>
      <c r="I410">
        <f t="shared" si="6"/>
        <v>206</v>
      </c>
    </row>
    <row r="411" spans="1:9" ht="24.95" customHeight="1" x14ac:dyDescent="0.25">
      <c r="A411" s="16" t="str">
        <f>'Grad Raw Data'!L206</f>
        <v>Jay-vi-en Ro-haws</v>
      </c>
      <c r="B411" s="20"/>
      <c r="C411" s="20"/>
      <c r="D411" s="20" t="str" cm="1">
        <f t="array" aca="1" ref="D411" ca="1">IF(I411="","",INDIRECT("'Grad Raw Data'!G"&amp;I411))</f>
        <v/>
      </c>
      <c r="H411">
        <v>411</v>
      </c>
      <c r="I411" t="str">
        <f t="shared" si="6"/>
        <v/>
      </c>
    </row>
    <row r="412" spans="1:9" ht="24.95" customHeight="1" x14ac:dyDescent="0.25">
      <c r="A412" s="20" t="str">
        <f>'Grad Raw Data'!I207</f>
        <v>Ellie</v>
      </c>
      <c r="B412" s="20" t="str">
        <f>'Grad Raw Data'!K208</f>
        <v/>
      </c>
      <c r="C412" s="20" t="str">
        <f>'Grad Raw Data'!H207</f>
        <v>Russo</v>
      </c>
      <c r="D412" s="20" cm="1">
        <f t="array" aca="1" ref="D412" ca="1">IF(I412="","",INDIRECT("'Grad Raw Data'!G"&amp;I412))</f>
        <v>0</v>
      </c>
      <c r="E412" s="44" t="str">
        <f>'Grad Raw Data'!D207</f>
        <v>RIGHT</v>
      </c>
      <c r="F412" s="44">
        <f>'Grad Raw Data'!E207</f>
        <v>9</v>
      </c>
      <c r="H412">
        <v>412</v>
      </c>
      <c r="I412">
        <f t="shared" si="6"/>
        <v>207</v>
      </c>
    </row>
    <row r="413" spans="1:9" ht="24.95" customHeight="1" x14ac:dyDescent="0.25">
      <c r="A413" s="16">
        <f>'Grad Raw Data'!L207</f>
        <v>0</v>
      </c>
      <c r="B413" s="20"/>
      <c r="C413" s="20"/>
      <c r="D413" s="20" t="str" cm="1">
        <f t="array" aca="1" ref="D413" ca="1">IF(I413="","",INDIRECT("'Grad Raw Data'!G"&amp;I413))</f>
        <v/>
      </c>
      <c r="H413">
        <v>413</v>
      </c>
      <c r="I413" t="str">
        <f t="shared" si="6"/>
        <v/>
      </c>
    </row>
    <row r="414" spans="1:9" ht="24.95" customHeight="1" x14ac:dyDescent="0.25">
      <c r="A414" s="20" t="str">
        <f>'Grad Raw Data'!I208</f>
        <v>Rejon</v>
      </c>
      <c r="B414" s="20" t="str">
        <f>'Grad Raw Data'!K209</f>
        <v/>
      </c>
      <c r="C414" s="20" t="str">
        <f>'Grad Raw Data'!H208</f>
        <v>Ryland</v>
      </c>
      <c r="D414" s="20" cm="1">
        <f t="array" aca="1" ref="D414" ca="1">IF(I414="","",INDIRECT("'Grad Raw Data'!G"&amp;I414))</f>
        <v>0</v>
      </c>
      <c r="E414" s="44" t="str">
        <f>'Grad Raw Data'!D208</f>
        <v>RIGHT</v>
      </c>
      <c r="F414" s="44">
        <f>'Grad Raw Data'!E208</f>
        <v>9</v>
      </c>
      <c r="H414">
        <v>414</v>
      </c>
      <c r="I414">
        <f t="shared" si="6"/>
        <v>208</v>
      </c>
    </row>
    <row r="415" spans="1:9" ht="24.95" customHeight="1" x14ac:dyDescent="0.25">
      <c r="A415" s="16" t="str">
        <f>'Grad Raw Data'!L208</f>
        <v>ray-john  R-eye-land</v>
      </c>
      <c r="B415" s="20"/>
      <c r="C415" s="20"/>
      <c r="D415" s="20" t="str" cm="1">
        <f t="array" aca="1" ref="D415" ca="1">IF(I415="","",INDIRECT("'Grad Raw Data'!G"&amp;I415))</f>
        <v/>
      </c>
      <c r="H415">
        <v>415</v>
      </c>
      <c r="I415" t="str">
        <f t="shared" si="6"/>
        <v/>
      </c>
    </row>
    <row r="416" spans="1:9" ht="24.95" customHeight="1" x14ac:dyDescent="0.25">
      <c r="A416" s="20" t="str">
        <f>'Grad Raw Data'!I209</f>
        <v>Lorenzo</v>
      </c>
      <c r="B416" s="20" t="str">
        <f>'Grad Raw Data'!K210</f>
        <v/>
      </c>
      <c r="C416" s="20" t="str">
        <f>'Grad Raw Data'!H209</f>
        <v>Sardinha</v>
      </c>
      <c r="D416" s="20" cm="1">
        <f t="array" aca="1" ref="D416" ca="1">IF(I416="","",INDIRECT("'Grad Raw Data'!G"&amp;I416))</f>
        <v>0</v>
      </c>
      <c r="E416" s="44" t="str">
        <f>'Grad Raw Data'!D209</f>
        <v>RIGHT</v>
      </c>
      <c r="F416" s="44">
        <f>'Grad Raw Data'!E209</f>
        <v>9</v>
      </c>
      <c r="H416">
        <v>416</v>
      </c>
      <c r="I416">
        <f t="shared" si="6"/>
        <v>209</v>
      </c>
    </row>
    <row r="417" spans="1:9" ht="24.95" customHeight="1" x14ac:dyDescent="0.25">
      <c r="A417" s="16" t="str">
        <f>'Grad Raw Data'!L209</f>
        <v>loh-REN-zoh sar-DEEN-yah (the nh sounds like “ny”)</v>
      </c>
      <c r="B417" s="20"/>
      <c r="C417" s="20"/>
      <c r="D417" s="20" t="str" cm="1">
        <f t="array" aca="1" ref="D417" ca="1">IF(I417="","",INDIRECT("'Grad Raw Data'!G"&amp;I417))</f>
        <v/>
      </c>
      <c r="H417">
        <v>417</v>
      </c>
      <c r="I417" t="str">
        <f t="shared" si="6"/>
        <v/>
      </c>
    </row>
    <row r="418" spans="1:9" ht="24.95" customHeight="1" x14ac:dyDescent="0.25">
      <c r="A418" s="20" t="str">
        <f>'Grad Raw Data'!I210</f>
        <v>Noah</v>
      </c>
      <c r="B418" s="20" t="str">
        <f>'Grad Raw Data'!K211</f>
        <v/>
      </c>
      <c r="C418" s="20" t="str">
        <f>'Grad Raw Data'!H210</f>
        <v>Sarre</v>
      </c>
      <c r="D418" s="20" cm="1">
        <f t="array" aca="1" ref="D418" ca="1">IF(I418="","",INDIRECT("'Grad Raw Data'!G"&amp;I418))</f>
        <v>0</v>
      </c>
      <c r="E418" s="44" t="str">
        <f>'Grad Raw Data'!D210</f>
        <v>RIGHT</v>
      </c>
      <c r="F418" s="44">
        <f>'Grad Raw Data'!E210</f>
        <v>9</v>
      </c>
      <c r="H418">
        <v>418</v>
      </c>
      <c r="I418">
        <f t="shared" si="6"/>
        <v>210</v>
      </c>
    </row>
    <row r="419" spans="1:9" ht="24.95" customHeight="1" x14ac:dyDescent="0.25">
      <c r="A419" s="16" t="str">
        <f>'Grad Raw Data'!L210</f>
        <v>Sarre (rhymes with car)</v>
      </c>
      <c r="B419" s="20"/>
      <c r="C419" s="20"/>
      <c r="D419" s="20" t="str" cm="1">
        <f t="array" aca="1" ref="D419" ca="1">IF(I419="","",INDIRECT("'Grad Raw Data'!G"&amp;I419))</f>
        <v/>
      </c>
      <c r="H419">
        <v>419</v>
      </c>
      <c r="I419" t="str">
        <f t="shared" si="6"/>
        <v/>
      </c>
    </row>
    <row r="420" spans="1:9" ht="24.95" customHeight="1" x14ac:dyDescent="0.25">
      <c r="A420" s="20" t="str">
        <f>'Grad Raw Data'!I211</f>
        <v>Katherine</v>
      </c>
      <c r="B420" s="20" t="str">
        <f>'Grad Raw Data'!K212</f>
        <v/>
      </c>
      <c r="C420" s="20" t="str">
        <f>'Grad Raw Data'!H211</f>
        <v>Savio</v>
      </c>
      <c r="D420" s="20" cm="1">
        <f t="array" aca="1" ref="D420" ca="1">IF(I420="","",INDIRECT("'Grad Raw Data'!G"&amp;I420))</f>
        <v>0</v>
      </c>
      <c r="E420" s="44" t="str">
        <f>'Grad Raw Data'!D211</f>
        <v>LEFT</v>
      </c>
      <c r="F420" s="44">
        <f>'Grad Raw Data'!E211</f>
        <v>9</v>
      </c>
      <c r="H420">
        <v>420</v>
      </c>
      <c r="I420">
        <f t="shared" si="6"/>
        <v>211</v>
      </c>
    </row>
    <row r="421" spans="1:9" ht="24.95" customHeight="1" x14ac:dyDescent="0.25">
      <c r="A421" s="16">
        <f>'Grad Raw Data'!L211</f>
        <v>0</v>
      </c>
      <c r="B421" s="20"/>
      <c r="C421" s="20"/>
      <c r="D421" s="20" t="str" cm="1">
        <f t="array" aca="1" ref="D421" ca="1">IF(I421="","",INDIRECT("'Grad Raw Data'!G"&amp;I421))</f>
        <v/>
      </c>
      <c r="H421">
        <v>421</v>
      </c>
      <c r="I421" t="str">
        <f t="shared" si="6"/>
        <v/>
      </c>
    </row>
    <row r="422" spans="1:9" ht="24.95" customHeight="1" x14ac:dyDescent="0.25">
      <c r="A422" s="20" t="str">
        <f>'Grad Raw Data'!I212</f>
        <v>Megan</v>
      </c>
      <c r="B422" s="20" t="str">
        <f>'Grad Raw Data'!K213</f>
        <v/>
      </c>
      <c r="C422" s="20" t="str">
        <f>'Grad Raw Data'!H212</f>
        <v>Scales</v>
      </c>
      <c r="D422" s="20" cm="1">
        <f t="array" aca="1" ref="D422" ca="1">IF(I422="","",INDIRECT("'Grad Raw Data'!G"&amp;I422))</f>
        <v>0</v>
      </c>
      <c r="E422" s="44" t="str">
        <f>'Grad Raw Data'!D212</f>
        <v>LEFT</v>
      </c>
      <c r="F422" s="44">
        <f>'Grad Raw Data'!E212</f>
        <v>9</v>
      </c>
      <c r="H422">
        <v>422</v>
      </c>
      <c r="I422">
        <f t="shared" si="6"/>
        <v>212</v>
      </c>
    </row>
    <row r="423" spans="1:9" ht="24.95" customHeight="1" x14ac:dyDescent="0.25">
      <c r="A423" s="16">
        <f>'Grad Raw Data'!L212</f>
        <v>0</v>
      </c>
      <c r="B423" s="20"/>
      <c r="C423" s="20"/>
      <c r="D423" s="20" t="str" cm="1">
        <f t="array" aca="1" ref="D423" ca="1">IF(I423="","",INDIRECT("'Grad Raw Data'!G"&amp;I423))</f>
        <v/>
      </c>
      <c r="H423">
        <v>423</v>
      </c>
      <c r="I423" t="str">
        <f t="shared" si="6"/>
        <v/>
      </c>
    </row>
    <row r="424" spans="1:9" ht="24.95" customHeight="1" x14ac:dyDescent="0.25">
      <c r="A424" s="20" t="str">
        <f>'Grad Raw Data'!I213</f>
        <v>Sophie</v>
      </c>
      <c r="B424" s="20" t="str">
        <f>'Grad Raw Data'!K214</f>
        <v/>
      </c>
      <c r="C424" s="20" t="str">
        <f>'Grad Raw Data'!H213</f>
        <v>Schrager</v>
      </c>
      <c r="D424" s="20" cm="1">
        <f t="array" aca="1" ref="D424" ca="1">IF(I424="","",INDIRECT("'Grad Raw Data'!G"&amp;I424))</f>
        <v>0</v>
      </c>
      <c r="E424" s="44" t="str">
        <f>'Grad Raw Data'!D213</f>
        <v>LEFT</v>
      </c>
      <c r="F424" s="44">
        <f>'Grad Raw Data'!E213</f>
        <v>9</v>
      </c>
      <c r="H424">
        <v>424</v>
      </c>
      <c r="I424">
        <f t="shared" si="6"/>
        <v>213</v>
      </c>
    </row>
    <row r="425" spans="1:9" ht="24.95" customHeight="1" x14ac:dyDescent="0.25">
      <c r="A425" s="16" t="str">
        <f>'Grad Raw Data'!L213</f>
        <v>Soh-fee Shray-ger</v>
      </c>
      <c r="B425" s="20"/>
      <c r="C425" s="20"/>
      <c r="D425" s="20" t="str" cm="1">
        <f t="array" aca="1" ref="D425" ca="1">IF(I425="","",INDIRECT("'Grad Raw Data'!G"&amp;I425))</f>
        <v/>
      </c>
      <c r="H425">
        <v>425</v>
      </c>
      <c r="I425" t="str">
        <f t="shared" si="6"/>
        <v/>
      </c>
    </row>
    <row r="426" spans="1:9" ht="24.95" customHeight="1" x14ac:dyDescent="0.25">
      <c r="A426" s="20" t="str">
        <f>'Grad Raw Data'!I214</f>
        <v>Rylie</v>
      </c>
      <c r="B426" s="20" t="str">
        <f>'Grad Raw Data'!K215</f>
        <v/>
      </c>
      <c r="C426" s="20" t="str">
        <f>'Grad Raw Data'!H214</f>
        <v>Schultz</v>
      </c>
      <c r="D426" s="20" cm="1">
        <f t="array" aca="1" ref="D426" ca="1">IF(I426="","",INDIRECT("'Grad Raw Data'!G"&amp;I426))</f>
        <v>0</v>
      </c>
      <c r="E426" s="44" t="str">
        <f>'Grad Raw Data'!D214</f>
        <v>LEFT</v>
      </c>
      <c r="F426" s="44">
        <f>'Grad Raw Data'!E214</f>
        <v>9</v>
      </c>
      <c r="H426">
        <v>426</v>
      </c>
      <c r="I426">
        <f t="shared" si="6"/>
        <v>214</v>
      </c>
    </row>
    <row r="427" spans="1:9" ht="24.95" customHeight="1" x14ac:dyDescent="0.25">
      <c r="A427" s="16">
        <f>'Grad Raw Data'!L215</f>
        <v>0</v>
      </c>
      <c r="B427" s="20"/>
      <c r="C427" s="20"/>
      <c r="D427" s="20" t="str" cm="1">
        <f t="array" aca="1" ref="D427" ca="1">IF(I427="","",INDIRECT("'Grad Raw Data'!G"&amp;I427))</f>
        <v/>
      </c>
      <c r="H427">
        <v>427</v>
      </c>
      <c r="I427" t="str">
        <f t="shared" si="6"/>
        <v/>
      </c>
    </row>
    <row r="428" spans="1:9" ht="24.95" customHeight="1" x14ac:dyDescent="0.25">
      <c r="A428" s="20" t="str">
        <f>'Grad Raw Data'!I215</f>
        <v>Madeline</v>
      </c>
      <c r="B428" s="20" t="str">
        <f>'Grad Raw Data'!K216</f>
        <v/>
      </c>
      <c r="C428" s="20" t="str">
        <f>'Grad Raw Data'!H215</f>
        <v>Scully</v>
      </c>
      <c r="D428" s="20" cm="1">
        <f t="array" aca="1" ref="D428" ca="1">IF(I428="","",INDIRECT("'Grad Raw Data'!G"&amp;I428))</f>
        <v>0</v>
      </c>
      <c r="E428" s="44" t="str">
        <f>'Grad Raw Data'!D215</f>
        <v>LEFT</v>
      </c>
      <c r="F428" s="44">
        <f>'Grad Raw Data'!E215</f>
        <v>9</v>
      </c>
      <c r="H428">
        <v>428</v>
      </c>
      <c r="I428">
        <f t="shared" si="6"/>
        <v>215</v>
      </c>
    </row>
    <row r="429" spans="1:9" ht="24.95" customHeight="1" x14ac:dyDescent="0.25">
      <c r="A429" s="16">
        <f>'Grad Raw Data'!L215</f>
        <v>0</v>
      </c>
      <c r="B429" s="20"/>
      <c r="C429" s="20"/>
      <c r="D429" s="20" t="str" cm="1">
        <f t="array" aca="1" ref="D429" ca="1">IF(I429="","",INDIRECT("'Grad Raw Data'!G"&amp;I429))</f>
        <v/>
      </c>
      <c r="H429">
        <v>429</v>
      </c>
      <c r="I429" t="str">
        <f t="shared" si="6"/>
        <v/>
      </c>
    </row>
    <row r="430" spans="1:9" ht="24.95" customHeight="1" x14ac:dyDescent="0.25">
      <c r="A430" s="20" t="str">
        <f>'Grad Raw Data'!I216</f>
        <v>Sachi</v>
      </c>
      <c r="B430" s="20" t="str">
        <f>'Grad Raw Data'!K217</f>
        <v/>
      </c>
      <c r="C430" s="20" t="str">
        <f>'Grad Raw Data'!H216</f>
        <v>Selvakumar</v>
      </c>
      <c r="D430" s="20" cm="1">
        <f t="array" aca="1" ref="D430" ca="1">IF(I430="","",INDIRECT("'Grad Raw Data'!G"&amp;I430))</f>
        <v>0</v>
      </c>
      <c r="E430" s="44" t="str">
        <f>'Grad Raw Data'!D216</f>
        <v>LEFT</v>
      </c>
      <c r="F430" s="44">
        <f>'Grad Raw Data'!E216</f>
        <v>9</v>
      </c>
      <c r="H430">
        <v>430</v>
      </c>
      <c r="I430">
        <f t="shared" si="6"/>
        <v>216</v>
      </c>
    </row>
    <row r="431" spans="1:9" ht="24.95" customHeight="1" x14ac:dyDescent="0.25">
      <c r="A431" s="16" t="str">
        <f>'Grad Raw Data'!L216</f>
        <v>Sachi (Sa-Chee) Selvakumar (Selva-koomar)</v>
      </c>
      <c r="B431" s="20"/>
      <c r="C431" s="20"/>
      <c r="D431" s="20" t="str" cm="1">
        <f t="array" aca="1" ref="D431" ca="1">IF(I431="","",INDIRECT("'Grad Raw Data'!G"&amp;I431))</f>
        <v/>
      </c>
      <c r="H431">
        <v>431</v>
      </c>
      <c r="I431" t="str">
        <f t="shared" si="6"/>
        <v/>
      </c>
    </row>
    <row r="432" spans="1:9" ht="24.95" customHeight="1" x14ac:dyDescent="0.25">
      <c r="A432" s="20" t="str">
        <f>'Grad Raw Data'!I217</f>
        <v>Katie</v>
      </c>
      <c r="B432" s="20" t="str">
        <f>'Grad Raw Data'!K218</f>
        <v/>
      </c>
      <c r="C432" s="20" t="str">
        <f>'Grad Raw Data'!H217</f>
        <v>Severance</v>
      </c>
      <c r="D432" s="20" cm="1">
        <f t="array" aca="1" ref="D432" ca="1">IF(I432="","",INDIRECT("'Grad Raw Data'!G"&amp;I432))</f>
        <v>0</v>
      </c>
      <c r="E432" s="44" t="str">
        <f>'Grad Raw Data'!D217</f>
        <v>LEFT</v>
      </c>
      <c r="F432" s="44">
        <f>'Grad Raw Data'!E217</f>
        <v>9</v>
      </c>
      <c r="H432">
        <v>432</v>
      </c>
      <c r="I432">
        <f t="shared" si="6"/>
        <v>217</v>
      </c>
    </row>
    <row r="433" spans="1:9" ht="24.95" customHeight="1" x14ac:dyDescent="0.25">
      <c r="A433" s="16">
        <f>'Grad Raw Data'!L217</f>
        <v>0</v>
      </c>
      <c r="B433" s="20"/>
      <c r="C433" s="20"/>
      <c r="D433" s="20" t="str" cm="1">
        <f t="array" aca="1" ref="D433" ca="1">IF(I433="","",INDIRECT("'Grad Raw Data'!G"&amp;I433))</f>
        <v/>
      </c>
      <c r="H433">
        <v>433</v>
      </c>
      <c r="I433" t="str">
        <f t="shared" si="6"/>
        <v/>
      </c>
    </row>
    <row r="434" spans="1:9" ht="24.95" customHeight="1" x14ac:dyDescent="0.25">
      <c r="A434" s="20" t="str">
        <f>'Grad Raw Data'!I218</f>
        <v>Annabelle</v>
      </c>
      <c r="B434" s="20" t="str">
        <f>'Grad Raw Data'!K219</f>
        <v/>
      </c>
      <c r="C434" s="20" t="str">
        <f>'Grad Raw Data'!H218</f>
        <v>Shanley</v>
      </c>
      <c r="D434" s="20" cm="1">
        <f t="array" aca="1" ref="D434" ca="1">IF(I434="","",INDIRECT("'Grad Raw Data'!G"&amp;I434))</f>
        <v>0</v>
      </c>
      <c r="E434" s="44" t="str">
        <f>'Grad Raw Data'!D218</f>
        <v>LEFT</v>
      </c>
      <c r="F434" s="44">
        <f>'Grad Raw Data'!E218</f>
        <v>9</v>
      </c>
      <c r="H434">
        <v>434</v>
      </c>
      <c r="I434">
        <f t="shared" si="6"/>
        <v>218</v>
      </c>
    </row>
    <row r="435" spans="1:9" ht="24.95" customHeight="1" x14ac:dyDescent="0.25">
      <c r="A435" s="16">
        <f>'Grad Raw Data'!L218</f>
        <v>0</v>
      </c>
      <c r="B435" s="20"/>
      <c r="C435" s="20"/>
      <c r="D435" s="20" t="str" cm="1">
        <f t="array" aca="1" ref="D435" ca="1">IF(I435="","",INDIRECT("'Grad Raw Data'!G"&amp;I435))</f>
        <v/>
      </c>
      <c r="H435">
        <v>435</v>
      </c>
      <c r="I435" t="str">
        <f t="shared" si="6"/>
        <v/>
      </c>
    </row>
    <row r="436" spans="1:9" ht="24.95" customHeight="1" x14ac:dyDescent="0.25">
      <c r="A436" s="20" t="str">
        <f>'Grad Raw Data'!I219</f>
        <v>Emme</v>
      </c>
      <c r="B436" s="20" t="str">
        <f>'Grad Raw Data'!K220</f>
        <v/>
      </c>
      <c r="C436" s="20" t="str">
        <f>'Grad Raw Data'!H219</f>
        <v>Shediac</v>
      </c>
      <c r="D436" s="20" cm="1">
        <f t="array" aca="1" ref="D436" ca="1">IF(I436="","",INDIRECT("'Grad Raw Data'!G"&amp;I436))</f>
        <v>0</v>
      </c>
      <c r="E436" s="44" t="str">
        <f>'Grad Raw Data'!D219</f>
        <v>LEFT</v>
      </c>
      <c r="F436" s="44">
        <f>'Grad Raw Data'!E219</f>
        <v>9</v>
      </c>
      <c r="H436">
        <v>436</v>
      </c>
      <c r="I436">
        <f t="shared" si="6"/>
        <v>219</v>
      </c>
    </row>
    <row r="437" spans="1:9" ht="24.95" customHeight="1" x14ac:dyDescent="0.25">
      <c r="A437" s="16" t="str">
        <f>'Grad Raw Data'!L219</f>
        <v>Em-ee Shed-ee-ack</v>
      </c>
      <c r="B437" s="20"/>
      <c r="C437" s="20"/>
      <c r="D437" s="20" t="str" cm="1">
        <f t="array" aca="1" ref="D437" ca="1">IF(I437="","",INDIRECT("'Grad Raw Data'!G"&amp;I437))</f>
        <v/>
      </c>
      <c r="H437">
        <v>437</v>
      </c>
      <c r="I437" t="str">
        <f t="shared" si="6"/>
        <v/>
      </c>
    </row>
    <row r="438" spans="1:9" ht="24.95" customHeight="1" x14ac:dyDescent="0.25">
      <c r="A438" s="20" t="str">
        <f>'Grad Raw Data'!I220</f>
        <v>Allison</v>
      </c>
      <c r="B438" s="20" t="str">
        <f>'Grad Raw Data'!K221</f>
        <v>Claire</v>
      </c>
      <c r="C438" s="20" t="str">
        <f>'Grad Raw Data'!H220</f>
        <v>Shindelman</v>
      </c>
      <c r="D438" s="20" cm="1">
        <f t="array" aca="1" ref="D438" ca="1">IF(I438="","",INDIRECT("'Grad Raw Data'!G"&amp;I438))</f>
        <v>0</v>
      </c>
      <c r="E438" s="44" t="str">
        <f>'Grad Raw Data'!D220</f>
        <v>LEFT</v>
      </c>
      <c r="F438" s="44">
        <f>'Grad Raw Data'!E220</f>
        <v>9</v>
      </c>
      <c r="H438">
        <v>438</v>
      </c>
      <c r="I438">
        <f t="shared" si="6"/>
        <v>220</v>
      </c>
    </row>
    <row r="439" spans="1:9" ht="24.95" customHeight="1" x14ac:dyDescent="0.25">
      <c r="A439" s="16">
        <f>'Grad Raw Data'!L220</f>
        <v>0</v>
      </c>
      <c r="B439" s="20"/>
      <c r="C439" s="20"/>
      <c r="D439" s="20" t="str" cm="1">
        <f t="array" aca="1" ref="D439" ca="1">IF(I439="","",INDIRECT("'Grad Raw Data'!G"&amp;I439))</f>
        <v/>
      </c>
      <c r="H439">
        <v>439</v>
      </c>
      <c r="I439" t="str">
        <f t="shared" si="6"/>
        <v/>
      </c>
    </row>
    <row r="440" spans="1:9" ht="24.95" customHeight="1" x14ac:dyDescent="0.25">
      <c r="A440" s="20" t="str">
        <f>'Grad Raw Data'!I221</f>
        <v>John</v>
      </c>
      <c r="B440" s="20" t="str">
        <f>'Grad Raw Data'!K222</f>
        <v>Paul</v>
      </c>
      <c r="C440" s="20" t="str">
        <f>'Grad Raw Data'!H221</f>
        <v>Siciliano</v>
      </c>
      <c r="D440" s="20" cm="1">
        <f t="array" aca="1" ref="D440" ca="1">IF(I440="","",INDIRECT("'Grad Raw Data'!G"&amp;I440))</f>
        <v>0</v>
      </c>
      <c r="E440" s="44" t="str">
        <f>'Grad Raw Data'!D221</f>
        <v>LEFT</v>
      </c>
      <c r="F440" s="44">
        <f>'Grad Raw Data'!E221</f>
        <v>9</v>
      </c>
      <c r="H440">
        <v>440</v>
      </c>
      <c r="I440">
        <f t="shared" si="6"/>
        <v>221</v>
      </c>
    </row>
    <row r="441" spans="1:9" ht="24.95" customHeight="1" x14ac:dyDescent="0.25">
      <c r="A441" s="16" t="str">
        <f>'Grad Raw Data'!L221</f>
        <v xml:space="preserve">Sih silly ano </v>
      </c>
      <c r="B441" s="20"/>
      <c r="C441" s="20"/>
      <c r="D441" s="20" t="str" cm="1">
        <f t="array" aca="1" ref="D441" ca="1">IF(I441="","",INDIRECT("'Grad Raw Data'!G"&amp;I441))</f>
        <v/>
      </c>
      <c r="H441">
        <v>441</v>
      </c>
      <c r="I441" t="str">
        <f t="shared" si="6"/>
        <v/>
      </c>
    </row>
    <row r="442" spans="1:9" ht="24.95" customHeight="1" x14ac:dyDescent="0.25">
      <c r="A442" s="20" t="str">
        <f>'Grad Raw Data'!I222</f>
        <v>Owen</v>
      </c>
      <c r="B442" s="20" t="str">
        <f>'Grad Raw Data'!K223</f>
        <v/>
      </c>
      <c r="C442" s="20" t="str">
        <f>'Grad Raw Data'!H222</f>
        <v>Sinclair</v>
      </c>
      <c r="D442" s="20" cm="1">
        <f t="array" aca="1" ref="D442" ca="1">IF(I442="","",INDIRECT("'Grad Raw Data'!G"&amp;I442))</f>
        <v>0</v>
      </c>
      <c r="E442" s="44" t="str">
        <f>'Grad Raw Data'!D222</f>
        <v>LEFT</v>
      </c>
      <c r="F442" s="44">
        <f>'Grad Raw Data'!E222</f>
        <v>9</v>
      </c>
      <c r="H442">
        <v>442</v>
      </c>
      <c r="I442">
        <f t="shared" si="6"/>
        <v>222</v>
      </c>
    </row>
    <row r="443" spans="1:9" ht="24.95" customHeight="1" x14ac:dyDescent="0.25">
      <c r="A443" s="16">
        <f>'Grad Raw Data'!L222</f>
        <v>0</v>
      </c>
      <c r="B443" s="20"/>
      <c r="C443" s="20"/>
      <c r="D443" s="20" t="str" cm="1">
        <f t="array" aca="1" ref="D443" ca="1">IF(I443="","",INDIRECT("'Grad Raw Data'!G"&amp;I443))</f>
        <v/>
      </c>
      <c r="H443">
        <v>443</v>
      </c>
      <c r="I443" t="str">
        <f t="shared" si="6"/>
        <v/>
      </c>
    </row>
    <row r="444" spans="1:9" ht="24.95" customHeight="1" x14ac:dyDescent="0.25">
      <c r="A444" s="20" t="str">
        <f>'Grad Raw Data'!I223</f>
        <v>Sierra</v>
      </c>
      <c r="B444" s="20" t="str">
        <f>'Grad Raw Data'!K224</f>
        <v/>
      </c>
      <c r="C444" s="20" t="str">
        <f>'Grad Raw Data'!H223</f>
        <v>Skenderian</v>
      </c>
      <c r="D444" s="20" cm="1">
        <f t="array" aca="1" ref="D444" ca="1">IF(I444="","",INDIRECT("'Grad Raw Data'!G"&amp;I444))</f>
        <v>0</v>
      </c>
      <c r="E444" s="44" t="str">
        <f>'Grad Raw Data'!D223</f>
        <v>RIGHT</v>
      </c>
      <c r="F444" s="44">
        <f>'Grad Raw Data'!E223</f>
        <v>10</v>
      </c>
      <c r="H444">
        <v>444</v>
      </c>
      <c r="I444">
        <f t="shared" si="6"/>
        <v>223</v>
      </c>
    </row>
    <row r="445" spans="1:9" ht="24.95" customHeight="1" x14ac:dyDescent="0.25">
      <c r="A445" s="16" t="str">
        <f>'Grad Raw Data'!L223</f>
        <v>Skin-dare-eee-n</v>
      </c>
      <c r="B445" s="20"/>
      <c r="C445" s="20"/>
      <c r="D445" s="20" t="str" cm="1">
        <f t="array" aca="1" ref="D445" ca="1">IF(I445="","",INDIRECT("'Grad Raw Data'!G"&amp;I445))</f>
        <v/>
      </c>
      <c r="H445">
        <v>445</v>
      </c>
      <c r="I445" t="str">
        <f t="shared" si="6"/>
        <v/>
      </c>
    </row>
    <row r="446" spans="1:9" ht="24.95" customHeight="1" x14ac:dyDescent="0.25">
      <c r="A446" s="20" t="str">
        <f>'Grad Raw Data'!I224</f>
        <v>John</v>
      </c>
      <c r="B446" s="20" t="str">
        <f>'Grad Raw Data'!K225</f>
        <v/>
      </c>
      <c r="C446" s="20" t="str">
        <f>'Grad Raw Data'!H224</f>
        <v>Slinn</v>
      </c>
      <c r="D446" s="20" cm="1">
        <f t="array" aca="1" ref="D446" ca="1">IF(I446="","",INDIRECT("'Grad Raw Data'!G"&amp;I446))</f>
        <v>0</v>
      </c>
      <c r="E446" s="44" t="str">
        <f>'Grad Raw Data'!D224</f>
        <v>RIGHT</v>
      </c>
      <c r="F446" s="44">
        <f>'Grad Raw Data'!E224</f>
        <v>10</v>
      </c>
      <c r="H446">
        <v>446</v>
      </c>
      <c r="I446">
        <f t="shared" si="6"/>
        <v>224</v>
      </c>
    </row>
    <row r="447" spans="1:9" ht="24.95" customHeight="1" x14ac:dyDescent="0.25">
      <c r="A447" s="16" t="str">
        <f>'Grad Raw Data'!L224</f>
        <v>John Slinn</v>
      </c>
      <c r="B447" s="20"/>
      <c r="C447" s="20"/>
      <c r="D447" s="20" t="str" cm="1">
        <f t="array" aca="1" ref="D447" ca="1">IF(I447="","",INDIRECT("'Grad Raw Data'!G"&amp;I447))</f>
        <v/>
      </c>
      <c r="H447">
        <v>447</v>
      </c>
      <c r="I447" t="str">
        <f t="shared" si="6"/>
        <v/>
      </c>
    </row>
    <row r="448" spans="1:9" ht="24.95" customHeight="1" x14ac:dyDescent="0.25">
      <c r="A448" s="20" t="str">
        <f>'Grad Raw Data'!I225</f>
        <v>Julia</v>
      </c>
      <c r="B448" s="20" t="str">
        <f>'Grad Raw Data'!K226</f>
        <v/>
      </c>
      <c r="C448" s="20" t="str">
        <f>'Grad Raw Data'!H225</f>
        <v>Smith</v>
      </c>
      <c r="D448" s="20" cm="1">
        <f t="array" aca="1" ref="D448" ca="1">IF(I448="","",INDIRECT("'Grad Raw Data'!G"&amp;I448))</f>
        <v>0</v>
      </c>
      <c r="E448" s="44" t="str">
        <f>'Grad Raw Data'!D225</f>
        <v>RIGHT</v>
      </c>
      <c r="F448" s="44">
        <f>'Grad Raw Data'!E225</f>
        <v>10</v>
      </c>
      <c r="H448">
        <v>448</v>
      </c>
      <c r="I448">
        <f t="shared" si="6"/>
        <v>225</v>
      </c>
    </row>
    <row r="449" spans="1:9" ht="24.95" customHeight="1" x14ac:dyDescent="0.25">
      <c r="A449" s="16">
        <f>'Grad Raw Data'!L225</f>
        <v>0</v>
      </c>
      <c r="B449" s="20"/>
      <c r="C449" s="20"/>
      <c r="D449" s="20" t="str" cm="1">
        <f t="array" aca="1" ref="D449" ca="1">IF(I449="","",INDIRECT("'Grad Raw Data'!G"&amp;I449))</f>
        <v/>
      </c>
      <c r="H449">
        <v>449</v>
      </c>
      <c r="I449" t="str">
        <f t="shared" si="6"/>
        <v/>
      </c>
    </row>
    <row r="450" spans="1:9" ht="24.95" customHeight="1" x14ac:dyDescent="0.25">
      <c r="A450" s="20" t="str">
        <f>'Grad Raw Data'!I226</f>
        <v>Noah</v>
      </c>
      <c r="B450" s="20" t="str">
        <f>'Grad Raw Data'!K227</f>
        <v/>
      </c>
      <c r="C450" s="20" t="str">
        <f>'Grad Raw Data'!H226</f>
        <v>Snyder</v>
      </c>
      <c r="D450" s="20" cm="1">
        <f t="array" aca="1" ref="D450" ca="1">IF(I450="","",INDIRECT("'Grad Raw Data'!G"&amp;I450))</f>
        <v>0</v>
      </c>
      <c r="E450" s="44" t="str">
        <f>'Grad Raw Data'!D226</f>
        <v>RIGHT</v>
      </c>
      <c r="F450" s="44">
        <f>'Grad Raw Data'!E226</f>
        <v>10</v>
      </c>
      <c r="H450">
        <v>450</v>
      </c>
      <c r="I450">
        <f t="shared" si="6"/>
        <v>226</v>
      </c>
    </row>
    <row r="451" spans="1:9" ht="24.95" customHeight="1" x14ac:dyDescent="0.25">
      <c r="A451" s="16">
        <f>'Grad Raw Data'!L226</f>
        <v>0</v>
      </c>
      <c r="B451" s="20"/>
      <c r="C451" s="20"/>
      <c r="D451" s="20" t="str" cm="1">
        <f t="array" aca="1" ref="D451" ca="1">IF(I451="","",INDIRECT("'Grad Raw Data'!G"&amp;I451))</f>
        <v/>
      </c>
      <c r="H451">
        <v>451</v>
      </c>
      <c r="I451" t="str">
        <f t="shared" ref="I451:I513" si="7">IF(MOD((H451+2)/1,2)=0,(H451/2+1),"")</f>
        <v/>
      </c>
    </row>
    <row r="452" spans="1:9" ht="24.95" customHeight="1" x14ac:dyDescent="0.25">
      <c r="A452" s="20" t="str">
        <f>'Grad Raw Data'!I227</f>
        <v>Aaron</v>
      </c>
      <c r="B452" s="20" t="str">
        <f>'Grad Raw Data'!K228</f>
        <v>Sylvan</v>
      </c>
      <c r="C452" s="20" t="str">
        <f>'Grad Raw Data'!H227</f>
        <v>Soto</v>
      </c>
      <c r="D452" s="20" cm="1">
        <f t="array" aca="1" ref="D452" ca="1">IF(I452="","",INDIRECT("'Grad Raw Data'!G"&amp;I452))</f>
        <v>0</v>
      </c>
      <c r="E452" s="44" t="str">
        <f>'Grad Raw Data'!D227</f>
        <v>RIGHT</v>
      </c>
      <c r="F452" s="44">
        <f>'Grad Raw Data'!E227</f>
        <v>10</v>
      </c>
      <c r="H452">
        <v>452</v>
      </c>
      <c r="I452">
        <f t="shared" si="7"/>
        <v>227</v>
      </c>
    </row>
    <row r="453" spans="1:9" ht="24.95" customHeight="1" x14ac:dyDescent="0.25">
      <c r="A453" s="16" t="str">
        <f>'Grad Raw Data'!L227</f>
        <v>For middle name: Sill-ven</v>
      </c>
      <c r="B453" s="20"/>
      <c r="C453" s="20"/>
      <c r="D453" s="20" t="str" cm="1">
        <f t="array" aca="1" ref="D453" ca="1">IF(I453="","",INDIRECT("'Grad Raw Data'!G"&amp;I453))</f>
        <v/>
      </c>
      <c r="H453">
        <v>453</v>
      </c>
      <c r="I453" t="str">
        <f t="shared" si="7"/>
        <v/>
      </c>
    </row>
    <row r="454" spans="1:9" ht="24.95" customHeight="1" x14ac:dyDescent="0.25">
      <c r="A454" s="20" t="str">
        <f>'Grad Raw Data'!I228</f>
        <v>Andrew</v>
      </c>
      <c r="B454" s="20" t="str">
        <f>'Grad Raw Data'!K229</f>
        <v/>
      </c>
      <c r="C454" s="20" t="str">
        <f>'Grad Raw Data'!H228</f>
        <v>Spencer</v>
      </c>
      <c r="D454" s="20" cm="1">
        <f t="array" aca="1" ref="D454" ca="1">IF(I454="","",INDIRECT("'Grad Raw Data'!G"&amp;I454))</f>
        <v>0</v>
      </c>
      <c r="E454" s="44" t="str">
        <f>'Grad Raw Data'!D228</f>
        <v>RIGHT</v>
      </c>
      <c r="F454" s="44">
        <f>'Grad Raw Data'!E228</f>
        <v>10</v>
      </c>
      <c r="H454">
        <v>454</v>
      </c>
      <c r="I454">
        <f t="shared" si="7"/>
        <v>228</v>
      </c>
    </row>
    <row r="455" spans="1:9" ht="24.95" customHeight="1" x14ac:dyDescent="0.25">
      <c r="A455" s="16">
        <f>'Grad Raw Data'!L228</f>
        <v>0</v>
      </c>
      <c r="B455" s="20"/>
      <c r="C455" s="20"/>
      <c r="D455" s="20" t="str" cm="1">
        <f t="array" aca="1" ref="D455" ca="1">IF(I455="","",INDIRECT("'Grad Raw Data'!G"&amp;I455))</f>
        <v/>
      </c>
      <c r="H455">
        <v>455</v>
      </c>
      <c r="I455" t="str">
        <f t="shared" si="7"/>
        <v/>
      </c>
    </row>
    <row r="456" spans="1:9" ht="24.95" customHeight="1" x14ac:dyDescent="0.25">
      <c r="A456" s="20" t="str">
        <f>'Grad Raw Data'!I229</f>
        <v>Elias</v>
      </c>
      <c r="B456" s="20" t="str">
        <f>'Grad Raw Data'!K230</f>
        <v/>
      </c>
      <c r="C456" s="20" t="str">
        <f>'Grad Raw Data'!H229</f>
        <v>Speros</v>
      </c>
      <c r="D456" s="20" cm="1">
        <f t="array" aca="1" ref="D456" ca="1">IF(I456="","",INDIRECT("'Grad Raw Data'!G"&amp;I456))</f>
        <v>0</v>
      </c>
      <c r="E456" s="44" t="str">
        <f>'Grad Raw Data'!D229</f>
        <v>RIGHT</v>
      </c>
      <c r="F456" s="44">
        <f>'Grad Raw Data'!E229</f>
        <v>10</v>
      </c>
      <c r="H456">
        <v>456</v>
      </c>
      <c r="I456">
        <f t="shared" si="7"/>
        <v>229</v>
      </c>
    </row>
    <row r="457" spans="1:9" ht="24.95" customHeight="1" x14ac:dyDescent="0.25">
      <c r="A457" s="16">
        <f>'Grad Raw Data'!L229</f>
        <v>0</v>
      </c>
      <c r="B457" s="20"/>
      <c r="C457" s="20"/>
      <c r="D457" s="20" t="str" cm="1">
        <f t="array" aca="1" ref="D457" ca="1">IF(I457="","",INDIRECT("'Grad Raw Data'!G"&amp;I457))</f>
        <v/>
      </c>
      <c r="H457">
        <v>457</v>
      </c>
      <c r="I457" t="str">
        <f t="shared" si="7"/>
        <v/>
      </c>
    </row>
    <row r="458" spans="1:9" ht="24.95" customHeight="1" x14ac:dyDescent="0.25">
      <c r="A458" s="20" t="str">
        <f>'Grad Raw Data'!I230</f>
        <v>Ava</v>
      </c>
      <c r="B458" s="20" t="str">
        <f>'Grad Raw Data'!K231</f>
        <v/>
      </c>
      <c r="C458" s="20" t="str">
        <f>'Grad Raw Data'!H230</f>
        <v>Spinazzola</v>
      </c>
      <c r="D458" s="20" cm="1">
        <f t="array" aca="1" ref="D458" ca="1">IF(I458="","",INDIRECT("'Grad Raw Data'!G"&amp;I458))</f>
        <v>0</v>
      </c>
      <c r="E458" s="44" t="str">
        <f>'Grad Raw Data'!D230</f>
        <v>RIGHT</v>
      </c>
      <c r="F458" s="44">
        <f>'Grad Raw Data'!E230</f>
        <v>10</v>
      </c>
      <c r="H458">
        <v>458</v>
      </c>
      <c r="I458">
        <f t="shared" si="7"/>
        <v>230</v>
      </c>
    </row>
    <row r="459" spans="1:9" ht="24.95" customHeight="1" x14ac:dyDescent="0.25">
      <c r="A459" s="16">
        <f>'Grad Raw Data'!L230</f>
        <v>0</v>
      </c>
      <c r="B459" s="20"/>
      <c r="C459" s="20"/>
      <c r="D459" s="20" t="str" cm="1">
        <f t="array" aca="1" ref="D459" ca="1">IF(I459="","",INDIRECT("'Grad Raw Data'!G"&amp;I459))</f>
        <v/>
      </c>
      <c r="H459">
        <v>459</v>
      </c>
      <c r="I459" t="str">
        <f t="shared" si="7"/>
        <v/>
      </c>
    </row>
    <row r="460" spans="1:9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Staffier</v>
      </c>
      <c r="D460" s="20" cm="1">
        <f t="array" aca="1" ref="D460" ca="1">IF(I460="","",INDIRECT("'Grad Raw Data'!G"&amp;I460))</f>
        <v>0</v>
      </c>
      <c r="E460" s="44" t="str">
        <f>'Grad Raw Data'!D231</f>
        <v>RIGHT</v>
      </c>
      <c r="F460" s="44">
        <f>'Grad Raw Data'!E231</f>
        <v>10</v>
      </c>
      <c r="H460">
        <v>460</v>
      </c>
      <c r="I460">
        <f t="shared" si="7"/>
        <v>231</v>
      </c>
    </row>
    <row r="461" spans="1:9" ht="24.95" customHeight="1" x14ac:dyDescent="0.25">
      <c r="A461" s="16" t="str">
        <f>'Grad Raw Data'!L231</f>
        <v>Ay-va Staff-ee-r</v>
      </c>
      <c r="B461" s="20"/>
      <c r="C461" s="20"/>
      <c r="D461" s="20" t="str" cm="1">
        <f t="array" aca="1" ref="D461" ca="1">IF(I461="","",INDIRECT("'Grad Raw Data'!G"&amp;I461))</f>
        <v/>
      </c>
      <c r="H461">
        <v>461</v>
      </c>
      <c r="I461" t="str">
        <f t="shared" si="7"/>
        <v/>
      </c>
    </row>
    <row r="462" spans="1:9" ht="24.95" customHeight="1" x14ac:dyDescent="0.25">
      <c r="A462" s="20" t="str">
        <f>'Grad Raw Data'!I232</f>
        <v>Charlie</v>
      </c>
      <c r="B462" s="20" t="str">
        <f>'Grad Raw Data'!K233</f>
        <v/>
      </c>
      <c r="C462" s="20" t="str">
        <f>'Grad Raw Data'!H232</f>
        <v>Studley</v>
      </c>
      <c r="D462" s="20" cm="1">
        <f t="array" aca="1" ref="D462" ca="1">IF(I462="","",INDIRECT("'Grad Raw Data'!G"&amp;I462))</f>
        <v>0</v>
      </c>
      <c r="E462" s="44" t="str">
        <f>'Grad Raw Data'!D232</f>
        <v>RIGHT</v>
      </c>
      <c r="F462" s="44">
        <f>'Grad Raw Data'!E232</f>
        <v>10</v>
      </c>
      <c r="H462">
        <v>462</v>
      </c>
      <c r="I462">
        <f t="shared" si="7"/>
        <v>232</v>
      </c>
    </row>
    <row r="463" spans="1:9" ht="24.95" customHeight="1" x14ac:dyDescent="0.25">
      <c r="A463" s="16">
        <f>'Grad Raw Data'!L232</f>
        <v>0</v>
      </c>
      <c r="B463" s="20"/>
      <c r="C463" s="20"/>
      <c r="D463" s="20" t="str" cm="1">
        <f t="array" aca="1" ref="D463" ca="1">IF(I463="","",INDIRECT("'Grad Raw Data'!G"&amp;I463))</f>
        <v/>
      </c>
      <c r="H463">
        <v>463</v>
      </c>
      <c r="I463" t="str">
        <f t="shared" si="7"/>
        <v/>
      </c>
    </row>
    <row r="464" spans="1:9" ht="24.95" customHeight="1" x14ac:dyDescent="0.25">
      <c r="A464" s="20" t="str">
        <f>'Grad Raw Data'!I233</f>
        <v>Nolan</v>
      </c>
      <c r="B464" s="20" t="str">
        <f>'Grad Raw Data'!K234</f>
        <v/>
      </c>
      <c r="C464" s="20" t="str">
        <f>'Grad Raw Data'!H233</f>
        <v>Sullivan</v>
      </c>
      <c r="D464" s="20" cm="1">
        <f t="array" aca="1" ref="D464" ca="1">IF(I464="","",INDIRECT("'Grad Raw Data'!G"&amp;I464))</f>
        <v>0</v>
      </c>
      <c r="E464" s="44" t="str">
        <f>'Grad Raw Data'!D233</f>
        <v>RIGHT</v>
      </c>
      <c r="F464" s="44">
        <f>'Grad Raw Data'!E233</f>
        <v>10</v>
      </c>
      <c r="H464">
        <v>464</v>
      </c>
      <c r="I464">
        <f t="shared" si="7"/>
        <v>233</v>
      </c>
    </row>
    <row r="465" spans="1:9" ht="24.95" customHeight="1" x14ac:dyDescent="0.25">
      <c r="A465" s="16" t="str">
        <f>'Grad Raw Data'!L233</f>
        <v>Nolan Sullivan</v>
      </c>
      <c r="B465" s="20"/>
      <c r="C465" s="20"/>
      <c r="D465" s="20" t="str" cm="1">
        <f t="array" aca="1" ref="D465" ca="1">IF(I465="","",INDIRECT("'Grad Raw Data'!G"&amp;I465))</f>
        <v/>
      </c>
      <c r="H465">
        <v>465</v>
      </c>
      <c r="I465" t="str">
        <f t="shared" si="7"/>
        <v/>
      </c>
    </row>
    <row r="466" spans="1:9" ht="24.95" customHeight="1" x14ac:dyDescent="0.25">
      <c r="A466" s="20" t="str">
        <f>'Grad Raw Data'!I234</f>
        <v>Sabrina</v>
      </c>
      <c r="B466" s="20" t="str">
        <f>'Grad Raw Data'!K235</f>
        <v/>
      </c>
      <c r="C466" s="20" t="str">
        <f>'Grad Raw Data'!H234</f>
        <v>Sweat</v>
      </c>
      <c r="D466" s="20" cm="1">
        <f t="array" aca="1" ref="D466" ca="1">IF(I466="","",INDIRECT("'Grad Raw Data'!G"&amp;I466))</f>
        <v>0</v>
      </c>
      <c r="E466" s="44" t="str">
        <f>'Grad Raw Data'!D234</f>
        <v>RIGHT</v>
      </c>
      <c r="F466" s="44">
        <f>'Grad Raw Data'!E234</f>
        <v>10</v>
      </c>
      <c r="H466">
        <v>466</v>
      </c>
      <c r="I466">
        <f t="shared" si="7"/>
        <v>234</v>
      </c>
    </row>
    <row r="467" spans="1:9" ht="24.95" customHeight="1" x14ac:dyDescent="0.25">
      <c r="A467" s="16">
        <f>'Grad Raw Data'!L234</f>
        <v>0</v>
      </c>
      <c r="B467" s="20"/>
      <c r="C467" s="20"/>
      <c r="D467" s="20" t="str" cm="1">
        <f t="array" aca="1" ref="D467" ca="1">IF(I467="","",INDIRECT("'Grad Raw Data'!G"&amp;I467))</f>
        <v/>
      </c>
      <c r="H467">
        <v>467</v>
      </c>
      <c r="I467" t="str">
        <f t="shared" si="7"/>
        <v/>
      </c>
    </row>
    <row r="468" spans="1:9" ht="24.95" customHeight="1" x14ac:dyDescent="0.25">
      <c r="A468" s="20" t="str">
        <f>'Grad Raw Data'!I235</f>
        <v>Brooklynne</v>
      </c>
      <c r="B468" s="20" t="str">
        <f>'Grad Raw Data'!K236</f>
        <v/>
      </c>
      <c r="C468" s="20" t="str">
        <f>'Grad Raw Data'!H235</f>
        <v>Tartarini</v>
      </c>
      <c r="D468" s="20" cm="1">
        <f t="array" aca="1" ref="D468" ca="1">IF(I468="","",INDIRECT("'Grad Raw Data'!G"&amp;I468))</f>
        <v>0</v>
      </c>
      <c r="E468" s="44" t="str">
        <f>'Grad Raw Data'!D235</f>
        <v>LEFT</v>
      </c>
      <c r="F468" s="44">
        <f>'Grad Raw Data'!E235</f>
        <v>10</v>
      </c>
      <c r="H468">
        <v>468</v>
      </c>
      <c r="I468">
        <f t="shared" si="7"/>
        <v>235</v>
      </c>
    </row>
    <row r="469" spans="1:9" ht="24.95" customHeight="1" x14ac:dyDescent="0.25">
      <c r="A469" s="16">
        <f>'Grad Raw Data'!L235</f>
        <v>0</v>
      </c>
      <c r="B469" s="20"/>
      <c r="C469" s="20"/>
      <c r="D469" s="20" t="str" cm="1">
        <f t="array" aca="1" ref="D469" ca="1">IF(I469="","",INDIRECT("'Grad Raw Data'!G"&amp;I469))</f>
        <v/>
      </c>
      <c r="H469">
        <v>469</v>
      </c>
      <c r="I469" t="str">
        <f t="shared" si="7"/>
        <v/>
      </c>
    </row>
    <row r="470" spans="1:9" ht="24.95" customHeight="1" x14ac:dyDescent="0.25">
      <c r="A470" s="20" t="str">
        <f>'Grad Raw Data'!I236</f>
        <v>Nina</v>
      </c>
      <c r="B470" s="20" t="str">
        <f>'Grad Raw Data'!K237</f>
        <v/>
      </c>
      <c r="C470" s="20" t="str">
        <f>'Grad Raw Data'!H236</f>
        <v>Taubman</v>
      </c>
      <c r="D470" s="20" cm="1">
        <f t="array" aca="1" ref="D470" ca="1">IF(I470="","",INDIRECT("'Grad Raw Data'!G"&amp;I470))</f>
        <v>0</v>
      </c>
      <c r="E470" s="44" t="str">
        <f>'Grad Raw Data'!D236</f>
        <v>LEFT</v>
      </c>
      <c r="F470" s="44">
        <f>'Grad Raw Data'!E236</f>
        <v>10</v>
      </c>
      <c r="H470">
        <v>470</v>
      </c>
      <c r="I470">
        <f t="shared" si="7"/>
        <v>236</v>
      </c>
    </row>
    <row r="471" spans="1:9" ht="24.95" customHeight="1" x14ac:dyDescent="0.25">
      <c r="A471" s="16" t="str">
        <f>'Grad Raw Data'!L236</f>
        <v>Ta-ow-b-man</v>
      </c>
      <c r="B471" s="20"/>
      <c r="C471" s="20"/>
      <c r="D471" s="20" t="str" cm="1">
        <f t="array" aca="1" ref="D471" ca="1">IF(I471="","",INDIRECT("'Grad Raw Data'!G"&amp;I471))</f>
        <v/>
      </c>
      <c r="H471">
        <v>471</v>
      </c>
      <c r="I471" t="str">
        <f t="shared" si="7"/>
        <v/>
      </c>
    </row>
    <row r="472" spans="1:9" ht="24.95" customHeight="1" x14ac:dyDescent="0.25">
      <c r="A472" s="20" t="str">
        <f>'Grad Raw Data'!I237</f>
        <v>Natalie</v>
      </c>
      <c r="B472" s="20" t="str">
        <f>'Grad Raw Data'!K238</f>
        <v/>
      </c>
      <c r="C472" s="20" t="str">
        <f>'Grad Raw Data'!H237</f>
        <v>Tawadros</v>
      </c>
      <c r="D472" s="20" cm="1">
        <f t="array" aca="1" ref="D472" ca="1">IF(I472="","",INDIRECT("'Grad Raw Data'!G"&amp;I472))</f>
        <v>0</v>
      </c>
      <c r="E472" s="44" t="str">
        <f>'Grad Raw Data'!D237</f>
        <v>LEFT</v>
      </c>
      <c r="F472" s="44">
        <f>'Grad Raw Data'!E237</f>
        <v>10</v>
      </c>
      <c r="H472">
        <v>472</v>
      </c>
      <c r="I472">
        <f t="shared" si="7"/>
        <v>237</v>
      </c>
    </row>
    <row r="473" spans="1:9" ht="24.95" customHeight="1" x14ac:dyDescent="0.25">
      <c r="A473" s="16" t="str">
        <f>'Grad Raw Data'!L237</f>
        <v>na-tah-lee ta-wa-dros</v>
      </c>
      <c r="B473" s="20"/>
      <c r="C473" s="20"/>
      <c r="D473" s="20" t="str" cm="1">
        <f t="array" aca="1" ref="D473" ca="1">IF(I473="","",INDIRECT("'Grad Raw Data'!G"&amp;I473))</f>
        <v/>
      </c>
      <c r="H473">
        <v>473</v>
      </c>
      <c r="I473" t="str">
        <f t="shared" si="7"/>
        <v/>
      </c>
    </row>
    <row r="474" spans="1:9" ht="24.95" customHeight="1" x14ac:dyDescent="0.25">
      <c r="A474" s="20" t="str">
        <f>'Grad Raw Data'!I238</f>
        <v>Samantha</v>
      </c>
      <c r="B474" s="20" t="str">
        <f>'Grad Raw Data'!K239</f>
        <v/>
      </c>
      <c r="C474" s="20" t="str">
        <f>'Grad Raw Data'!H238</f>
        <v>Toomey</v>
      </c>
      <c r="D474" s="20" cm="1">
        <f t="array" aca="1" ref="D474" ca="1">IF(I474="","",INDIRECT("'Grad Raw Data'!G"&amp;I474))</f>
        <v>0</v>
      </c>
      <c r="E474" s="44" t="str">
        <f>'Grad Raw Data'!D238</f>
        <v>LEFT</v>
      </c>
      <c r="F474" s="44">
        <f>'Grad Raw Data'!E238</f>
        <v>10</v>
      </c>
      <c r="H474">
        <v>474</v>
      </c>
      <c r="I474">
        <f t="shared" si="7"/>
        <v>238</v>
      </c>
    </row>
    <row r="475" spans="1:9" ht="24.95" customHeight="1" x14ac:dyDescent="0.25">
      <c r="A475" s="16" t="str">
        <f>'Grad Raw Data'!L238</f>
        <v xml:space="preserve">Samantha Toomey </v>
      </c>
      <c r="B475" s="20"/>
      <c r="C475" s="20"/>
      <c r="D475" s="20" t="str" cm="1">
        <f t="array" aca="1" ref="D475" ca="1">IF(I475="","",INDIRECT("'Grad Raw Data'!G"&amp;I475))</f>
        <v/>
      </c>
      <c r="H475">
        <v>475</v>
      </c>
      <c r="I475" t="str">
        <f t="shared" si="7"/>
        <v/>
      </c>
    </row>
    <row r="476" spans="1:9" ht="24.95" customHeight="1" x14ac:dyDescent="0.25">
      <c r="A476" s="20" t="str">
        <f>'Grad Raw Data'!I239</f>
        <v>Alyson</v>
      </c>
      <c r="B476" s="20" t="str">
        <f>'Grad Raw Data'!K240</f>
        <v/>
      </c>
      <c r="C476" s="20" t="str">
        <f>'Grad Raw Data'!H239</f>
        <v>Torrens</v>
      </c>
      <c r="D476" s="20" cm="1">
        <f t="array" aca="1" ref="D476" ca="1">IF(I476="","",INDIRECT("'Grad Raw Data'!G"&amp;I476))</f>
        <v>0</v>
      </c>
      <c r="E476" s="44" t="str">
        <f>'Grad Raw Data'!D239</f>
        <v>LEFT</v>
      </c>
      <c r="F476" s="44">
        <f>'Grad Raw Data'!E239</f>
        <v>10</v>
      </c>
      <c r="H476">
        <v>476</v>
      </c>
      <c r="I476">
        <f t="shared" si="7"/>
        <v>239</v>
      </c>
    </row>
    <row r="477" spans="1:9" ht="24.95" customHeight="1" x14ac:dyDescent="0.25">
      <c r="A477" s="16">
        <f>'Grad Raw Data'!L239</f>
        <v>0</v>
      </c>
      <c r="B477" s="20"/>
      <c r="C477" s="20"/>
      <c r="D477" s="20" t="str" cm="1">
        <f t="array" aca="1" ref="D477" ca="1">IF(I477="","",INDIRECT("'Grad Raw Data'!G"&amp;I477))</f>
        <v/>
      </c>
      <c r="H477">
        <v>477</v>
      </c>
      <c r="I477" t="str">
        <f t="shared" si="7"/>
        <v/>
      </c>
    </row>
    <row r="478" spans="1:9" ht="24.95" customHeight="1" x14ac:dyDescent="0.25">
      <c r="A478" s="20" t="str">
        <f>'Grad Raw Data'!I240</f>
        <v>Franklin</v>
      </c>
      <c r="B478" s="20" t="str">
        <f>'Grad Raw Data'!K241</f>
        <v/>
      </c>
      <c r="C478" s="20" t="str">
        <f>'Grad Raw Data'!H240</f>
        <v>Travassos</v>
      </c>
      <c r="D478" s="20" cm="1">
        <f t="array" aca="1" ref="D478" ca="1">IF(I478="","",INDIRECT("'Grad Raw Data'!G"&amp;I478))</f>
        <v>0</v>
      </c>
      <c r="E478" s="44" t="str">
        <f>'Grad Raw Data'!D240</f>
        <v>LEFT</v>
      </c>
      <c r="F478" s="44">
        <f>'Grad Raw Data'!E240</f>
        <v>10</v>
      </c>
      <c r="H478">
        <v>478</v>
      </c>
      <c r="I478">
        <f t="shared" si="7"/>
        <v>240</v>
      </c>
    </row>
    <row r="479" spans="1:9" ht="24.95" customHeight="1" x14ac:dyDescent="0.25">
      <c r="A479" s="16" t="str">
        <f>'Grad Raw Data'!L240</f>
        <v>Tra va sos</v>
      </c>
      <c r="B479" s="20"/>
      <c r="C479" s="20"/>
      <c r="D479" s="20" t="str" cm="1">
        <f t="array" aca="1" ref="D479" ca="1">IF(I479="","",INDIRECT("'Grad Raw Data'!G"&amp;I479))</f>
        <v/>
      </c>
      <c r="H479">
        <v>479</v>
      </c>
      <c r="I479" t="str">
        <f t="shared" si="7"/>
        <v/>
      </c>
    </row>
    <row r="480" spans="1:9" ht="24.95" customHeight="1" x14ac:dyDescent="0.25">
      <c r="A480" s="20" t="str">
        <f>'Grad Raw Data'!I241</f>
        <v>Meredith</v>
      </c>
      <c r="B480" s="20" t="str">
        <f>'Grad Raw Data'!K242</f>
        <v>Lynne</v>
      </c>
      <c r="C480" s="20" t="str">
        <f>'Grad Raw Data'!H241</f>
        <v>Upton</v>
      </c>
      <c r="D480" s="20" cm="1">
        <f t="array" aca="1" ref="D480" ca="1">IF(I480="","",INDIRECT("'Grad Raw Data'!G"&amp;I480))</f>
        <v>0</v>
      </c>
      <c r="E480" s="44" t="str">
        <f>'Grad Raw Data'!D241</f>
        <v>LEFT</v>
      </c>
      <c r="F480" s="44">
        <f>'Grad Raw Data'!E241</f>
        <v>10</v>
      </c>
      <c r="H480">
        <v>480</v>
      </c>
      <c r="I480">
        <f t="shared" si="7"/>
        <v>241</v>
      </c>
    </row>
    <row r="481" spans="1:9" ht="24.95" customHeight="1" x14ac:dyDescent="0.25">
      <c r="A481" s="16">
        <f>'Grad Raw Data'!L242</f>
        <v>0</v>
      </c>
      <c r="B481" s="20"/>
      <c r="C481" s="20"/>
      <c r="D481" s="20" t="str" cm="1">
        <f t="array" aca="1" ref="D481" ca="1">IF(I481="","",INDIRECT("'Grad Raw Data'!G"&amp;I481))</f>
        <v/>
      </c>
      <c r="H481">
        <v>481</v>
      </c>
      <c r="I481" t="str">
        <f t="shared" si="7"/>
        <v/>
      </c>
    </row>
    <row r="482" spans="1:9" ht="24.95" customHeight="1" x14ac:dyDescent="0.25">
      <c r="A482" s="20" t="str">
        <f>'Grad Raw Data'!I242</f>
        <v>Andrew</v>
      </c>
      <c r="B482" s="20" t="str">
        <f>'Grad Raw Data'!K243</f>
        <v>Jacob</v>
      </c>
      <c r="C482" s="20" t="str">
        <f>'Grad Raw Data'!H242</f>
        <v>Valentin</v>
      </c>
      <c r="D482" s="20" cm="1">
        <f t="array" aca="1" ref="D482" ca="1">IF(I482="","",INDIRECT("'Grad Raw Data'!G"&amp;I482))</f>
        <v>0</v>
      </c>
      <c r="E482" s="44" t="str">
        <f>'Grad Raw Data'!D242</f>
        <v>LEFT</v>
      </c>
      <c r="F482" s="44">
        <f>'Grad Raw Data'!E242</f>
        <v>10</v>
      </c>
      <c r="H482">
        <v>482</v>
      </c>
      <c r="I482">
        <f t="shared" si="7"/>
        <v>242</v>
      </c>
    </row>
    <row r="483" spans="1:9" ht="24.95" customHeight="1" x14ac:dyDescent="0.25">
      <c r="A483" s="16">
        <f>'Grad Raw Data'!L243</f>
        <v>0</v>
      </c>
      <c r="B483" s="20"/>
      <c r="C483" s="20"/>
      <c r="D483" s="20" t="str" cm="1">
        <f t="array" aca="1" ref="D483" ca="1">IF(I483="","",INDIRECT("'Grad Raw Data'!G"&amp;I483))</f>
        <v/>
      </c>
      <c r="H483">
        <v>483</v>
      </c>
      <c r="I483" t="str">
        <f t="shared" si="7"/>
        <v/>
      </c>
    </row>
    <row r="484" spans="1:9" ht="24.95" customHeight="1" x14ac:dyDescent="0.25">
      <c r="A484" s="20" t="str">
        <f>'Grad Raw Data'!I243</f>
        <v>Colby</v>
      </c>
      <c r="B484" s="20" t="str">
        <f>'Grad Raw Data'!K244</f>
        <v>Van</v>
      </c>
      <c r="C484" s="20" t="str">
        <f>'Grad Raw Data'!H243</f>
        <v>Horn</v>
      </c>
      <c r="D484" s="20" cm="1">
        <f t="array" aca="1" ref="D484" ca="1">IF(I484="","",INDIRECT("'Grad Raw Data'!G"&amp;I484))</f>
        <v>0</v>
      </c>
      <c r="E484" s="44" t="str">
        <f>'Grad Raw Data'!D243</f>
        <v>LEFT</v>
      </c>
      <c r="F484" s="44">
        <f>'Grad Raw Data'!E243</f>
        <v>10</v>
      </c>
      <c r="H484">
        <v>484</v>
      </c>
      <c r="I484">
        <f t="shared" si="7"/>
        <v>243</v>
      </c>
    </row>
    <row r="485" spans="1:9" ht="24.95" customHeight="1" x14ac:dyDescent="0.25">
      <c r="A485" s="16">
        <f>'Grad Raw Data'!L244</f>
        <v>0</v>
      </c>
      <c r="B485" s="20"/>
      <c r="C485" s="20"/>
      <c r="D485" s="20" t="str" cm="1">
        <f t="array" aca="1" ref="D485" ca="1">IF(I485="","",INDIRECT("'Grad Raw Data'!G"&amp;I485))</f>
        <v/>
      </c>
      <c r="H485">
        <v>485</v>
      </c>
      <c r="I485" t="str">
        <f t="shared" si="7"/>
        <v/>
      </c>
    </row>
    <row r="486" spans="1:9" ht="24.95" customHeight="1" x14ac:dyDescent="0.25">
      <c r="A486" s="20" t="str">
        <f>'Grad Raw Data'!I244</f>
        <v>Katherine</v>
      </c>
      <c r="B486" s="20" t="str">
        <f>'Grad Raw Data'!K245</f>
        <v>Anne</v>
      </c>
      <c r="C486" s="20" t="str">
        <f>'Grad Raw Data'!H244</f>
        <v>Van Magness</v>
      </c>
      <c r="D486" s="20" cm="1">
        <f t="array" aca="1" ref="D486" ca="1">IF(I486="","",INDIRECT("'Grad Raw Data'!G"&amp;I486))</f>
        <v>0</v>
      </c>
      <c r="E486" s="44" t="str">
        <f>'Grad Raw Data'!D244</f>
        <v>LEFT</v>
      </c>
      <c r="F486" s="44">
        <f>'Grad Raw Data'!E244</f>
        <v>10</v>
      </c>
      <c r="H486">
        <v>486</v>
      </c>
      <c r="I486">
        <f t="shared" si="7"/>
        <v>244</v>
      </c>
    </row>
    <row r="487" spans="1:9" ht="24.95" customHeight="1" x14ac:dyDescent="0.25">
      <c r="A487" s="16">
        <f>'Grad Raw Data'!L244</f>
        <v>0</v>
      </c>
      <c r="B487" s="20"/>
      <c r="C487" s="20"/>
      <c r="D487" s="20" t="str" cm="1">
        <f t="array" aca="1" ref="D487" ca="1">IF(I487="","",INDIRECT("'Grad Raw Data'!G"&amp;I487))</f>
        <v/>
      </c>
      <c r="H487">
        <v>487</v>
      </c>
      <c r="I487" t="str">
        <f t="shared" si="7"/>
        <v/>
      </c>
    </row>
    <row r="488" spans="1:9" ht="24.95" customHeight="1" x14ac:dyDescent="0.25">
      <c r="A488" s="20" t="str">
        <f>'Grad Raw Data'!I245</f>
        <v>Justin</v>
      </c>
      <c r="B488" s="20" t="str">
        <f>'Grad Raw Data'!K246</f>
        <v>Thomas</v>
      </c>
      <c r="C488" s="20" t="str">
        <f>'Grad Raw Data'!H245</f>
        <v>Ventura</v>
      </c>
      <c r="D488" s="20" cm="1">
        <f t="array" aca="1" ref="D488" ca="1">IF(I488="","",INDIRECT("'Grad Raw Data'!G"&amp;I488))</f>
        <v>0</v>
      </c>
      <c r="E488" s="44" t="str">
        <f>'Grad Raw Data'!D245</f>
        <v>LEFT</v>
      </c>
      <c r="F488" s="44">
        <f>'Grad Raw Data'!E245</f>
        <v>10</v>
      </c>
      <c r="H488">
        <v>488</v>
      </c>
      <c r="I488">
        <f t="shared" si="7"/>
        <v>245</v>
      </c>
    </row>
    <row r="489" spans="1:9" ht="24.95" customHeight="1" x14ac:dyDescent="0.25">
      <c r="A489" s="16">
        <f>'Grad Raw Data'!L245</f>
        <v>0</v>
      </c>
      <c r="B489" s="20"/>
      <c r="C489" s="20"/>
      <c r="D489" s="20" t="str" cm="1">
        <f t="array" aca="1" ref="D489" ca="1">IF(I489="","",INDIRECT("'Grad Raw Data'!G"&amp;I489))</f>
        <v/>
      </c>
      <c r="H489">
        <v>489</v>
      </c>
      <c r="I489" t="str">
        <f t="shared" si="7"/>
        <v/>
      </c>
    </row>
    <row r="490" spans="1:9" ht="24.95" customHeight="1" x14ac:dyDescent="0.25">
      <c r="A490" s="20" t="str">
        <f>'Grad Raw Data'!I246</f>
        <v>Dario</v>
      </c>
      <c r="B490" s="20" t="str">
        <f>'Grad Raw Data'!K247</f>
        <v/>
      </c>
      <c r="C490" s="20" t="str">
        <f>'Grad Raw Data'!H246</f>
        <v>Viliott</v>
      </c>
      <c r="D490" s="20" cm="1">
        <f t="array" aca="1" ref="D490" ca="1">IF(I490="","",INDIRECT("'Grad Raw Data'!G"&amp;I490))</f>
        <v>0</v>
      </c>
      <c r="E490" s="44" t="str">
        <f>'Grad Raw Data'!D246</f>
        <v>LEFT</v>
      </c>
      <c r="F490" s="44">
        <f>'Grad Raw Data'!E246</f>
        <v>10</v>
      </c>
      <c r="H490">
        <v>490</v>
      </c>
      <c r="I490">
        <f t="shared" si="7"/>
        <v>246</v>
      </c>
    </row>
    <row r="491" spans="1:9" ht="24.95" customHeight="1" x14ac:dyDescent="0.25">
      <c r="A491" s="16" t="str">
        <f>'Grad Raw Data'!L246</f>
        <v>Dario Vil-e-ott</v>
      </c>
      <c r="B491" s="20"/>
      <c r="C491" s="20"/>
      <c r="D491" s="20" t="str" cm="1">
        <f t="array" aca="1" ref="D491" ca="1">IF(I491="","",INDIRECT("'Grad Raw Data'!G"&amp;I491))</f>
        <v/>
      </c>
      <c r="H491">
        <v>491</v>
      </c>
      <c r="I491" t="str">
        <f t="shared" si="7"/>
        <v/>
      </c>
    </row>
    <row r="492" spans="1:9" ht="24.95" customHeight="1" x14ac:dyDescent="0.25">
      <c r="A492" s="20" t="str">
        <f>'Grad Raw Data'!I247</f>
        <v>Nathan</v>
      </c>
      <c r="B492" s="20" t="str">
        <f>'Grad Raw Data'!K248</f>
        <v/>
      </c>
      <c r="C492" s="20" t="str">
        <f>'Grad Raw Data'!H247</f>
        <v>Vitarisi</v>
      </c>
      <c r="D492" s="20" cm="1">
        <f t="array" aca="1" ref="D492" ca="1">IF(I492="","",INDIRECT("'Grad Raw Data'!G"&amp;I492))</f>
        <v>0</v>
      </c>
      <c r="E492" s="44" t="str">
        <f>'Grad Raw Data'!D247</f>
        <v>RIGHT</v>
      </c>
      <c r="F492" s="44">
        <f>'Grad Raw Data'!E247</f>
        <v>11</v>
      </c>
      <c r="H492">
        <v>492</v>
      </c>
      <c r="I492">
        <f t="shared" si="7"/>
        <v>247</v>
      </c>
    </row>
    <row r="493" spans="1:9" ht="24.95" customHeight="1" x14ac:dyDescent="0.25">
      <c r="A493" s="16" t="str">
        <f>'Grad Raw Data'!L247</f>
        <v>Vit-er-eesee</v>
      </c>
      <c r="B493" s="20"/>
      <c r="C493" s="20"/>
      <c r="D493" s="20" t="str" cm="1">
        <f t="array" aca="1" ref="D493" ca="1">IF(I493="","",INDIRECT("'Grad Raw Data'!G"&amp;I493))</f>
        <v/>
      </c>
      <c r="H493">
        <v>493</v>
      </c>
      <c r="I493" t="str">
        <f t="shared" si="7"/>
        <v/>
      </c>
    </row>
    <row r="494" spans="1:9" ht="24.95" customHeight="1" x14ac:dyDescent="0.25">
      <c r="A494" s="20" t="str">
        <f>'Grad Raw Data'!I248</f>
        <v>Jacob</v>
      </c>
      <c r="B494" s="20" t="str">
        <f>'Grad Raw Data'!K249</f>
        <v>Michael</v>
      </c>
      <c r="C494" s="20" t="str">
        <f>'Grad Raw Data'!H248</f>
        <v>Ward</v>
      </c>
      <c r="D494" s="20" cm="1">
        <f t="array" aca="1" ref="D494" ca="1">IF(I494="","",INDIRECT("'Grad Raw Data'!G"&amp;I494))</f>
        <v>0</v>
      </c>
      <c r="E494" s="44" t="str">
        <f>'Grad Raw Data'!D248</f>
        <v>RIGHT</v>
      </c>
      <c r="F494" s="44">
        <f>'Grad Raw Data'!E248</f>
        <v>11</v>
      </c>
      <c r="H494">
        <v>494</v>
      </c>
      <c r="I494">
        <f t="shared" si="7"/>
        <v>248</v>
      </c>
    </row>
    <row r="495" spans="1:9" ht="24.95" customHeight="1" x14ac:dyDescent="0.25">
      <c r="A495" s="16">
        <f>'Grad Raw Data'!L248</f>
        <v>0</v>
      </c>
      <c r="B495" s="20"/>
      <c r="C495" s="20"/>
      <c r="D495" s="20" t="str" cm="1">
        <f t="array" aca="1" ref="D495" ca="1">IF(I495="","",INDIRECT("'Grad Raw Data'!G"&amp;I495))</f>
        <v/>
      </c>
      <c r="H495">
        <v>495</v>
      </c>
      <c r="I495" t="str">
        <f t="shared" si="7"/>
        <v/>
      </c>
    </row>
    <row r="496" spans="1:9" ht="24.95" customHeight="1" x14ac:dyDescent="0.25">
      <c r="A496" s="20" t="str">
        <f>'Grad Raw Data'!I249</f>
        <v>Tess</v>
      </c>
      <c r="B496" s="20" t="str">
        <f>'Grad Raw Data'!K250</f>
        <v/>
      </c>
      <c r="C496" s="20" t="str">
        <f>'Grad Raw Data'!H249</f>
        <v>Weaver</v>
      </c>
      <c r="D496" s="20" cm="1">
        <f t="array" aca="1" ref="D496" ca="1">IF(I496="","",INDIRECT("'Grad Raw Data'!G"&amp;I496))</f>
        <v>0</v>
      </c>
      <c r="E496" s="44" t="str">
        <f>'Grad Raw Data'!D249</f>
        <v>RIGHT</v>
      </c>
      <c r="F496" s="44">
        <f>'Grad Raw Data'!E249</f>
        <v>11</v>
      </c>
      <c r="H496">
        <v>496</v>
      </c>
      <c r="I496">
        <f t="shared" si="7"/>
        <v>249</v>
      </c>
    </row>
    <row r="497" spans="1:9" ht="24.95" customHeight="1" x14ac:dyDescent="0.25">
      <c r="A497" s="16">
        <f>'Grad Raw Data'!L249</f>
        <v>0</v>
      </c>
      <c r="B497" s="20"/>
      <c r="C497" s="20"/>
      <c r="D497" s="20" t="str" cm="1">
        <f t="array" aca="1" ref="D497" ca="1">IF(I497="","",INDIRECT("'Grad Raw Data'!G"&amp;I497))</f>
        <v/>
      </c>
      <c r="H497">
        <v>497</v>
      </c>
      <c r="I497" t="str">
        <f t="shared" si="7"/>
        <v/>
      </c>
    </row>
    <row r="498" spans="1:9" ht="24.95" customHeight="1" x14ac:dyDescent="0.25">
      <c r="A498" s="20" t="str">
        <f>'Grad Raw Data'!I250</f>
        <v>Kyle</v>
      </c>
      <c r="B498" s="20" t="str">
        <f>'Grad Raw Data'!K251</f>
        <v/>
      </c>
      <c r="C498" s="20" t="str">
        <f>'Grad Raw Data'!H250</f>
        <v>Weaver</v>
      </c>
      <c r="D498" s="20" cm="1">
        <f t="array" aca="1" ref="D498" ca="1">IF(I498="","",INDIRECT("'Grad Raw Data'!G"&amp;I498))</f>
        <v>0</v>
      </c>
      <c r="E498" s="44" t="str">
        <f>'Grad Raw Data'!D250</f>
        <v>RIGHT</v>
      </c>
      <c r="F498" s="44">
        <f>'Grad Raw Data'!E250</f>
        <v>11</v>
      </c>
      <c r="H498">
        <v>498</v>
      </c>
      <c r="I498">
        <f t="shared" si="7"/>
        <v>250</v>
      </c>
    </row>
    <row r="499" spans="1:9" ht="24.95" customHeight="1" x14ac:dyDescent="0.25">
      <c r="A499" s="16">
        <f>'Grad Raw Data'!L250</f>
        <v>0</v>
      </c>
      <c r="B499" s="20"/>
      <c r="C499" s="20"/>
      <c r="D499" s="20" t="str" cm="1">
        <f t="array" aca="1" ref="D499" ca="1">IF(I499="","",INDIRECT("'Grad Raw Data'!G"&amp;I499))</f>
        <v/>
      </c>
      <c r="H499">
        <v>499</v>
      </c>
      <c r="I499" t="str">
        <f t="shared" si="7"/>
        <v/>
      </c>
    </row>
    <row r="500" spans="1:9" ht="24.95" customHeight="1" x14ac:dyDescent="0.25">
      <c r="A500" s="20" t="str">
        <f>'Grad Raw Data'!I251</f>
        <v>Leah</v>
      </c>
      <c r="B500" s="20" t="str">
        <f>'Grad Raw Data'!K252</f>
        <v/>
      </c>
      <c r="C500" s="20" t="str">
        <f>'Grad Raw Data'!H251</f>
        <v>Weber</v>
      </c>
      <c r="D500" s="20" cm="1">
        <f t="array" aca="1" ref="D500" ca="1">IF(I500="","",INDIRECT("'Grad Raw Data'!G"&amp;I500))</f>
        <v>0</v>
      </c>
      <c r="E500" s="44" t="str">
        <f>'Grad Raw Data'!D251</f>
        <v>RIGHT</v>
      </c>
      <c r="F500" s="44">
        <f>'Grad Raw Data'!E251</f>
        <v>11</v>
      </c>
      <c r="H500">
        <v>500</v>
      </c>
      <c r="I500">
        <f t="shared" si="7"/>
        <v>251</v>
      </c>
    </row>
    <row r="501" spans="1:9" ht="24.95" customHeight="1" x14ac:dyDescent="0.25">
      <c r="A501" s="16">
        <f>'Grad Raw Data'!L251</f>
        <v>0</v>
      </c>
      <c r="B501" s="20"/>
      <c r="C501" s="20"/>
      <c r="D501" s="20" t="str" cm="1">
        <f t="array" aca="1" ref="D501" ca="1">IF(I501="","",INDIRECT("'Grad Raw Data'!G"&amp;I501))</f>
        <v/>
      </c>
      <c r="H501">
        <v>501</v>
      </c>
      <c r="I501" t="str">
        <f t="shared" si="7"/>
        <v/>
      </c>
    </row>
    <row r="502" spans="1:9" ht="24.95" customHeight="1" x14ac:dyDescent="0.25">
      <c r="A502" s="20" t="str">
        <f>'Grad Raw Data'!I252</f>
        <v>Emma</v>
      </c>
      <c r="B502" s="20" t="str">
        <f>'Grad Raw Data'!K253</f>
        <v/>
      </c>
      <c r="C502" s="20" t="str">
        <f>'Grad Raw Data'!H252</f>
        <v>White</v>
      </c>
      <c r="D502" s="20" cm="1">
        <f t="array" aca="1" ref="D502" ca="1">IF(I502="","",INDIRECT("'Grad Raw Data'!G"&amp;I502))</f>
        <v>0</v>
      </c>
      <c r="E502" s="44" t="str">
        <f>'Grad Raw Data'!D252</f>
        <v>RIGHT</v>
      </c>
      <c r="F502" s="44">
        <f>'Grad Raw Data'!E252</f>
        <v>11</v>
      </c>
      <c r="H502">
        <v>502</v>
      </c>
      <c r="I502">
        <f t="shared" si="7"/>
        <v>252</v>
      </c>
    </row>
    <row r="503" spans="1:9" ht="24.95" customHeight="1" x14ac:dyDescent="0.25">
      <c r="A503" s="16">
        <f>'Grad Raw Data'!L252</f>
        <v>0</v>
      </c>
      <c r="B503" s="20"/>
      <c r="C503" s="20"/>
      <c r="D503" s="20" t="str" cm="1">
        <f t="array" aca="1" ref="D503" ca="1">IF(I503="","",INDIRECT("'Grad Raw Data'!G"&amp;I503))</f>
        <v/>
      </c>
      <c r="H503">
        <v>503</v>
      </c>
      <c r="I503" t="str">
        <f t="shared" si="7"/>
        <v/>
      </c>
    </row>
    <row r="504" spans="1:9" ht="24.95" customHeight="1" x14ac:dyDescent="0.25">
      <c r="A504" s="20" t="str">
        <f>'Grad Raw Data'!I253</f>
        <v>John</v>
      </c>
      <c r="B504" s="20" t="str">
        <f>'Grad Raw Data'!K254</f>
        <v/>
      </c>
      <c r="C504" s="20" t="str">
        <f>'Grad Raw Data'!H253</f>
        <v>Wiggins</v>
      </c>
      <c r="D504" s="20" cm="1">
        <f t="array" aca="1" ref="D504" ca="1">IF(I504="","",INDIRECT("'Grad Raw Data'!G"&amp;I504))</f>
        <v>0</v>
      </c>
      <c r="E504" s="44" t="str">
        <f>'Grad Raw Data'!D253</f>
        <v>RIGHT</v>
      </c>
      <c r="F504" s="44">
        <f>'Grad Raw Data'!E253</f>
        <v>11</v>
      </c>
      <c r="H504">
        <v>504</v>
      </c>
      <c r="I504">
        <f t="shared" si="7"/>
        <v>253</v>
      </c>
    </row>
    <row r="505" spans="1:9" ht="24.95" customHeight="1" x14ac:dyDescent="0.25">
      <c r="A505" s="16">
        <f>'Grad Raw Data'!L253</f>
        <v>0</v>
      </c>
      <c r="B505" s="20"/>
      <c r="C505" s="20"/>
      <c r="D505" s="20" t="str" cm="1">
        <f t="array" aca="1" ref="D505" ca="1">IF(I505="","",INDIRECT("'Grad Raw Data'!G"&amp;I505))</f>
        <v/>
      </c>
      <c r="H505">
        <v>505</v>
      </c>
      <c r="I505" t="str">
        <f t="shared" si="7"/>
        <v/>
      </c>
    </row>
    <row r="506" spans="1:9" ht="24.95" customHeight="1" x14ac:dyDescent="0.25">
      <c r="A506" s="20" t="str">
        <f>'Grad Raw Data'!I254</f>
        <v>Angela</v>
      </c>
      <c r="B506" s="20" t="str">
        <f>'Grad Raw Data'!K255</f>
        <v/>
      </c>
      <c r="C506" s="20" t="str">
        <f>'Grad Raw Data'!H254</f>
        <v>Wilder</v>
      </c>
      <c r="D506" s="20" cm="1">
        <f t="array" aca="1" ref="D506" ca="1">IF(I506="","",INDIRECT("'Grad Raw Data'!G"&amp;I506))</f>
        <v>0</v>
      </c>
      <c r="E506" s="44" t="str">
        <f>'Grad Raw Data'!D254</f>
        <v>RIGHT</v>
      </c>
      <c r="F506" s="44">
        <f>'Grad Raw Data'!E254</f>
        <v>11</v>
      </c>
      <c r="H506">
        <v>506</v>
      </c>
      <c r="I506">
        <f t="shared" si="7"/>
        <v>254</v>
      </c>
    </row>
    <row r="507" spans="1:9" ht="24.95" customHeight="1" x14ac:dyDescent="0.25">
      <c r="A507" s="16">
        <f>'Grad Raw Data'!L254</f>
        <v>0</v>
      </c>
      <c r="B507" s="20"/>
      <c r="C507" s="20"/>
      <c r="D507" s="20" t="str" cm="1">
        <f t="array" aca="1" ref="D507" ca="1">IF(I507="","",INDIRECT("'Grad Raw Data'!G"&amp;I507))</f>
        <v/>
      </c>
      <c r="H507">
        <v>507</v>
      </c>
      <c r="I507" t="str">
        <f t="shared" si="7"/>
        <v/>
      </c>
    </row>
    <row r="508" spans="1:9" ht="24.95" customHeight="1" x14ac:dyDescent="0.25">
      <c r="A508" s="20" t="str">
        <f>'Grad Raw Data'!I255</f>
        <v>Aidan</v>
      </c>
      <c r="B508" s="20" t="str">
        <f>'Grad Raw Data'!K256</f>
        <v>Auddie</v>
      </c>
      <c r="C508" s="20" t="str">
        <f>'Grad Raw Data'!H255</f>
        <v>Williams</v>
      </c>
      <c r="D508" s="20" cm="1">
        <f t="array" aca="1" ref="D508" ca="1">IF(I508="","",INDIRECT("'Grad Raw Data'!G"&amp;I508))</f>
        <v>0</v>
      </c>
      <c r="E508" s="44" t="str">
        <f>'Grad Raw Data'!D255</f>
        <v>RIGHT</v>
      </c>
      <c r="F508" s="44">
        <f>'Grad Raw Data'!E255</f>
        <v>11</v>
      </c>
      <c r="H508">
        <v>508</v>
      </c>
      <c r="I508">
        <f t="shared" si="7"/>
        <v>255</v>
      </c>
    </row>
    <row r="509" spans="1:9" ht="24.95" customHeight="1" x14ac:dyDescent="0.25">
      <c r="A509" s="16" t="str">
        <f>'Grad Raw Data'!L255</f>
        <v>Auddie(Awd-ie)</v>
      </c>
      <c r="B509" s="20"/>
      <c r="C509" s="20"/>
      <c r="D509" s="20" t="str" cm="1">
        <f t="array" aca="1" ref="D509" ca="1">IF(I509="","",INDIRECT("'Grad Raw Data'!G"&amp;I509))</f>
        <v/>
      </c>
      <c r="H509">
        <v>509</v>
      </c>
      <c r="I509" t="str">
        <f t="shared" si="7"/>
        <v/>
      </c>
    </row>
    <row r="510" spans="1:9" ht="24.95" customHeight="1" x14ac:dyDescent="0.25">
      <c r="A510" s="20" t="str">
        <f>'Grad Raw Data'!I256</f>
        <v>Jared</v>
      </c>
      <c r="B510" s="20" t="str">
        <f>'Grad Raw Data'!K257</f>
        <v/>
      </c>
      <c r="C510" s="20" t="str">
        <f>'Grad Raw Data'!H256</f>
        <v>Wright</v>
      </c>
      <c r="D510" s="20" cm="1">
        <f t="array" aca="1" ref="D510" ca="1">IF(I510="","",INDIRECT("'Grad Raw Data'!G"&amp;I510))</f>
        <v>0</v>
      </c>
      <c r="E510" s="44" t="str">
        <f>'Grad Raw Data'!D256</f>
        <v>RIGHT</v>
      </c>
      <c r="F510" s="44">
        <f>'Grad Raw Data'!E256</f>
        <v>11</v>
      </c>
      <c r="H510">
        <v>510</v>
      </c>
      <c r="I510">
        <f t="shared" si="7"/>
        <v>256</v>
      </c>
    </row>
    <row r="511" spans="1:9" ht="24.95" customHeight="1" x14ac:dyDescent="0.25">
      <c r="A511" s="16">
        <f>'Grad Raw Data'!L256</f>
        <v>0</v>
      </c>
      <c r="B511" s="20"/>
      <c r="C511" s="20"/>
      <c r="D511" s="20" t="str" cm="1">
        <f t="array" aca="1" ref="D511" ca="1">IF(I511="","",INDIRECT("'Grad Raw Data'!G"&amp;I511))</f>
        <v/>
      </c>
      <c r="H511">
        <v>511</v>
      </c>
      <c r="I511" t="str">
        <f t="shared" si="7"/>
        <v/>
      </c>
    </row>
    <row r="512" spans="1:9" ht="24.95" customHeight="1" x14ac:dyDescent="0.25">
      <c r="A512" s="20" t="str">
        <f>'Grad Raw Data'!I257</f>
        <v>Jamari</v>
      </c>
      <c r="B512" s="20" t="str">
        <f>'Grad Raw Data'!K258</f>
        <v/>
      </c>
      <c r="C512" s="20" t="str">
        <f>'Grad Raw Data'!H257</f>
        <v>Wright</v>
      </c>
      <c r="D512" s="20" cm="1">
        <f t="array" aca="1" ref="D512" ca="1">IF(I512="","",INDIRECT("'Grad Raw Data'!G"&amp;I512))</f>
        <v>0</v>
      </c>
      <c r="E512" s="44" t="str">
        <f>'Grad Raw Data'!D257</f>
        <v>RIGHT</v>
      </c>
      <c r="F512" s="44">
        <f>'Grad Raw Data'!E257</f>
        <v>11</v>
      </c>
      <c r="H512">
        <v>512</v>
      </c>
      <c r="I512">
        <f t="shared" si="7"/>
        <v>257</v>
      </c>
    </row>
    <row r="513" spans="1:9" ht="24.95" customHeight="1" x14ac:dyDescent="0.25">
      <c r="A513" s="16">
        <f>'Grad Raw Data'!L257</f>
        <v>0</v>
      </c>
      <c r="B513" s="20"/>
      <c r="C513" s="20"/>
      <c r="D513" s="20" t="str" cm="1">
        <f t="array" aca="1" ref="D513" ca="1">IF(I513="","",INDIRECT("'Grad Raw Data'!G"&amp;I513))</f>
        <v/>
      </c>
      <c r="H513">
        <v>513</v>
      </c>
      <c r="I513" t="str">
        <f t="shared" si="7"/>
        <v/>
      </c>
    </row>
    <row r="514" spans="1:9" x14ac:dyDescent="0.25">
      <c r="A514" s="20" t="str">
        <f>'Grad Raw Data'!I259</f>
        <v>John</v>
      </c>
      <c r="B514" s="20" t="str">
        <f>'Grad Raw Data'!K260</f>
        <v/>
      </c>
      <c r="C514" s="20" t="str">
        <f>'Grad Raw Data'!H259</f>
        <v>Zani</v>
      </c>
      <c r="D514" s="20" t="str" cm="1">
        <f t="array" aca="1" ref="D514" ca="1">IF(I514="","",INDIRECT("'Grad Raw Data'!G"&amp;I514))</f>
        <v/>
      </c>
      <c r="E514" s="44" t="str">
        <f>'Grad Raw Data'!D259</f>
        <v>LEFT</v>
      </c>
      <c r="F514" s="44">
        <f>'Grad Raw Data'!E259</f>
        <v>11</v>
      </c>
    </row>
    <row r="515" spans="1:9" x14ac:dyDescent="0.25">
      <c r="A515" s="16" t="str">
        <f>'Grad Raw Data'!L259</f>
        <v>John ZAH-nee</v>
      </c>
      <c r="B515" s="20"/>
      <c r="C515" s="20"/>
      <c r="D515" s="20" t="str" cm="1">
        <f t="array" aca="1" ref="D515" ca="1">IF(I515="","",INDIRECT("'Grad Raw Data'!G"&amp;I515))</f>
        <v/>
      </c>
    </row>
  </sheetData>
  <pageMargins left="0.25" right="0.25" top="0.75" bottom="0.75" header="0.3" footer="0.3"/>
  <pageSetup orientation="portrait" r:id="rId1"/>
  <headerFooter alignWithMargins="0"/>
  <rowBreaks count="21" manualBreakCount="21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508" workbookViewId="0">
      <selection activeCell="I523" sqref="I523"/>
    </sheetView>
  </sheetViews>
  <sheetFormatPr defaultRowHeight="15" x14ac:dyDescent="0.2"/>
  <cols>
    <col min="1" max="2" width="18" style="17" customWidth="1"/>
    <col min="3" max="3" width="26.7109375" style="17" customWidth="1"/>
    <col min="4" max="4" width="18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 t="str">
        <f>'Grad Raw Data'!K70</f>
        <v>Da</v>
      </c>
      <c r="C136" s="20" t="str">
        <f>'Grad Raw Data'!H69</f>
        <v>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Data'!K71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Data'!K72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Data'!K73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Data'!K74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Dante</v>
      </c>
      <c r="B146" s="20" t="str">
        <f>'Grad Raw Data'!K75</f>
        <v/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Antonio</v>
      </c>
      <c r="B148" s="20" t="str">
        <f>'Grad Raw Data'!K76</f>
        <v>Joseph</v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Data'!K77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Data'!K78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Data'!K79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Data'!K80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Data'!K81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Data'!K82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Data'!K83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Luca</v>
      </c>
      <c r="B164" s="20" t="str">
        <f>'Grad Raw Data'!K84</f>
        <v/>
      </c>
      <c r="C164" s="20" t="str">
        <f>'Grad Raw Data'!H83</f>
        <v>Eliet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Finn</v>
      </c>
      <c r="B166" s="20" t="str">
        <f>'Grad Raw Data'!K85</f>
        <v/>
      </c>
      <c r="C166" s="20" t="str">
        <f>'Grad Raw Data'!H84</f>
        <v>Ellis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Levi</v>
      </c>
      <c r="B168" s="20" t="str">
        <f>'Grad Raw Data'!K86</f>
        <v/>
      </c>
      <c r="C168" s="20" t="str">
        <f>'Grad Raw Data'!H85</f>
        <v>Emmanuel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Kamryn</v>
      </c>
      <c r="B170" s="20" t="str">
        <f>'Grad Raw Data'!K87</f>
        <v/>
      </c>
      <c r="C170" s="20" t="str">
        <f>'Grad Raw Data'!H86</f>
        <v>Encarnacao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Samuel</v>
      </c>
      <c r="B172" s="20" t="str">
        <f>'Grad Raw Data'!K88</f>
        <v/>
      </c>
      <c r="C172" s="20" t="str">
        <f>'Grad Raw Data'!H87</f>
        <v>Fortes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Kaylie</v>
      </c>
      <c r="B174" s="20" t="str">
        <f>'Grad Raw Data'!K89</f>
        <v/>
      </c>
      <c r="C174" s="20" t="str">
        <f>'Grad Raw Data'!H88</f>
        <v>Fantasia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Vince</v>
      </c>
      <c r="B176" s="20" t="str">
        <f>'Grad Raw Data'!K90</f>
        <v/>
      </c>
      <c r="C176" s="20" t="str">
        <f>'Grad Raw Data'!H89</f>
        <v>Farnham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Colby</v>
      </c>
      <c r="B178" s="20" t="str">
        <f>'Grad Raw Data'!K91</f>
        <v/>
      </c>
      <c r="C178" s="20" t="str">
        <f>'Grad Raw Data'!H90</f>
        <v>Farris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Bryan</v>
      </c>
      <c r="B180" s="20" t="str">
        <f>'Grad Raw Data'!K92</f>
        <v/>
      </c>
      <c r="C180" s="20" t="str">
        <f>'Grad Raw Data'!H91</f>
        <v>Fernandez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Thomas</v>
      </c>
      <c r="B182" s="20" t="str">
        <f>'Grad Raw Data'!K93</f>
        <v/>
      </c>
      <c r="C182" s="20" t="str">
        <f>'Grad Raw Data'!H92</f>
        <v>Fiore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Finn</v>
      </c>
      <c r="B184" s="20" t="str">
        <f>'Grad Raw Data'!K94</f>
        <v>Patrick</v>
      </c>
      <c r="C184" s="20" t="str">
        <f>'Grad Raw Data'!H93</f>
        <v>Flaherty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Matthew</v>
      </c>
      <c r="B186" s="20" t="str">
        <f>'Grad Raw Data'!K95</f>
        <v/>
      </c>
      <c r="C186" s="20" t="str">
        <f>'Grad Raw Data'!H94</f>
        <v>Forse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Jacob</v>
      </c>
      <c r="B188" s="20" t="str">
        <f>'Grad Raw Data'!K96</f>
        <v/>
      </c>
      <c r="C188" s="20" t="str">
        <f>'Grad Raw Data'!H95</f>
        <v>Frank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Anthony</v>
      </c>
      <c r="B190" s="20" t="str">
        <f>'Grad Raw Data'!K97</f>
        <v/>
      </c>
      <c r="C190" s="20" t="str">
        <f>'Grad Raw Data'!H96</f>
        <v>Fratto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Gavin</v>
      </c>
      <c r="B192" s="20" t="str">
        <f>'Grad Raw Data'!K98</f>
        <v/>
      </c>
      <c r="C192" s="20" t="str">
        <f>'Grad Raw Data'!H97</f>
        <v>Fucarile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Cole</v>
      </c>
      <c r="B194" s="20" t="str">
        <f>'Grad Raw Data'!K99</f>
        <v/>
      </c>
      <c r="C194" s="20" t="str">
        <f>'Grad Raw Data'!H98</f>
        <v>Fusco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Paul</v>
      </c>
      <c r="B196" s="20" t="str">
        <f>'Grad Raw Data'!K100</f>
        <v>Richard</v>
      </c>
      <c r="C196" s="20" t="str">
        <f>'Grad Raw Data'!H99</f>
        <v>Gaeta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Lucas</v>
      </c>
      <c r="B198" s="20" t="str">
        <f>'Grad Raw Data'!K101</f>
        <v/>
      </c>
      <c r="C198" s="20" t="str">
        <f>'Grad Raw Data'!H100</f>
        <v>Gager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Nevaeh</v>
      </c>
      <c r="B200" s="20" t="str">
        <f>'Grad Raw Data'!K102</f>
        <v/>
      </c>
      <c r="C200" s="20" t="str">
        <f>'Grad Raw Data'!H101</f>
        <v>Galindo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Joseph</v>
      </c>
      <c r="B202" s="20" t="str">
        <f>'Grad Raw Data'!K103</f>
        <v/>
      </c>
      <c r="C202" s="20" t="str">
        <f>'Grad Raw Data'!H102</f>
        <v>Gallagher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Brendan</v>
      </c>
      <c r="B204" s="20" t="str">
        <f>'Grad Raw Data'!K104</f>
        <v/>
      </c>
      <c r="C204" s="20" t="str">
        <f>'Grad Raw Data'!H103</f>
        <v>Gauvin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Bereket</v>
      </c>
      <c r="B206" s="20" t="str">
        <f>'Grad Raw Data'!K105</f>
        <v/>
      </c>
      <c r="C206" s="20" t="str">
        <f>'Grad Raw Data'!H104</f>
        <v>Gebeyaw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Alix</v>
      </c>
      <c r="B208" s="20" t="str">
        <f>'Grad Raw Data'!K106</f>
        <v/>
      </c>
      <c r="C208" s="20" t="str">
        <f>'Grad Raw Data'!H105</f>
        <v>Gellot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Cameron</v>
      </c>
      <c r="B210" s="20" t="str">
        <f>'Grad Raw Data'!K107</f>
        <v/>
      </c>
      <c r="C210" s="20" t="str">
        <f>'Grad Raw Data'!H106</f>
        <v>Gigler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Alex</v>
      </c>
      <c r="B212" s="20" t="str">
        <f>'Grad Raw Data'!K108</f>
        <v/>
      </c>
      <c r="C212" s="20" t="str">
        <f>'Grad Raw Data'!H107</f>
        <v>Gisetto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Benjamin</v>
      </c>
      <c r="B214" s="20" t="str">
        <f>'Grad Raw Data'!K109</f>
        <v/>
      </c>
      <c r="C214" s="20" t="str">
        <f>'Grad Raw Data'!H108</f>
        <v>Goldlust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Jack</v>
      </c>
      <c r="B216" s="20" t="str">
        <f>'Grad Raw Data'!K110</f>
        <v/>
      </c>
      <c r="C216" s="20" t="str">
        <f>'Grad Raw Data'!H109</f>
        <v>Goodfellow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Drew</v>
      </c>
      <c r="B218" s="20" t="str">
        <f>'Grad Raw Data'!K111</f>
        <v/>
      </c>
      <c r="C218" s="20" t="str">
        <f>'Grad Raw Data'!H110</f>
        <v>Gorski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Lila</v>
      </c>
      <c r="B220" s="20" t="str">
        <f>'Grad Raw Data'!K112</f>
        <v/>
      </c>
      <c r="C220" s="20" t="str">
        <f>'Grad Raw Data'!H111</f>
        <v>Gosdanian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Cole</v>
      </c>
      <c r="B222" s="20" t="str">
        <f>'Grad Raw Data'!K113</f>
        <v>Sebastian</v>
      </c>
      <c r="C222" s="20" t="str">
        <f>'Grad Raw Data'!H112</f>
        <v>Grant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Kendall</v>
      </c>
      <c r="B224" s="20" t="str">
        <f>'Grad Raw Data'!K114</f>
        <v/>
      </c>
      <c r="C224" s="20" t="str">
        <f>'Grad Raw Data'!H113</f>
        <v>Graves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Griffin</v>
      </c>
      <c r="B226" s="20" t="str">
        <f>'Grad Raw Data'!K115</f>
        <v>James</v>
      </c>
      <c r="C226" s="20" t="str">
        <f>'Grad Raw Data'!H114</f>
        <v>Haggerty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Andrea</v>
      </c>
      <c r="B228" s="20" t="str">
        <f>'Grad Raw Data'!K116</f>
        <v/>
      </c>
      <c r="C228" s="20" t="str">
        <f>'Grad Raw Data'!H115</f>
        <v>Hall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Sarah</v>
      </c>
      <c r="B230" s="20" t="str">
        <f>'Grad Raw Data'!K117</f>
        <v/>
      </c>
      <c r="C230" s="20" t="str">
        <f>'Grad Raw Data'!H116</f>
        <v>Hamilton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Margaret</v>
      </c>
      <c r="B232" s="20" t="str">
        <f>'Grad Raw Data'!K118</f>
        <v/>
      </c>
      <c r="C232" s="20" t="str">
        <f>'Grad Raw Data'!H117</f>
        <v>Hanifan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Cameron</v>
      </c>
      <c r="B234" s="20" t="str">
        <f>'Grad Raw Data'!K119</f>
        <v/>
      </c>
      <c r="C234" s="20" t="str">
        <f>'Grad Raw Data'!H118</f>
        <v>Harrigan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Victoria</v>
      </c>
      <c r="B236" s="20" t="str">
        <f>'Grad Raw Data'!K120</f>
        <v/>
      </c>
      <c r="C236" s="20" t="str">
        <f>'Grad Raw Data'!H119</f>
        <v>Henri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Kayke</v>
      </c>
      <c r="B238" s="20" t="str">
        <f>'Grad Raw Data'!K121</f>
        <v/>
      </c>
      <c r="C238" s="20" t="str">
        <f>'Grad Raw Data'!H120</f>
        <v>Henrique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Jahkye</v>
      </c>
      <c r="B240" s="20" t="str">
        <f>'Grad Raw Data'!K122</f>
        <v/>
      </c>
      <c r="C240" s="20" t="str">
        <f>'Grad Raw Data'!H121</f>
        <v>Hobson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Sam</v>
      </c>
      <c r="B242" s="20" t="str">
        <f>'Grad Raw Data'!K123</f>
        <v/>
      </c>
      <c r="C242" s="20" t="str">
        <f>'Grad Raw Data'!H122</f>
        <v>Holt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Benjamin</v>
      </c>
      <c r="B244" s="20" t="str">
        <f>'Grad Raw Data'!K124</f>
        <v/>
      </c>
      <c r="C244" s="20" t="str">
        <f>'Grad Raw Data'!H123</f>
        <v>Houle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Evin</v>
      </c>
      <c r="B246" s="20" t="str">
        <f>'Grad Raw Data'!K125</f>
        <v/>
      </c>
      <c r="C246" s="20" t="str">
        <f>'Grad Raw Data'!H124</f>
        <v>Howell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Paul</v>
      </c>
      <c r="B248" s="20" t="str">
        <f>'Grad Raw Data'!K126</f>
        <v>Joseph</v>
      </c>
      <c r="C248" s="20" t="str">
        <f>'Grad Raw Data'!H125</f>
        <v>Iosua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Leah</v>
      </c>
      <c r="B250" s="20" t="str">
        <f>'Grad Raw Data'!K127</f>
        <v/>
      </c>
      <c r="C250" s="20" t="str">
        <f>'Grad Raw Data'!H126</f>
        <v>Jackvony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Wayne</v>
      </c>
      <c r="B252" s="20" t="str">
        <f>'Grad Raw Data'!K128</f>
        <v/>
      </c>
      <c r="C252" s="20" t="str">
        <f>'Grad Raw Data'!H127</f>
        <v>Jankun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Tristan</v>
      </c>
      <c r="B254" s="20" t="str">
        <f>'Grad Raw Data'!K129</f>
        <v/>
      </c>
      <c r="C254" s="20" t="str">
        <f>'Grad Raw Data'!H128</f>
        <v>Jenkins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Evan</v>
      </c>
      <c r="B256" s="20" t="str">
        <f>'Grad Raw Data'!K130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Michael</v>
      </c>
      <c r="B258" s="20" t="str">
        <f>'Grad Raw Data'!K131</f>
        <v/>
      </c>
      <c r="C258" s="20" t="str">
        <f>'Grad Raw Data'!H130</f>
        <v>Jenney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Luke</v>
      </c>
      <c r="B260" s="20" t="str">
        <f>'Grad Raw Data'!K132</f>
        <v/>
      </c>
      <c r="C260" s="20" t="str">
        <f>'Grad Raw Data'!H131</f>
        <v>Johnson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Maeve</v>
      </c>
      <c r="B262" s="20" t="str">
        <f>'Grad Raw Data'!K133</f>
        <v/>
      </c>
      <c r="C262" s="20" t="str">
        <f>'Grad Raw Data'!H132</f>
        <v>Jones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Nolan</v>
      </c>
      <c r="B264" s="20" t="str">
        <f>'Grad Raw Data'!K134</f>
        <v/>
      </c>
      <c r="C264" s="20" t="str">
        <f>'Grad Raw Data'!H133</f>
        <v>Jordan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Emma</v>
      </c>
      <c r="B266" s="20" t="str">
        <f>'Grad Raw Data'!K135</f>
        <v/>
      </c>
      <c r="C266" s="20" t="str">
        <f>'Grad Raw Data'!H134</f>
        <v>Kaberle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Azra</v>
      </c>
      <c r="B268" s="20" t="str">
        <f>'Grad Raw Data'!K136</f>
        <v/>
      </c>
      <c r="C268" s="20" t="str">
        <f>'Grad Raw Data'!H135</f>
        <v>Kadric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Brady</v>
      </c>
      <c r="B270" s="20" t="str">
        <f>'Grad Raw Data'!K137</f>
        <v/>
      </c>
      <c r="C270" s="20" t="str">
        <f>'Grad Raw Data'!H136</f>
        <v>Keaveney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Hannah</v>
      </c>
      <c r="B272" s="20" t="str">
        <f>'Grad Raw Data'!K138</f>
        <v/>
      </c>
      <c r="C272" s="20" t="str">
        <f>'Grad Raw Data'!H137</f>
        <v>Kenton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Aiden</v>
      </c>
      <c r="B274" s="20" t="str">
        <f>'Grad Raw Data'!K139</f>
        <v/>
      </c>
      <c r="C274" s="20" t="str">
        <f>'Grad Raw Data'!H138</f>
        <v>Kiley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Clinton</v>
      </c>
      <c r="B276" s="20" t="str">
        <f>'Grad Raw Data'!K140</f>
        <v/>
      </c>
      <c r="C276" s="20" t="str">
        <f>'Grad Raw Data'!H139</f>
        <v>King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Kyle</v>
      </c>
      <c r="B278" s="20" t="str">
        <f>'Grad Raw Data'!K141</f>
        <v/>
      </c>
      <c r="C278" s="20" t="str">
        <f>'Grad Raw Data'!H140</f>
        <v>Koster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Enzo</v>
      </c>
      <c r="B280" s="20" t="str">
        <f>'Grad Raw Data'!K142</f>
        <v>George</v>
      </c>
      <c r="C280" s="20" t="str">
        <f>'Grad Raw Data'!H141</f>
        <v>Lalicata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Matthew</v>
      </c>
      <c r="B282" s="20" t="str">
        <f>'Grad Raw Data'!K143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Jonathan</v>
      </c>
      <c r="B284" s="20" t="str">
        <f>'Grad Raw Data'!K144</f>
        <v/>
      </c>
      <c r="C284" s="20" t="str">
        <f>'Grad Raw Data'!H143</f>
        <v>Laurino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Asad</v>
      </c>
      <c r="B286" s="20" t="str">
        <f>'Grad Raw Data'!K145</f>
        <v/>
      </c>
      <c r="C286" s="20" t="str">
        <f>'Grad Raw Data'!H144</f>
        <v>Layne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Jonathan</v>
      </c>
      <c r="B288" s="20" t="str">
        <f>'Grad Raw Data'!K146</f>
        <v/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Austin</v>
      </c>
      <c r="B290" s="20" t="str">
        <f>'Grad Raw Data'!K147</f>
        <v>James</v>
      </c>
      <c r="C290" s="20" t="str">
        <f>'Grad Raw Data'!H146</f>
        <v>Lee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Desmond</v>
      </c>
      <c r="B292" s="20" t="str">
        <f>'Grad Raw Data'!K148</f>
        <v/>
      </c>
      <c r="C292" s="20" t="str">
        <f>'Grad Raw Data'!H147</f>
        <v>Lethin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Katie</v>
      </c>
      <c r="B294" s="20" t="str">
        <f>'Grad Raw Data'!K149</f>
        <v/>
      </c>
      <c r="C294" s="20" t="str">
        <f>'Grad Raw Data'!H148</f>
        <v>Lewis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Isabelle</v>
      </c>
      <c r="B296" s="20" t="str">
        <f>'Grad Raw Data'!K150</f>
        <v/>
      </c>
      <c r="C296" s="20" t="str">
        <f>'Grad Raw Data'!H149</f>
        <v>Lightbody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Steven</v>
      </c>
      <c r="B298" s="20" t="str">
        <f>'Grad Raw Data'!K151</f>
        <v/>
      </c>
      <c r="C298" s="20" t="str">
        <f>'Grad Raw Data'!H150</f>
        <v>Lin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Zackary</v>
      </c>
      <c r="B300" s="20" t="str">
        <f>'Grad Raw Data'!K152</f>
        <v/>
      </c>
      <c r="C300" s="20" t="str">
        <f>'Grad Raw Data'!H151</f>
        <v>Lizotte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Isla</v>
      </c>
      <c r="B302" s="20" t="str">
        <f>'Grad Raw Data'!K153</f>
        <v/>
      </c>
      <c r="C302" s="20" t="str">
        <f>'Grad Raw Data'!H152</f>
        <v>Lusk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Lilyana</v>
      </c>
      <c r="B304" s="20" t="str">
        <f>'Grad Raw Data'!K154</f>
        <v/>
      </c>
      <c r="C304" s="20" t="str">
        <f>'Grad Raw Data'!H153</f>
        <v>Madden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Rosalia</v>
      </c>
      <c r="B306" s="20" t="str">
        <f>'Grad Raw Data'!K155</f>
        <v/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Trent</v>
      </c>
      <c r="B308" s="20" t="str">
        <f>'Grad Raw Data'!K156</f>
        <v>Joseph</v>
      </c>
      <c r="C308" s="20" t="str">
        <f>'Grad Raw Data'!H155</f>
        <v>Maganzini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Emma</v>
      </c>
      <c r="B310" s="20" t="str">
        <f>'Grad Raw Data'!K157</f>
        <v/>
      </c>
      <c r="C310" s="20" t="str">
        <f>'Grad Raw Data'!H156</f>
        <v>Mahoney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Charles</v>
      </c>
      <c r="B312" s="20" t="str">
        <f>'Grad Raw Data'!K158</f>
        <v/>
      </c>
      <c r="C312" s="20" t="str">
        <f>'Grad Raw Data'!H157</f>
        <v>Maness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Evan</v>
      </c>
      <c r="B314" s="20" t="str">
        <f>'Grad Raw Data'!K159</f>
        <v/>
      </c>
      <c r="C314" s="20" t="str">
        <f>'Grad Raw Data'!H158</f>
        <v>Manfredi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Syler</v>
      </c>
      <c r="B316" s="20" t="str">
        <f>'Grad Raw Data'!K160</f>
        <v/>
      </c>
      <c r="C316" s="20" t="str">
        <f>'Grad Raw Data'!H159</f>
        <v>Manning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Tyler</v>
      </c>
      <c r="B318" s="20" t="str">
        <f>'Grad Raw Data'!K161</f>
        <v/>
      </c>
      <c r="C318" s="20" t="str">
        <f>'Grad Raw Data'!H160</f>
        <v>Marchlik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e">
        <f>'Grad Raw Data'!I161</f>
        <v>#N/A</v>
      </c>
      <c r="B320" s="20" t="e">
        <f>'Grad Raw Data'!K162</f>
        <v>#N/A</v>
      </c>
      <c r="C320" s="20" t="e">
        <f>'Grad Raw Data'!H161</f>
        <v>#N/A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Marcus</v>
      </c>
      <c r="B344" s="20" t="str">
        <f>'Grad Raw Data'!K174</f>
        <v/>
      </c>
      <c r="C344" s="20" t="str">
        <f>'Grad Raw Data'!H173</f>
        <v>Moller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Evangeline</v>
      </c>
      <c r="B346" s="20" t="str">
        <f>'Grad Raw Data'!K175</f>
        <v/>
      </c>
      <c r="C346" s="20" t="str">
        <f>'Grad Raw Data'!H174</f>
        <v>Moreira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Bobby</v>
      </c>
      <c r="B348" s="20" t="str">
        <f>'Grad Raw Data'!K176</f>
        <v/>
      </c>
      <c r="C348" s="20" t="str">
        <f>'Grad Raw Data'!H175</f>
        <v>Morris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Kaiden</v>
      </c>
      <c r="B350" s="20" t="str">
        <f>'Grad Raw Data'!K177</f>
        <v/>
      </c>
      <c r="C350" s="20" t="str">
        <f>'Grad Raw Data'!H176</f>
        <v>Morrison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Abdul</v>
      </c>
      <c r="B352" s="20" t="str">
        <f>'Grad Raw Data'!K178</f>
        <v>Raheem</v>
      </c>
      <c r="C352" s="20" t="str">
        <f>'Grad Raw Data'!H177</f>
        <v>Mughal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William</v>
      </c>
      <c r="B354" s="20" t="str">
        <f>'Grad Raw Data'!K179</f>
        <v/>
      </c>
      <c r="C354" s="20" t="str">
        <f>'Grad Raw Data'!H178</f>
        <v>Muller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Jack</v>
      </c>
      <c r="B356" s="20" t="str">
        <f>'Grad Raw Data'!K180</f>
        <v/>
      </c>
      <c r="C356" s="20" t="str">
        <f>'Grad Raw Data'!H179</f>
        <v>Murphy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Abigail</v>
      </c>
      <c r="B358" s="20" t="str">
        <f>'Grad Raw Data'!K181</f>
        <v/>
      </c>
      <c r="C358" s="20" t="str">
        <f>'Grad Raw Data'!H180</f>
        <v>Nelson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Patience</v>
      </c>
      <c r="B360" s="20" t="str">
        <f>'Grad Raw Data'!K182</f>
        <v/>
      </c>
      <c r="C360" s="20" t="str">
        <f>'Grad Raw Data'!H181</f>
        <v>Nguyen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Charlotte</v>
      </c>
      <c r="B362" s="20" t="str">
        <f>'Grad Raw Data'!K183</f>
        <v/>
      </c>
      <c r="C362" s="20" t="str">
        <f>'Grad Raw Data'!H182</f>
        <v>Nolty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Mackenzie</v>
      </c>
      <c r="B364" s="20" t="str">
        <f>'Grad Raw Data'!K184</f>
        <v/>
      </c>
      <c r="C364" s="20" t="str">
        <f>'Grad Raw Data'!H183</f>
        <v>Norris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Michelle</v>
      </c>
      <c r="B366" s="20" t="str">
        <f>'Grad Raw Data'!K185</f>
        <v/>
      </c>
      <c r="C366" s="20" t="str">
        <f>'Grad Raw Data'!H184</f>
        <v>Ohlson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Natalie</v>
      </c>
      <c r="B368" s="20" t="str">
        <f>'Grad Raw Data'!K186</f>
        <v/>
      </c>
      <c r="C368" s="20" t="str">
        <f>'Grad Raw Data'!H185</f>
        <v>Ortins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Franklin</v>
      </c>
      <c r="B370" s="20" t="str">
        <f>'Grad Raw Data'!K187</f>
        <v/>
      </c>
      <c r="C370" s="20" t="str">
        <f>'Grad Raw Data'!H186</f>
        <v>Ortiz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Isabelle</v>
      </c>
      <c r="B372" s="20" t="str">
        <f>'Grad Raw Data'!K188</f>
        <v>Grace</v>
      </c>
      <c r="C372" s="20" t="str">
        <f>'Grad Raw Data'!H187</f>
        <v>Parent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Saloni</v>
      </c>
      <c r="B374" s="20" t="str">
        <f>'Grad Raw Data'!K189</f>
        <v/>
      </c>
      <c r="C374" s="20" t="str">
        <f>'Grad Raw Data'!H188</f>
        <v>Patel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Lerika</v>
      </c>
      <c r="B376" s="20" t="str">
        <f>'Grad Raw Data'!K190</f>
        <v/>
      </c>
      <c r="C376" s="20" t="str">
        <f>'Grad Raw Data'!H189</f>
        <v>Peat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Jacob</v>
      </c>
      <c r="B378" s="20" t="str">
        <f>'Grad Raw Data'!K191</f>
        <v/>
      </c>
      <c r="C378" s="20" t="str">
        <f>'Grad Raw Data'!H190</f>
        <v>Petrin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Wyatt</v>
      </c>
      <c r="B380" s="20" t="str">
        <f>'Grad Raw Data'!K192</f>
        <v/>
      </c>
      <c r="C380" s="20" t="str">
        <f>'Grad Raw Data'!H191</f>
        <v>Picard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Samantha</v>
      </c>
      <c r="B382" s="20" t="str">
        <f>'Grad Raw Data'!K193</f>
        <v/>
      </c>
      <c r="C382" s="20" t="str">
        <f>'Grad Raw Data'!H192</f>
        <v>Pomerantz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Shivani</v>
      </c>
      <c r="B384" s="20" t="str">
        <f>'Grad Raw Data'!K194</f>
        <v/>
      </c>
      <c r="C384" s="20" t="str">
        <f>'Grad Raw Data'!H193</f>
        <v>Poudyal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Ryan</v>
      </c>
      <c r="B386" s="20" t="str">
        <f>'Grad Raw Data'!K195</f>
        <v/>
      </c>
      <c r="C386" s="20" t="str">
        <f>'Grad Raw Data'!H194</f>
        <v>Pulpi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Jessica</v>
      </c>
      <c r="B388" s="20" t="str">
        <f>'Grad Raw Data'!K196</f>
        <v/>
      </c>
      <c r="C388" s="20" t="str">
        <f>'Grad Raw Data'!H195</f>
        <v>Rai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Ted</v>
      </c>
      <c r="B390" s="20" t="str">
        <f>'Grad Raw Data'!K197</f>
        <v/>
      </c>
      <c r="C390" s="20" t="str">
        <f>'Grad Raw Data'!H196</f>
        <v>Ravens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Lucas</v>
      </c>
      <c r="B392" s="20" t="str">
        <f>'Grad Raw Data'!K198</f>
        <v/>
      </c>
      <c r="C392" s="20" t="str">
        <f>'Grad Raw Data'!H197</f>
        <v>Reis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Olivia</v>
      </c>
      <c r="B394" s="20" t="str">
        <f>'Grad Raw Data'!K199</f>
        <v/>
      </c>
      <c r="C394" s="20" t="str">
        <f>'Grad Raw Data'!H198</f>
        <v>Renda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Jessica</v>
      </c>
      <c r="B396" s="20" t="str">
        <f>'Grad Raw Data'!K200</f>
        <v/>
      </c>
      <c r="C396" s="20" t="str">
        <f>'Grad Raw Data'!H199</f>
        <v>Richter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Charlotte</v>
      </c>
      <c r="B398" s="20" t="str">
        <f>'Grad Raw Data'!K201</f>
        <v/>
      </c>
      <c r="C398" s="20" t="str">
        <f>'Grad Raw Data'!H200</f>
        <v>Robichaud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Derek</v>
      </c>
      <c r="B400" s="20" t="str">
        <f>'Grad Raw Data'!K202</f>
        <v/>
      </c>
      <c r="C400" s="20" t="str">
        <f>'Grad Raw Data'!H201</f>
        <v>Robillard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Isaac</v>
      </c>
      <c r="B402" s="20" t="str">
        <f>'Grad Raw Data'!K203</f>
        <v/>
      </c>
      <c r="C402" s="20" t="str">
        <f>'Grad Raw Data'!H202</f>
        <v>Robinson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Teresa</v>
      </c>
      <c r="B404" s="20" t="str">
        <f>'Grad Raw Data'!K204</f>
        <v/>
      </c>
      <c r="C404" s="20" t="str">
        <f>'Grad Raw Data'!H203</f>
        <v>Rock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James</v>
      </c>
      <c r="B406" s="20" t="str">
        <f>'Grad Raw Data'!K205</f>
        <v/>
      </c>
      <c r="C406" s="20" t="str">
        <f>'Grad Raw Data'!H204</f>
        <v>Rodrigues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Luke</v>
      </c>
      <c r="B408" s="20" t="str">
        <f>'Grad Raw Data'!K206</f>
        <v/>
      </c>
      <c r="C408" s="20" t="str">
        <f>'Grad Raw Data'!H205</f>
        <v>Rogerson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Javian</v>
      </c>
      <c r="B410" s="20" t="str">
        <f>'Grad Raw Data'!K207</f>
        <v/>
      </c>
      <c r="C410" s="20" t="str">
        <f>'Grad Raw Data'!H206</f>
        <v>Rojas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Ellie</v>
      </c>
      <c r="B412" s="20" t="str">
        <f>'Grad Raw Data'!K208</f>
        <v/>
      </c>
      <c r="C412" s="20" t="str">
        <f>'Grad Raw Data'!H207</f>
        <v>Russo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Rejon</v>
      </c>
      <c r="B414" s="20" t="str">
        <f>'Grad Raw Data'!K209</f>
        <v/>
      </c>
      <c r="C414" s="20" t="str">
        <f>'Grad Raw Data'!H208</f>
        <v>Ryland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Lorenzo</v>
      </c>
      <c r="B416" s="20" t="str">
        <f>'Grad Raw Data'!K210</f>
        <v/>
      </c>
      <c r="C416" s="20" t="str">
        <f>'Grad Raw Data'!H209</f>
        <v>Sardinha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Noah</v>
      </c>
      <c r="B418" s="20" t="str">
        <f>'Grad Raw Data'!K211</f>
        <v/>
      </c>
      <c r="C418" s="20" t="str">
        <f>'Grad Raw Data'!H210</f>
        <v>Sarre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Katherine</v>
      </c>
      <c r="B420" s="20" t="str">
        <f>'Grad Raw Data'!K212</f>
        <v/>
      </c>
      <c r="C420" s="20" t="str">
        <f>'Grad Raw Data'!H211</f>
        <v>Savio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Megan</v>
      </c>
      <c r="B422" s="20" t="str">
        <f>'Grad Raw Data'!K213</f>
        <v/>
      </c>
      <c r="C422" s="20" t="str">
        <f>'Grad Raw Data'!H212</f>
        <v>Scales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Sophie</v>
      </c>
      <c r="B424" s="20" t="str">
        <f>'Grad Raw Data'!K214</f>
        <v/>
      </c>
      <c r="C424" s="20" t="str">
        <f>'Grad Raw Data'!H213</f>
        <v>Schrager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Rylie</v>
      </c>
      <c r="B426" s="20" t="str">
        <f>'Grad Raw Data'!K215</f>
        <v/>
      </c>
      <c r="C426" s="20" t="str">
        <f>'Grad Raw Data'!H214</f>
        <v>Schultz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Madeline</v>
      </c>
      <c r="B428" s="20" t="str">
        <f>'Grad Raw Data'!K216</f>
        <v/>
      </c>
      <c r="C428" s="20" t="str">
        <f>'Grad Raw Data'!H215</f>
        <v>Scully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Sachi</v>
      </c>
      <c r="B430" s="20" t="str">
        <f>'Grad Raw Data'!K217</f>
        <v/>
      </c>
      <c r="C430" s="20" t="str">
        <f>'Grad Raw Data'!H216</f>
        <v>Selvakumar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Katie</v>
      </c>
      <c r="B432" s="20" t="str">
        <f>'Grad Raw Data'!K218</f>
        <v/>
      </c>
      <c r="C432" s="20" t="str">
        <f>'Grad Raw Data'!H217</f>
        <v>Severance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Annabelle</v>
      </c>
      <c r="B434" s="20" t="str">
        <f>'Grad Raw Data'!K219</f>
        <v/>
      </c>
      <c r="C434" s="20" t="str">
        <f>'Grad Raw Data'!H218</f>
        <v>Shanley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Emme</v>
      </c>
      <c r="B436" s="20" t="str">
        <f>'Grad Raw Data'!K220</f>
        <v/>
      </c>
      <c r="C436" s="20" t="str">
        <f>'Grad Raw Data'!H219</f>
        <v>Shediac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Allison</v>
      </c>
      <c r="B438" s="20" t="str">
        <f>'Grad Raw Data'!K221</f>
        <v>Claire</v>
      </c>
      <c r="C438" s="20" t="str">
        <f>'Grad Raw Data'!H220</f>
        <v>Shindelman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John</v>
      </c>
      <c r="B440" s="20" t="str">
        <f>'Grad Raw Data'!K222</f>
        <v>Paul</v>
      </c>
      <c r="C440" s="20" t="str">
        <f>'Grad Raw Data'!H221</f>
        <v>Siciliano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Owen</v>
      </c>
      <c r="B442" s="20" t="str">
        <f>'Grad Raw Data'!K223</f>
        <v/>
      </c>
      <c r="C442" s="20" t="str">
        <f>'Grad Raw Data'!H222</f>
        <v>Sinclair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Sierra</v>
      </c>
      <c r="B444" s="20" t="str">
        <f>'Grad Raw Data'!K224</f>
        <v/>
      </c>
      <c r="C444" s="20" t="str">
        <f>'Grad Raw Data'!H223</f>
        <v>Skenderian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John</v>
      </c>
      <c r="B446" s="20" t="str">
        <f>'Grad Raw Data'!K225</f>
        <v/>
      </c>
      <c r="C446" s="20" t="str">
        <f>'Grad Raw Data'!H224</f>
        <v>Slinn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Julia</v>
      </c>
      <c r="B448" s="20" t="str">
        <f>'Grad Raw Data'!K226</f>
        <v/>
      </c>
      <c r="C448" s="20" t="str">
        <f>'Grad Raw Data'!H225</f>
        <v>Smith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Noah</v>
      </c>
      <c r="B450" s="20" t="str">
        <f>'Grad Raw Data'!K227</f>
        <v/>
      </c>
      <c r="C450" s="20" t="str">
        <f>'Grad Raw Data'!H226</f>
        <v>Snyder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Aaron</v>
      </c>
      <c r="B452" s="20" t="str">
        <f>'Grad Raw Data'!K228</f>
        <v>Sylvan</v>
      </c>
      <c r="C452" s="20" t="str">
        <f>'Grad Raw Data'!H227</f>
        <v>Soto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Andrew</v>
      </c>
      <c r="B454" s="20" t="str">
        <f>'Grad Raw Data'!K229</f>
        <v/>
      </c>
      <c r="C454" s="20" t="str">
        <f>'Grad Raw Data'!H228</f>
        <v>Spencer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Elias</v>
      </c>
      <c r="B456" s="20" t="str">
        <f>'Grad Raw Data'!K230</f>
        <v/>
      </c>
      <c r="C456" s="20" t="str">
        <f>'Grad Raw Data'!H229</f>
        <v>Speros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Data'!K231</f>
        <v/>
      </c>
      <c r="C458" s="20" t="str">
        <f>'Grad Raw Data'!H230</f>
        <v>Spinazzola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Staffier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Charlie</v>
      </c>
      <c r="B462" s="20" t="str">
        <f>'Grad Raw Data'!K233</f>
        <v/>
      </c>
      <c r="C462" s="20" t="str">
        <f>'Grad Raw Data'!H232</f>
        <v>Studley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Nolan</v>
      </c>
      <c r="B464" s="20" t="str">
        <f>'Grad Raw Data'!K234</f>
        <v/>
      </c>
      <c r="C464" s="20" t="str">
        <f>'Grad Raw Data'!H233</f>
        <v>Sullivan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Sabrina</v>
      </c>
      <c r="B466" s="20" t="str">
        <f>'Grad Raw Data'!K235</f>
        <v/>
      </c>
      <c r="C466" s="20" t="str">
        <f>'Grad Raw Data'!H234</f>
        <v>Sweat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Brooklynne</v>
      </c>
      <c r="B468" s="20" t="str">
        <f>'Grad Raw Data'!K236</f>
        <v/>
      </c>
      <c r="C468" s="20" t="str">
        <f>'Grad Raw Data'!H235</f>
        <v>Tartarini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Nina</v>
      </c>
      <c r="B470" s="20" t="str">
        <f>'Grad Raw Data'!K237</f>
        <v/>
      </c>
      <c r="C470" s="20" t="str">
        <f>'Grad Raw Data'!H236</f>
        <v>Taubman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Natalie</v>
      </c>
      <c r="B472" s="20" t="str">
        <f>'Grad Raw Data'!K238</f>
        <v/>
      </c>
      <c r="C472" s="20" t="str">
        <f>'Grad Raw Data'!H237</f>
        <v>Tawadros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Samantha</v>
      </c>
      <c r="B474" s="20" t="str">
        <f>'Grad Raw Data'!K239</f>
        <v/>
      </c>
      <c r="C474" s="20" t="str">
        <f>'Grad Raw Data'!H238</f>
        <v>Toomey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Alyson</v>
      </c>
      <c r="B476" s="20" t="str">
        <f>'Grad Raw Data'!K240</f>
        <v/>
      </c>
      <c r="C476" s="20" t="str">
        <f>'Grad Raw Data'!H239</f>
        <v>Torrens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Franklin</v>
      </c>
      <c r="B478" s="20" t="str">
        <f>'Grad Raw Data'!K241</f>
        <v/>
      </c>
      <c r="C478" s="20" t="str">
        <f>'Grad Raw Data'!H240</f>
        <v>Travassos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Meredith</v>
      </c>
      <c r="B480" s="20" t="str">
        <f>'Grad Raw Data'!K242</f>
        <v>Lynne</v>
      </c>
      <c r="C480" s="20" t="str">
        <f>'Grad Raw Data'!H241</f>
        <v>Upton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Andrew</v>
      </c>
      <c r="B482" s="20" t="str">
        <f>'Grad Raw Data'!K243</f>
        <v>Jacob</v>
      </c>
      <c r="C482" s="20" t="str">
        <f>'Grad Raw Data'!H242</f>
        <v>Valentin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Colby</v>
      </c>
      <c r="B484" s="20" t="str">
        <f>'Grad Raw Data'!K244</f>
        <v>Van</v>
      </c>
      <c r="C484" s="20" t="str">
        <f>'Grad Raw Data'!H243</f>
        <v>Horn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Katherine</v>
      </c>
      <c r="B486" s="20" t="str">
        <f>'Grad Raw Data'!K245</f>
        <v>Anne</v>
      </c>
      <c r="C486" s="20" t="str">
        <f>'Grad Raw Data'!H244</f>
        <v>Van Magness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Justin</v>
      </c>
      <c r="B488" s="20" t="str">
        <f>'Grad Raw Data'!K246</f>
        <v>Thomas</v>
      </c>
      <c r="C488" s="20" t="str">
        <f>'Grad Raw Data'!H245</f>
        <v>Ventura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Dario</v>
      </c>
      <c r="B490" s="20" t="str">
        <f>'Grad Raw Data'!K247</f>
        <v/>
      </c>
      <c r="C490" s="20" t="str">
        <f>'Grad Raw Data'!H246</f>
        <v>Viliott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Nathan</v>
      </c>
      <c r="B492" s="20" t="str">
        <f>'Grad Raw Data'!K248</f>
        <v/>
      </c>
      <c r="C492" s="20" t="str">
        <f>'Grad Raw Data'!H247</f>
        <v>Vitarisi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Jacob</v>
      </c>
      <c r="B494" s="20" t="str">
        <f>'Grad Raw Data'!K249</f>
        <v>Michael</v>
      </c>
      <c r="C494" s="20" t="str">
        <f>'Grad Raw Data'!H248</f>
        <v>Ward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Tess</v>
      </c>
      <c r="B496" s="20" t="str">
        <f>'Grad Raw Data'!K250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Kyle</v>
      </c>
      <c r="B498" s="20" t="str">
        <f>'Grad Raw Data'!K251</f>
        <v/>
      </c>
      <c r="C498" s="20" t="str">
        <f>'Grad Raw Data'!H250</f>
        <v>Weaver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Leah</v>
      </c>
      <c r="B500" s="20" t="str">
        <f>'Grad Raw Data'!K252</f>
        <v/>
      </c>
      <c r="C500" s="20" t="str">
        <f>'Grad Raw Data'!H251</f>
        <v>Weber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Emma</v>
      </c>
      <c r="B502" s="20" t="str">
        <f>'Grad Raw Data'!K253</f>
        <v/>
      </c>
      <c r="C502" s="20" t="str">
        <f>'Grad Raw Data'!H252</f>
        <v>White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John</v>
      </c>
      <c r="B504" s="20" t="str">
        <f>'Grad Raw Data'!K254</f>
        <v/>
      </c>
      <c r="C504" s="20" t="str">
        <f>'Grad Raw Data'!H253</f>
        <v>Wiggins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str">
        <f>'Grad Raw Data'!I254</f>
        <v>Angela</v>
      </c>
      <c r="B506" s="20" t="str">
        <f>'Grad Raw Data'!K255</f>
        <v/>
      </c>
      <c r="C506" s="20" t="str">
        <f>'Grad Raw Data'!H254</f>
        <v>Wilder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str">
        <f>'Grad Raw Data'!I255</f>
        <v>Aidan</v>
      </c>
      <c r="B508" s="20" t="str">
        <f>'Grad Raw Data'!K256</f>
        <v>Auddie</v>
      </c>
      <c r="C508" s="20" t="str">
        <f>'Grad Raw Data'!H255</f>
        <v>Williams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str">
        <f>'Grad Raw Data'!I256</f>
        <v>Jared</v>
      </c>
      <c r="B510" s="20" t="str">
        <f>'Grad Raw Data'!K257</f>
        <v/>
      </c>
      <c r="C510" s="20" t="str">
        <f>'Grad Raw Data'!H256</f>
        <v>Wright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str">
        <f>'Grad Raw Data'!I257</f>
        <v>Jamari</v>
      </c>
      <c r="B512" s="20" t="str">
        <f>'Grad Raw Data'!K258</f>
        <v/>
      </c>
      <c r="C512" s="20" t="str">
        <f>'Grad Raw Data'!H257</f>
        <v>Wright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str">
        <f>'Grad Raw Data'!I258</f>
        <v>Quinn</v>
      </c>
      <c r="B514" s="20" t="str">
        <f>'Grad Raw Data'!K259</f>
        <v/>
      </c>
      <c r="C514" s="20" t="str">
        <f>'Grad Raw Data'!H258</f>
        <v>Yandle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John</v>
      </c>
      <c r="B516" s="20" t="str">
        <f>'Grad Raw Data'!K260</f>
        <v/>
      </c>
      <c r="C516" s="20" t="str">
        <f>'Grad Raw Data'!H259</f>
        <v>Zani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Jiayu</v>
      </c>
      <c r="B518" s="20" t="str">
        <f>'Grad Raw Data'!K260</f>
        <v/>
      </c>
      <c r="C518" s="20" t="str">
        <f>'Grad Raw Data'!H260</f>
        <v>Zheng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/>
      <c r="B520" s="20"/>
      <c r="C520" s="20"/>
      <c r="D520" s="20"/>
      <c r="E520" s="20"/>
      <c r="F520" s="20"/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Dante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Antonio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Luca</v>
      </c>
      <c r="H71" s="31" t="str">
        <f>VLOOKUP(I71,'Names with Seat Code'!B:E,4)</f>
        <v>Eliet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Finn</v>
      </c>
      <c r="H72" s="31" t="str">
        <f>VLOOKUP(I72,'Names with Seat Code'!B:E,4)</f>
        <v>Ellis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Levi</v>
      </c>
      <c r="H73" s="31" t="str">
        <f>VLOOKUP(I73,'Names with Seat Code'!B:E,4)</f>
        <v>Emmanuel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Kamryn</v>
      </c>
      <c r="H74" s="31" t="str">
        <f>VLOOKUP(I74,'Names with Seat Code'!B:E,4)</f>
        <v>Encarnacao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Samuel</v>
      </c>
      <c r="H75" s="31" t="str">
        <f>VLOOKUP(I75,'Names with Seat Code'!B:E,4)</f>
        <v>Fortes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Kaylie</v>
      </c>
      <c r="H76" s="31" t="str">
        <f>VLOOKUP(I76,'Names with Seat Code'!B:E,4)</f>
        <v>Fantasia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Vince</v>
      </c>
      <c r="H77" s="31" t="str">
        <f>VLOOKUP(I77,'Names with Seat Code'!B:E,4)</f>
        <v>Farnham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Colby</v>
      </c>
      <c r="H78" s="31" t="str">
        <f>VLOOKUP(I78,'Names with Seat Code'!B:E,4)</f>
        <v>Farris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Bryan</v>
      </c>
      <c r="H79" s="31" t="str">
        <f>VLOOKUP(I79,'Names with Seat Code'!B:E,4)</f>
        <v>Fernandez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Thomas</v>
      </c>
      <c r="H80" s="31" t="str">
        <f>VLOOKUP(I80,'Names with Seat Code'!B:E,4)</f>
        <v>Fiore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Finn</v>
      </c>
      <c r="H81" s="31" t="str">
        <f>VLOOKUP(I81,'Names with Seat Code'!B:E,4)</f>
        <v>Flaherty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Matthew</v>
      </c>
      <c r="H82" s="31" t="str">
        <f>VLOOKUP(I82,'Names with Seat Code'!B:E,4)</f>
        <v>Forse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Jacob</v>
      </c>
      <c r="H83" s="31" t="str">
        <f>VLOOKUP(I83,'Names with Seat Code'!B:E,4)</f>
        <v>Frank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Anthony</v>
      </c>
      <c r="H84" s="31" t="str">
        <f>VLOOKUP(I84,'Names with Seat Code'!B:E,4)</f>
        <v>Fratto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Gavin</v>
      </c>
      <c r="H85" s="31" t="str">
        <f>VLOOKUP(I85,'Names with Seat Code'!B:E,4)</f>
        <v>Fucarile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Cole</v>
      </c>
      <c r="H86" s="31" t="str">
        <f>VLOOKUP(I86,'Names with Seat Code'!B:E,4)</f>
        <v>Fusco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Paul</v>
      </c>
      <c r="H87" s="31" t="str">
        <f>VLOOKUP(I87,'Names with Seat Code'!B:E,4)</f>
        <v>Gaeta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Lucas</v>
      </c>
      <c r="H88" s="31" t="str">
        <f>VLOOKUP(I88,'Names with Seat Code'!B:E,4)</f>
        <v>Gager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Nevaeh</v>
      </c>
      <c r="H89" s="31" t="str">
        <f>VLOOKUP(I89,'Names with Seat Code'!B:E,4)</f>
        <v>Galindo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Joseph</v>
      </c>
      <c r="H90" s="31" t="str">
        <f>VLOOKUP(I90,'Names with Seat Code'!B:E,4)</f>
        <v>Gallagher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Brendan</v>
      </c>
      <c r="H91" s="31" t="str">
        <f>VLOOKUP(I91,'Names with Seat Code'!B:E,4)</f>
        <v>Gauvin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Bereket</v>
      </c>
      <c r="H92" s="31" t="str">
        <f>VLOOKUP(I92,'Names with Seat Code'!B:E,4)</f>
        <v>Gebeyaw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Alix</v>
      </c>
      <c r="H93" s="31" t="str">
        <f>VLOOKUP(I93,'Names with Seat Code'!B:E,4)</f>
        <v>Gellot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Cameron</v>
      </c>
      <c r="H94" s="31" t="str">
        <f>VLOOKUP(I94,'Names with Seat Code'!B:E,4)</f>
        <v>Gigler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Alex</v>
      </c>
      <c r="H95" s="31" t="str">
        <f>VLOOKUP(I95,'Names with Seat Code'!B:E,4)</f>
        <v>Gisetto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Benjamin</v>
      </c>
      <c r="H96" s="31" t="str">
        <f>VLOOKUP(I96,'Names with Seat Code'!B:E,4)</f>
        <v>Goldlust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Jack</v>
      </c>
      <c r="H97" s="31" t="str">
        <f>VLOOKUP(I97,'Names with Seat Code'!B:E,4)</f>
        <v>Goodfellow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Drew</v>
      </c>
      <c r="H98" s="31" t="str">
        <f>VLOOKUP(I98,'Names with Seat Code'!B:E,4)</f>
        <v>Gorski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Lila</v>
      </c>
      <c r="H99" s="31" t="str">
        <f>VLOOKUP(I99,'Names with Seat Code'!B:E,4)</f>
        <v>Gosdanian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Cole</v>
      </c>
      <c r="H100" s="31" t="str">
        <f>VLOOKUP(I100,'Names with Seat Code'!B:E,4)</f>
        <v>Grant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Kendall</v>
      </c>
      <c r="H101" s="31" t="str">
        <f>VLOOKUP(I101,'Names with Seat Code'!B:E,4)</f>
        <v>Graves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Griffin</v>
      </c>
      <c r="H102" s="31" t="str">
        <f>VLOOKUP(I102,'Names with Seat Code'!B:E,4)</f>
        <v>Haggerty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Andrea</v>
      </c>
      <c r="H103" s="31" t="str">
        <f>VLOOKUP(I103,'Names with Seat Code'!B:E,4)</f>
        <v>Hall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Sarah</v>
      </c>
      <c r="H104" s="31" t="str">
        <f>VLOOKUP(I104,'Names with Seat Code'!B:E,4)</f>
        <v>Hamilton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Margaret</v>
      </c>
      <c r="H105" s="31" t="str">
        <f>VLOOKUP(I105,'Names with Seat Code'!B:E,4)</f>
        <v>Hanifan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Cameron</v>
      </c>
      <c r="H106" s="31" t="str">
        <f>VLOOKUP(I106,'Names with Seat Code'!B:E,4)</f>
        <v>Harrigan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Victoria</v>
      </c>
      <c r="H107" s="31" t="str">
        <f>VLOOKUP(I107,'Names with Seat Code'!B:E,4)</f>
        <v>Henri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Kayke</v>
      </c>
      <c r="H108" s="31" t="str">
        <f>VLOOKUP(I108,'Names with Seat Code'!B:E,4)</f>
        <v>Henrique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Jahkye</v>
      </c>
      <c r="H109" s="31" t="str">
        <f>VLOOKUP(I109,'Names with Seat Code'!B:E,4)</f>
        <v>Hobson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Sam</v>
      </c>
      <c r="H110" s="31" t="str">
        <f>VLOOKUP(I110,'Names with Seat Code'!B:E,4)</f>
        <v>Holt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Benjamin</v>
      </c>
      <c r="H111" s="31" t="str">
        <f>VLOOKUP(I111,'Names with Seat Code'!B:E,4)</f>
        <v>Houle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Evin</v>
      </c>
      <c r="H112" s="31" t="str">
        <f>VLOOKUP(I112,'Names with Seat Code'!B:E,4)</f>
        <v>Howell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Paul</v>
      </c>
      <c r="H113" s="31" t="str">
        <f>VLOOKUP(I113,'Names with Seat Code'!B:E,4)</f>
        <v>Iosua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Leah</v>
      </c>
      <c r="H114" s="31" t="str">
        <f>VLOOKUP(I114,'Names with Seat Code'!B:E,4)</f>
        <v>Jackvony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Wayne</v>
      </c>
      <c r="H115" s="31" t="str">
        <f>VLOOKUP(I115,'Names with Seat Code'!B:E,4)</f>
        <v>Jankun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Tristan</v>
      </c>
      <c r="H116" s="31" t="str">
        <f>VLOOKUP(I116,'Names with Seat Code'!B:E,4)</f>
        <v>Jenkins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Evan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Michael</v>
      </c>
      <c r="H118" s="31" t="str">
        <f>VLOOKUP(I118,'Names with Seat Code'!B:E,4)</f>
        <v>Jenney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Luke</v>
      </c>
      <c r="H119" s="31" t="str">
        <f>VLOOKUP(I119,'Names with Seat Code'!B:E,4)</f>
        <v>Johnson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Maeve</v>
      </c>
      <c r="H120" s="31" t="str">
        <f>VLOOKUP(I120,'Names with Seat Code'!B:E,4)</f>
        <v>Jones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Nolan</v>
      </c>
      <c r="H121" s="31" t="str">
        <f>VLOOKUP(I121,'Names with Seat Code'!B:E,4)</f>
        <v>Jordan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Emma</v>
      </c>
      <c r="H122" s="31" t="str">
        <f>VLOOKUP(I122,'Names with Seat Code'!B:E,4)</f>
        <v>Kaberle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Azra</v>
      </c>
      <c r="H123" s="31" t="str">
        <f>VLOOKUP(I123,'Names with Seat Code'!B:E,4)</f>
        <v>Kadric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Brady</v>
      </c>
      <c r="H124" s="31" t="str">
        <f>VLOOKUP(I124,'Names with Seat Code'!B:E,4)</f>
        <v>Keaveney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Hannah</v>
      </c>
      <c r="H125" s="31" t="str">
        <f>VLOOKUP(I125,'Names with Seat Code'!B:E,4)</f>
        <v>Kenton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Aiden</v>
      </c>
      <c r="H126" s="31" t="str">
        <f>VLOOKUP(I126,'Names with Seat Code'!B:E,4)</f>
        <v>Kiley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Clinton</v>
      </c>
      <c r="H127" s="31" t="str">
        <f>VLOOKUP(I127,'Names with Seat Code'!B:E,4)</f>
        <v>King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Kyle</v>
      </c>
      <c r="H128" s="31" t="str">
        <f>VLOOKUP(I128,'Names with Seat Code'!B:E,4)</f>
        <v>Koster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Enzo</v>
      </c>
      <c r="H129" s="31" t="str">
        <f>VLOOKUP(I129,'Names with Seat Code'!B:E,4)</f>
        <v>Lalicata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Matthew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Jonathan</v>
      </c>
      <c r="H131" s="31" t="str">
        <f>VLOOKUP(I131,'Names with Seat Code'!B:E,4)</f>
        <v>Laurino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Asad</v>
      </c>
      <c r="H132" s="31" t="str">
        <f>VLOOKUP(I132,'Names with Seat Code'!B:E,4)</f>
        <v>Layne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Jonathan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Austin</v>
      </c>
      <c r="H219" s="31" t="str">
        <f>VLOOKUP(I219,'Names with Seat Code'!B:E,4)</f>
        <v>Lee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Desmond</v>
      </c>
      <c r="H220" s="31" t="str">
        <f>VLOOKUP(I220,'Names with Seat Code'!B:E,4)</f>
        <v>Lethin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Katie</v>
      </c>
      <c r="H221" s="31" t="str">
        <f>VLOOKUP(I221,'Names with Seat Code'!B:E,4)</f>
        <v>Lewis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Isabelle</v>
      </c>
      <c r="H222" s="31" t="str">
        <f>VLOOKUP(I222,'Names with Seat Code'!B:E,4)</f>
        <v>Lightbody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Steven</v>
      </c>
      <c r="H223" s="31" t="str">
        <f>VLOOKUP(I223,'Names with Seat Code'!B:E,4)</f>
        <v>Lin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Zackary</v>
      </c>
      <c r="H224" s="31" t="str">
        <f>VLOOKUP(I224,'Names with Seat Code'!B:E,4)</f>
        <v>Lizotte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Isla</v>
      </c>
      <c r="H225" s="31" t="str">
        <f>VLOOKUP(I225,'Names with Seat Code'!B:E,4)</f>
        <v>Lusk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Lilyana</v>
      </c>
      <c r="H226" s="31" t="str">
        <f>VLOOKUP(I226,'Names with Seat Code'!B:E,4)</f>
        <v>Madden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Rosalia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Trent</v>
      </c>
      <c r="H228" s="31" t="str">
        <f>VLOOKUP(I228,'Names with Seat Code'!B:E,4)</f>
        <v>Maganzini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Emma</v>
      </c>
      <c r="H229" s="31" t="str">
        <f>VLOOKUP(I229,'Names with Seat Code'!B:E,4)</f>
        <v>Mahoney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Charles</v>
      </c>
      <c r="H230" s="31" t="str">
        <f>VLOOKUP(I230,'Names with Seat Code'!B:E,4)</f>
        <v>Maness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Evan</v>
      </c>
      <c r="H231" s="31" t="str">
        <f>VLOOKUP(I231,'Names with Seat Code'!B:E,4)</f>
        <v>Manfredi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Syler</v>
      </c>
      <c r="H232" s="31" t="str">
        <f>VLOOKUP(I232,'Names with Seat Code'!B:E,4)</f>
        <v>Manning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Tyler</v>
      </c>
      <c r="H233" s="31" t="str">
        <f>VLOOKUP(I233,'Names with Seat Code'!B:E,4)</f>
        <v>Marchlik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Tyler</v>
      </c>
      <c r="H234" s="31" t="str">
        <f>VLOOKUP(I234,'Names with Seat Code'!B:E,4)</f>
        <v>Marchlik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Addyson</v>
      </c>
      <c r="H235" s="31" t="str">
        <f>VLOOKUP(I235,'Names with Seat Code'!B:E,4)</f>
        <v>Mathews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Charlie</v>
      </c>
      <c r="H236" s="31" t="str">
        <f>VLOOKUP(I236,'Names with Seat Code'!B:E,4)</f>
        <v>May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Caleb</v>
      </c>
      <c r="H237" s="31" t="str">
        <f>VLOOKUP(I237,'Names with Seat Code'!B:E,4)</f>
        <v>McGonagle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Makenna</v>
      </c>
      <c r="H238" s="31" t="str">
        <f>VLOOKUP(I238,'Names with Seat Code'!B:E,4)</f>
        <v>McGrath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Zoe</v>
      </c>
      <c r="H239" s="31" t="str">
        <f>VLOOKUP(I239,'Names with Seat Code'!B:E,4)</f>
        <v>McLaughlin-Shostak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Ella</v>
      </c>
      <c r="H240" s="31" t="str">
        <f>VLOOKUP(I240,'Names with Seat Code'!B:E,4)</f>
        <v>McMenimen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Jack</v>
      </c>
      <c r="H241" s="31" t="str">
        <f>VLOOKUP(I241,'Names with Seat Code'!B:E,4)</f>
        <v>Melly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Alex</v>
      </c>
      <c r="H242" s="31" t="str">
        <f>VLOOKUP(I242,'Names with Seat Code'!B:E,4)</f>
        <v>Merkle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Will</v>
      </c>
      <c r="H243" s="31" t="str">
        <f>VLOOKUP(I243,'Names with Seat Code'!B:E,4)</f>
        <v>Merkle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Gianna</v>
      </c>
      <c r="H244" s="31" t="str">
        <f>VLOOKUP(I244,'Names with Seat Code'!B:E,4)</f>
        <v>Miceli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Karmani</v>
      </c>
      <c r="H245" s="31" t="str">
        <f>VLOOKUP(I245,'Names with Seat Code'!B:E,4)</f>
        <v>Mirville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Marcus</v>
      </c>
      <c r="H246" s="31" t="str">
        <f>VLOOKUP(I246,'Names with Seat Code'!B:E,4)</f>
        <v>Moller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Evangeline</v>
      </c>
      <c r="H247" s="31" t="str">
        <f>VLOOKUP(I247,'Names with Seat Code'!B:E,4)</f>
        <v>Moreira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Bobby</v>
      </c>
      <c r="H248" s="31" t="str">
        <f>VLOOKUP(I248,'Names with Seat Code'!B:E,4)</f>
        <v>Morris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Kaiden</v>
      </c>
      <c r="H249" s="31" t="str">
        <f>VLOOKUP(I249,'Names with Seat Code'!B:E,4)</f>
        <v>Morrison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Abdul</v>
      </c>
      <c r="H250" s="31" t="str">
        <f>VLOOKUP(I250,'Names with Seat Code'!B:E,4)</f>
        <v>Mughal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William</v>
      </c>
      <c r="H251" s="31" t="str">
        <f>VLOOKUP(I251,'Names with Seat Code'!B:E,4)</f>
        <v>Muller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Jack</v>
      </c>
      <c r="H252" s="31" t="str">
        <f>VLOOKUP(I252,'Names with Seat Code'!B:E,4)</f>
        <v>Murphy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Abigail</v>
      </c>
      <c r="H253" s="31" t="str">
        <f>VLOOKUP(I253,'Names with Seat Code'!B:E,4)</f>
        <v>Nelson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Patience</v>
      </c>
      <c r="H254" s="31" t="str">
        <f>VLOOKUP(I254,'Names with Seat Code'!B:E,4)</f>
        <v>Nguyen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Charlotte</v>
      </c>
      <c r="H255" s="31" t="str">
        <f>VLOOKUP(I255,'Names with Seat Code'!B:E,4)</f>
        <v>Nolty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Mackenzie</v>
      </c>
      <c r="H256" s="31" t="str">
        <f>VLOOKUP(I256,'Names with Seat Code'!B:E,4)</f>
        <v>Norris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Michelle</v>
      </c>
      <c r="H257" s="31" t="str">
        <f>VLOOKUP(I257,'Names with Seat Code'!B:E,4)</f>
        <v>Ohlson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Natalie</v>
      </c>
      <c r="H258" s="31" t="str">
        <f>VLOOKUP(I258,'Names with Seat Code'!B:E,4)</f>
        <v>Ortins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Franklin</v>
      </c>
      <c r="H259" s="31" t="str">
        <f>VLOOKUP(I259,'Names with Seat Code'!B:E,4)</f>
        <v>Ortiz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Isabelle</v>
      </c>
      <c r="H260" s="31" t="str">
        <f>VLOOKUP(I260,'Names with Seat Code'!B:E,4)</f>
        <v>Parent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Saloni</v>
      </c>
      <c r="H261" s="31" t="str">
        <f>VLOOKUP(I261,'Names with Seat Code'!B:E,4)</f>
        <v>Patel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Lerika</v>
      </c>
      <c r="H262" s="31" t="str">
        <f>VLOOKUP(I262,'Names with Seat Code'!B:E,4)</f>
        <v>Peat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Jacob</v>
      </c>
      <c r="H263" s="31" t="str">
        <f>VLOOKUP(I263,'Names with Seat Code'!B:E,4)</f>
        <v>Petrin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Wyatt</v>
      </c>
      <c r="H264" s="31" t="str">
        <f>VLOOKUP(I264,'Names with Seat Code'!B:E,4)</f>
        <v>Picard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Samantha</v>
      </c>
      <c r="H265" s="31" t="str">
        <f>VLOOKUP(I265,'Names with Seat Code'!B:E,4)</f>
        <v>Pomerantz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Shivani</v>
      </c>
      <c r="H266" s="31" t="str">
        <f>VLOOKUP(I266,'Names with Seat Code'!B:E,4)</f>
        <v>Poudyal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Ryan</v>
      </c>
      <c r="H267" s="31" t="str">
        <f>VLOOKUP(I267,'Names with Seat Code'!B:E,4)</f>
        <v>Pulpi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Jessica</v>
      </c>
      <c r="H268" s="31" t="str">
        <f>VLOOKUP(I268,'Names with Seat Code'!B:E,4)</f>
        <v>Rai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Ted</v>
      </c>
      <c r="H269" s="31" t="str">
        <f>VLOOKUP(I269,'Names with Seat Code'!B:E,4)</f>
        <v>Ravens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Lucas</v>
      </c>
      <c r="H270" s="31" t="str">
        <f>VLOOKUP(I270,'Names with Seat Code'!B:E,4)</f>
        <v>Reis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Olivia</v>
      </c>
      <c r="H271" s="31" t="str">
        <f>VLOOKUP(I271,'Names with Seat Code'!B:E,4)</f>
        <v>Renda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Jessica</v>
      </c>
      <c r="H272" s="31" t="str">
        <f>VLOOKUP(I272,'Names with Seat Code'!B:E,4)</f>
        <v>Richter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Charlotte</v>
      </c>
      <c r="H273" s="31" t="str">
        <f>VLOOKUP(I273,'Names with Seat Code'!B:E,4)</f>
        <v>Robichaud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Derek</v>
      </c>
      <c r="H274" s="31" t="str">
        <f>VLOOKUP(I274,'Names with Seat Code'!B:E,4)</f>
        <v>Robillard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Isaac</v>
      </c>
      <c r="H275" s="31" t="str">
        <f>VLOOKUP(I275,'Names with Seat Code'!B:E,4)</f>
        <v>Robinson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Teresa</v>
      </c>
      <c r="H276" s="31" t="str">
        <f>VLOOKUP(I276,'Names with Seat Code'!B:E,4)</f>
        <v>Rock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James</v>
      </c>
      <c r="H277" s="31" t="str">
        <f>VLOOKUP(I277,'Names with Seat Code'!B:E,4)</f>
        <v>Rodrigues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Luke</v>
      </c>
      <c r="H278" s="31" t="str">
        <f>VLOOKUP(I278,'Names with Seat Code'!B:E,4)</f>
        <v>Rogerson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Javian</v>
      </c>
      <c r="H279" s="31" t="str">
        <f>VLOOKUP(I279,'Names with Seat Code'!B:E,4)</f>
        <v>Rojas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Ellie</v>
      </c>
      <c r="H280" s="31" t="str">
        <f>VLOOKUP(I280,'Names with Seat Code'!B:E,4)</f>
        <v>Russo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Rejon</v>
      </c>
      <c r="H281" s="31" t="str">
        <f>VLOOKUP(I281,'Names with Seat Code'!B:E,4)</f>
        <v>Ryland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Lorenzo</v>
      </c>
      <c r="H282" s="31" t="str">
        <f>VLOOKUP(I282,'Names with Seat Code'!B:E,4)</f>
        <v>Sardinha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Noah</v>
      </c>
      <c r="H283" s="31" t="str">
        <f>VLOOKUP(I283,'Names with Seat Code'!B:E,4)</f>
        <v>Sarre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Katherine</v>
      </c>
      <c r="H284" s="31" t="str">
        <f>VLOOKUP(I284,'Names with Seat Code'!B:E,4)</f>
        <v>Savio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Megan</v>
      </c>
      <c r="H285" s="31" t="str">
        <f>VLOOKUP(I285,'Names with Seat Code'!B:E,4)</f>
        <v>Scales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Sophie</v>
      </c>
      <c r="H286" s="31" t="str">
        <f>VLOOKUP(I286,'Names with Seat Code'!B:E,4)</f>
        <v>Schrager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Rylie</v>
      </c>
      <c r="H287" s="31" t="str">
        <f>VLOOKUP(I287,'Names with Seat Code'!B:E,4)</f>
        <v>Schultz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Madeline</v>
      </c>
      <c r="H288" s="31" t="str">
        <f>VLOOKUP(I288,'Names with Seat Code'!B:E,4)</f>
        <v>Scully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Sachi</v>
      </c>
      <c r="H289" s="31" t="str">
        <f>VLOOKUP(I289,'Names with Seat Code'!B:E,4)</f>
        <v>Selvakumar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Katie</v>
      </c>
      <c r="H290" s="31" t="str">
        <f>VLOOKUP(I290,'Names with Seat Code'!B:E,4)</f>
        <v>Severance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Annabelle</v>
      </c>
      <c r="H291" s="31" t="str">
        <f>VLOOKUP(I291,'Names with Seat Code'!B:E,4)</f>
        <v>Shanley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Emme</v>
      </c>
      <c r="H292" s="31" t="str">
        <f>VLOOKUP(I292,'Names with Seat Code'!B:E,4)</f>
        <v>Shediac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Allison</v>
      </c>
      <c r="H293" s="31" t="str">
        <f>VLOOKUP(I293,'Names with Seat Code'!B:E,4)</f>
        <v>Shindelman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John</v>
      </c>
      <c r="H294" s="31" t="str">
        <f>VLOOKUP(I294,'Names with Seat Code'!B:E,4)</f>
        <v>Siciliano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Owen</v>
      </c>
      <c r="H295" s="31" t="str">
        <f>VLOOKUP(I295,'Names with Seat Code'!B:E,4)</f>
        <v>Sinclair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Sierra</v>
      </c>
      <c r="H296" s="31" t="str">
        <f>VLOOKUP(I296,'Names with Seat Code'!B:E,4)</f>
        <v>Skenderian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John</v>
      </c>
      <c r="H297" s="31" t="str">
        <f>VLOOKUP(I297,'Names with Seat Code'!B:E,4)</f>
        <v>Slinn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Julia</v>
      </c>
      <c r="H298" s="31" t="str">
        <f>VLOOKUP(I298,'Names with Seat Code'!B:E,4)</f>
        <v>Smith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Noah</v>
      </c>
      <c r="H299" s="31" t="str">
        <f>VLOOKUP(I299,'Names with Seat Code'!B:E,4)</f>
        <v>Snyder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Aaron</v>
      </c>
      <c r="H300" s="31" t="str">
        <f>VLOOKUP(I300,'Names with Seat Code'!B:E,4)</f>
        <v>Soto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Andrew</v>
      </c>
      <c r="H301" s="31" t="str">
        <f>VLOOKUP(I301,'Names with Seat Code'!B:E,4)</f>
        <v>Spencer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Elias</v>
      </c>
      <c r="H302" s="31" t="str">
        <f>VLOOKUP(I302,'Names with Seat Code'!B:E,4)</f>
        <v>Speros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Spinazzola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Ava</v>
      </c>
      <c r="H304" s="31" t="str">
        <f>VLOOKUP(I304,'Names with Seat Code'!B:E,4)</f>
        <v>Staffier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Charlie</v>
      </c>
      <c r="H305" s="31" t="str">
        <f>VLOOKUP(I305,'Names with Seat Code'!B:E,4)</f>
        <v>Studley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Nolan</v>
      </c>
      <c r="H306" s="31" t="str">
        <f>VLOOKUP(I306,'Names with Seat Code'!B:E,4)</f>
        <v>Sullivan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Sabrina</v>
      </c>
      <c r="H307" s="31" t="str">
        <f>VLOOKUP(I307,'Names with Seat Code'!B:E,4)</f>
        <v>Sweat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Brooklynne</v>
      </c>
      <c r="H308" s="31" t="str">
        <f>VLOOKUP(I308,'Names with Seat Code'!B:E,4)</f>
        <v>Tartarini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Nina</v>
      </c>
      <c r="H309" s="31" t="str">
        <f>VLOOKUP(I309,'Names with Seat Code'!B:E,4)</f>
        <v>Taubman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Natalie</v>
      </c>
      <c r="H310" s="31" t="str">
        <f>VLOOKUP(I310,'Names with Seat Code'!B:E,4)</f>
        <v>Tawadros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Samantha</v>
      </c>
      <c r="H311" s="31" t="str">
        <f>VLOOKUP(I311,'Names with Seat Code'!B:E,4)</f>
        <v>Toomey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Alyson</v>
      </c>
      <c r="H312" s="31" t="str">
        <f>VLOOKUP(I312,'Names with Seat Code'!B:E,4)</f>
        <v>Torrens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Franklin</v>
      </c>
      <c r="H313" s="31" t="str">
        <f>VLOOKUP(I313,'Names with Seat Code'!B:E,4)</f>
        <v>Travassos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Meredith</v>
      </c>
      <c r="H314" s="31" t="str">
        <f>VLOOKUP(I314,'Names with Seat Code'!B:E,4)</f>
        <v>Upton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Andrew</v>
      </c>
      <c r="H315" s="31" t="str">
        <f>VLOOKUP(I315,'Names with Seat Code'!B:E,4)</f>
        <v>Valentin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Colby</v>
      </c>
      <c r="H316" s="31" t="str">
        <f>VLOOKUP(I316,'Names with Seat Code'!B:E,4)</f>
        <v>Horn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Katherine</v>
      </c>
      <c r="H317" s="31" t="str">
        <f>VLOOKUP(I317,'Names with Seat Code'!B:E,4)</f>
        <v>Van Magness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Justin</v>
      </c>
      <c r="H318" s="31" t="str">
        <f>VLOOKUP(I318,'Names with Seat Code'!B:E,4)</f>
        <v>Ventura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Dario</v>
      </c>
      <c r="H319" s="31" t="str">
        <f>VLOOKUP(I319,'Names with Seat Code'!B:E,4)</f>
        <v>Viliott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Nathan</v>
      </c>
      <c r="H320" s="31" t="str">
        <f>VLOOKUP(I320,'Names with Seat Code'!B:E,4)</f>
        <v>Vitarisi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Jacob</v>
      </c>
      <c r="H321" s="31" t="str">
        <f>VLOOKUP(I321,'Names with Seat Code'!B:E,4)</f>
        <v>Ward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Tess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Kyle</v>
      </c>
      <c r="H323" s="31" t="str">
        <f>VLOOKUP(I323,'Names with Seat Code'!B:E,4)</f>
        <v>Weaver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Leah</v>
      </c>
      <c r="H324" s="31" t="str">
        <f>VLOOKUP(I324,'Names with Seat Code'!B:E,4)</f>
        <v>Weber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Emma</v>
      </c>
      <c r="H325" s="31" t="str">
        <f>VLOOKUP(I325,'Names with Seat Code'!B:E,4)</f>
        <v>White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John</v>
      </c>
      <c r="H326" s="31" t="str">
        <f>VLOOKUP(I326,'Names with Seat Code'!B:E,4)</f>
        <v>Wiggins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Angela</v>
      </c>
      <c r="H327" s="31" t="str">
        <f>VLOOKUP(I327,'Names with Seat Code'!B:E,4)</f>
        <v>Wilder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Aidan</v>
      </c>
      <c r="H328" s="31" t="str">
        <f>VLOOKUP(I328,'Names with Seat Code'!B:E,4)</f>
        <v>Williams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Jared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Jamari</v>
      </c>
      <c r="H330" s="31" t="str">
        <f>VLOOKUP(I330,'Names with Seat Code'!B:E,4)</f>
        <v>Wright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Quinn</v>
      </c>
      <c r="H331" s="31" t="str">
        <f>VLOOKUP(I331,'Names with Seat Code'!B:E,4)</f>
        <v>Yandle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John</v>
      </c>
      <c r="H332" s="31" t="str">
        <f>VLOOKUP(I332,'Names with Seat Code'!B:E,4)</f>
        <v>Zani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2025-05-29T19:02:30Z</cp:lastPrinted>
  <dcterms:created xsi:type="dcterms:W3CDTF">2007-03-29T16:51:47Z</dcterms:created>
  <dcterms:modified xsi:type="dcterms:W3CDTF">2026-05-26T13:51:34Z</dcterms:modified>
  <cp:category/>
  <cp:contentStatus/>
</cp:coreProperties>
</file>