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ode Space\Git 2026 Grad\2026-Grad\data\"/>
    </mc:Choice>
  </mc:AlternateContent>
  <xr:revisionPtr revIDLastSave="0" documentId="13_ncr:1_{E145ABA0-5420-4FB3-B4B2-73A9BE6FDF5B}" xr6:coauthVersionLast="47" xr6:coauthVersionMax="47" xr10:uidLastSave="{00000000-0000-0000-0000-000000000000}"/>
  <bookViews>
    <workbookView xWindow="-120" yWindow="-120" windowWidth="29040" windowHeight="15225" firstSheet="2" activeTab="5" xr2:uid="{00000000-000D-0000-FFFF-FFFF00000000}"/>
  </bookViews>
  <sheets>
    <sheet name="DIRECTIONS" sheetId="9" r:id="rId1"/>
    <sheet name="Raw Name Splitter" sheetId="11" r:id="rId2"/>
    <sheet name="Names with Seat Code" sheetId="3" r:id="rId3"/>
    <sheet name="Grad Raw Data" sheetId="1" r:id="rId4"/>
    <sheet name="Grad Breaks for Print" sheetId="2" r:id="rId5"/>
    <sheet name="Grad Pages for Podium with pron" sheetId="18" r:id="rId6"/>
    <sheet name="Grad Pages for Podium" sheetId="4" r:id="rId7"/>
    <sheet name="CD Data" sheetId="8" r:id="rId8"/>
  </sheets>
  <definedNames>
    <definedName name="_xlnm.Print_Area" localSheetId="7">'CD Data'!$A:$H</definedName>
    <definedName name="_xlnm.Print_Area" localSheetId="6">'Grad Pages for Podium'!$A$1:$F$584</definedName>
    <definedName name="_xlnm.Print_Titles" localSheetId="7">'CD Data'!$1:$1</definedName>
    <definedName name="_xlnm.Print_Titles" localSheetId="4">'Grad Breaks for Print'!$1:$1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6" i="4" l="1"/>
  <c r="C524" i="4"/>
  <c r="C522" i="4"/>
  <c r="A526" i="4"/>
  <c r="A524" i="4"/>
  <c r="A522" i="4"/>
  <c r="F526" i="4"/>
  <c r="E526" i="4"/>
  <c r="F524" i="4"/>
  <c r="E524" i="4"/>
  <c r="F522" i="4"/>
  <c r="E522" i="4"/>
  <c r="E526" i="18"/>
  <c r="D526" i="18"/>
  <c r="E524" i="18"/>
  <c r="D524" i="18"/>
  <c r="E522" i="18"/>
  <c r="D522" i="18"/>
  <c r="A172" i="3"/>
  <c r="B172" i="3"/>
  <c r="A173" i="3"/>
  <c r="B173" i="3"/>
  <c r="A174" i="3"/>
  <c r="B174" i="3"/>
  <c r="A175" i="3"/>
  <c r="B175" i="3"/>
  <c r="A176" i="3"/>
  <c r="B176" i="3"/>
  <c r="A177" i="3"/>
  <c r="B177" i="3"/>
  <c r="A178" i="3"/>
  <c r="B178" i="3"/>
  <c r="D514" i="18"/>
  <c r="F520" i="4"/>
  <c r="E520" i="4"/>
  <c r="E520" i="18"/>
  <c r="D520" i="18"/>
  <c r="E518" i="18"/>
  <c r="D518" i="18"/>
  <c r="E516" i="18"/>
  <c r="D516" i="18"/>
  <c r="A33" i="18"/>
  <c r="A31" i="18"/>
  <c r="A29" i="18"/>
  <c r="D14" i="2"/>
  <c r="G14" i="1"/>
  <c r="J14" i="2" s="1"/>
  <c r="C195" i="11"/>
  <c r="C39" i="11"/>
  <c r="D39" i="11"/>
  <c r="E39" i="11"/>
  <c r="C40" i="11"/>
  <c r="D40" i="11"/>
  <c r="E40" i="11"/>
  <c r="C41" i="11"/>
  <c r="D41" i="11"/>
  <c r="E41" i="11"/>
  <c r="C42" i="11"/>
  <c r="D42" i="11"/>
  <c r="E42" i="11"/>
  <c r="C43" i="11"/>
  <c r="D43" i="11"/>
  <c r="D43" i="3" s="1"/>
  <c r="C44" i="11"/>
  <c r="D44" i="11"/>
  <c r="E44" i="11"/>
  <c r="C45" i="11"/>
  <c r="C45" i="3" s="1"/>
  <c r="D45" i="11"/>
  <c r="D45" i="3" s="1"/>
  <c r="E45" i="11"/>
  <c r="E45" i="3" s="1"/>
  <c r="C46" i="11"/>
  <c r="D46" i="11"/>
  <c r="D46" i="3" s="1"/>
  <c r="C47" i="11"/>
  <c r="C47" i="3" s="1"/>
  <c r="D47" i="11"/>
  <c r="D47" i="3" s="1"/>
  <c r="E47" i="11"/>
  <c r="E47" i="3" s="1"/>
  <c r="C48" i="11"/>
  <c r="C48" i="3" s="1"/>
  <c r="D48" i="11"/>
  <c r="D48" i="3" s="1"/>
  <c r="E48" i="11"/>
  <c r="E49" i="11"/>
  <c r="C50" i="11"/>
  <c r="C50" i="3" s="1"/>
  <c r="D50" i="11"/>
  <c r="C51" i="11"/>
  <c r="D51" i="11"/>
  <c r="D51" i="3" s="1"/>
  <c r="E51" i="11"/>
  <c r="C52" i="11"/>
  <c r="D52" i="11"/>
  <c r="D52" i="3" s="1"/>
  <c r="E52" i="11"/>
  <c r="C53" i="11"/>
  <c r="C53" i="3" s="1"/>
  <c r="D53" i="11"/>
  <c r="D53" i="3" s="1"/>
  <c r="E53" i="11"/>
  <c r="C54" i="11"/>
  <c r="D54" i="11"/>
  <c r="C55" i="11"/>
  <c r="D55" i="11"/>
  <c r="D55" i="3" s="1"/>
  <c r="E55" i="11"/>
  <c r="C56" i="11"/>
  <c r="D56" i="11"/>
  <c r="D56" i="3" s="1"/>
  <c r="E56" i="11"/>
  <c r="C57" i="11"/>
  <c r="C57" i="3" s="1"/>
  <c r="D57" i="11"/>
  <c r="D57" i="3" s="1"/>
  <c r="E57" i="11"/>
  <c r="C58" i="11"/>
  <c r="C58" i="3" s="1"/>
  <c r="D58" i="11"/>
  <c r="E58" i="11"/>
  <c r="C59" i="11"/>
  <c r="C59" i="3" s="1"/>
  <c r="D59" i="11"/>
  <c r="D59" i="3" s="1"/>
  <c r="E59" i="11"/>
  <c r="C60" i="11"/>
  <c r="C60" i="3" s="1"/>
  <c r="D60" i="11"/>
  <c r="D60" i="3" s="1"/>
  <c r="E60" i="11"/>
  <c r="C61" i="11"/>
  <c r="C61" i="3" s="1"/>
  <c r="D61" i="11"/>
  <c r="D61" i="3" s="1"/>
  <c r="E61" i="11"/>
  <c r="C62" i="11"/>
  <c r="E63" i="11"/>
  <c r="C64" i="11"/>
  <c r="C65" i="11"/>
  <c r="C66" i="11"/>
  <c r="D66" i="11"/>
  <c r="D66" i="3" s="1"/>
  <c r="C67" i="11"/>
  <c r="D67" i="11"/>
  <c r="E67" i="11"/>
  <c r="C68" i="11"/>
  <c r="C68" i="3" s="1"/>
  <c r="D68" i="11"/>
  <c r="C69" i="11"/>
  <c r="D69" i="11"/>
  <c r="E69" i="11" s="1"/>
  <c r="C70" i="11"/>
  <c r="D70" i="11"/>
  <c r="E70" i="11" s="1"/>
  <c r="C71" i="11"/>
  <c r="D71" i="11"/>
  <c r="E71" i="11" s="1"/>
  <c r="C72" i="11"/>
  <c r="C72" i="3" s="1"/>
  <c r="D72" i="3"/>
  <c r="C73" i="11"/>
  <c r="C73" i="3" s="1"/>
  <c r="D73" i="11"/>
  <c r="C74" i="11"/>
  <c r="C74" i="3" s="1"/>
  <c r="D74" i="11"/>
  <c r="E74" i="11"/>
  <c r="C75" i="11"/>
  <c r="C75" i="3" s="1"/>
  <c r="D75" i="11"/>
  <c r="C76" i="11"/>
  <c r="D76" i="11"/>
  <c r="C77" i="11"/>
  <c r="D77" i="11"/>
  <c r="C78" i="11"/>
  <c r="C78" i="3" s="1"/>
  <c r="D78" i="11"/>
  <c r="C79" i="11"/>
  <c r="C79" i="3" s="1"/>
  <c r="D79" i="11"/>
  <c r="D79" i="3" s="1"/>
  <c r="E79" i="11"/>
  <c r="C80" i="11"/>
  <c r="C80" i="3" s="1"/>
  <c r="D80" i="11"/>
  <c r="D80" i="3" s="1"/>
  <c r="E80" i="11"/>
  <c r="E80" i="3" s="1"/>
  <c r="C81" i="11"/>
  <c r="D81" i="11"/>
  <c r="C82" i="11"/>
  <c r="C82" i="3" s="1"/>
  <c r="D82" i="11"/>
  <c r="D82" i="3" s="1"/>
  <c r="E82" i="11"/>
  <c r="E82" i="3" s="1"/>
  <c r="C83" i="11"/>
  <c r="C83" i="3" s="1"/>
  <c r="D83" i="11"/>
  <c r="D83" i="3" s="1"/>
  <c r="E83" i="11"/>
  <c r="C84" i="11"/>
  <c r="C84" i="3" s="1"/>
  <c r="D84" i="11"/>
  <c r="D84" i="3" s="1"/>
  <c r="E84" i="11"/>
  <c r="C85" i="11"/>
  <c r="C85" i="3" s="1"/>
  <c r="D85" i="11"/>
  <c r="D85" i="3" s="1"/>
  <c r="E85" i="11"/>
  <c r="E85" i="3" s="1"/>
  <c r="E86" i="11"/>
  <c r="C87" i="11"/>
  <c r="C87" i="3" s="1"/>
  <c r="D87" i="11"/>
  <c r="C88" i="11"/>
  <c r="C88" i="3" s="1"/>
  <c r="D88" i="11"/>
  <c r="C89" i="11"/>
  <c r="C89" i="3" s="1"/>
  <c r="D89" i="11"/>
  <c r="E89" i="11" s="1"/>
  <c r="E89" i="3" s="1"/>
  <c r="C90" i="11"/>
  <c r="C90" i="3" s="1"/>
  <c r="D90" i="11"/>
  <c r="D90" i="3" s="1"/>
  <c r="E90" i="11"/>
  <c r="C91" i="11"/>
  <c r="C91" i="3" s="1"/>
  <c r="D91" i="11"/>
  <c r="E91" i="11"/>
  <c r="C92" i="11"/>
  <c r="C92" i="3" s="1"/>
  <c r="D92" i="11"/>
  <c r="D92" i="3" s="1"/>
  <c r="E92" i="11"/>
  <c r="E92" i="3" s="1"/>
  <c r="C93" i="11"/>
  <c r="C93" i="3" s="1"/>
  <c r="D93" i="11"/>
  <c r="D93" i="3" s="1"/>
  <c r="E93" i="11"/>
  <c r="E93" i="3" s="1"/>
  <c r="C94" i="11"/>
  <c r="D94" i="11"/>
  <c r="E94" i="11" s="1"/>
  <c r="C95" i="11"/>
  <c r="D95" i="11"/>
  <c r="D95" i="3" s="1"/>
  <c r="E95" i="11"/>
  <c r="C96" i="11"/>
  <c r="D96" i="11"/>
  <c r="E96" i="11" s="1"/>
  <c r="C97" i="11"/>
  <c r="D97" i="11"/>
  <c r="D97" i="3" s="1"/>
  <c r="E97" i="11"/>
  <c r="C98" i="11"/>
  <c r="C98" i="3" s="1"/>
  <c r="D98" i="11"/>
  <c r="D98" i="3" s="1"/>
  <c r="E98" i="11"/>
  <c r="C99" i="11"/>
  <c r="C99" i="3" s="1"/>
  <c r="D99" i="11"/>
  <c r="C100" i="11"/>
  <c r="D100" i="11"/>
  <c r="C101" i="11"/>
  <c r="C101" i="3" s="1"/>
  <c r="D101" i="11"/>
  <c r="C102" i="11"/>
  <c r="D102" i="11"/>
  <c r="D102" i="3" s="1"/>
  <c r="E102" i="11"/>
  <c r="C103" i="11"/>
  <c r="D103" i="11"/>
  <c r="D103" i="3" s="1"/>
  <c r="E103" i="11"/>
  <c r="C104" i="11"/>
  <c r="C104" i="3" s="1"/>
  <c r="D104" i="11"/>
  <c r="D104" i="3" s="1"/>
  <c r="E104" i="11"/>
  <c r="C105" i="11"/>
  <c r="C105" i="3" s="1"/>
  <c r="D105" i="11"/>
  <c r="E105" i="11"/>
  <c r="E105" i="3" s="1"/>
  <c r="C106" i="11"/>
  <c r="C106" i="3" s="1"/>
  <c r="D106" i="11"/>
  <c r="D106" i="3" s="1"/>
  <c r="E106" i="11"/>
  <c r="E106" i="3" s="1"/>
  <c r="C107" i="11"/>
  <c r="C107" i="3" s="1"/>
  <c r="D107" i="11"/>
  <c r="E107" i="11" s="1"/>
  <c r="C108" i="11"/>
  <c r="C108" i="3" s="1"/>
  <c r="D108" i="11"/>
  <c r="D108" i="3" s="1"/>
  <c r="E108" i="11"/>
  <c r="E108" i="3" s="1"/>
  <c r="C109" i="11"/>
  <c r="D109" i="11"/>
  <c r="C110" i="11"/>
  <c r="D110" i="11"/>
  <c r="D110" i="3" s="1"/>
  <c r="E110" i="11"/>
  <c r="C111" i="11"/>
  <c r="C111" i="3" s="1"/>
  <c r="D111" i="11"/>
  <c r="D111" i="3" s="1"/>
  <c r="E111" i="11"/>
  <c r="C112" i="11"/>
  <c r="C112" i="3" s="1"/>
  <c r="D112" i="11"/>
  <c r="E112" i="11" s="1"/>
  <c r="E113" i="11"/>
  <c r="E113" i="3" s="1"/>
  <c r="C114" i="11"/>
  <c r="C114" i="3" s="1"/>
  <c r="D114" i="11"/>
  <c r="C115" i="11"/>
  <c r="C115" i="3" s="1"/>
  <c r="D115" i="11"/>
  <c r="D115" i="3" s="1"/>
  <c r="E115" i="11"/>
  <c r="E115" i="3" s="1"/>
  <c r="C116" i="11"/>
  <c r="C116" i="3" s="1"/>
  <c r="D116" i="11"/>
  <c r="D116" i="3" s="1"/>
  <c r="E116" i="11"/>
  <c r="C117" i="11"/>
  <c r="C117" i="3" s="1"/>
  <c r="D117" i="11"/>
  <c r="D117" i="3" s="1"/>
  <c r="E117" i="11"/>
  <c r="E117" i="3" s="1"/>
  <c r="C118" i="11"/>
  <c r="C118" i="3" s="1"/>
  <c r="D118" i="11"/>
  <c r="D118" i="3" s="1"/>
  <c r="E118" i="11"/>
  <c r="E118" i="3" s="1"/>
  <c r="C119" i="11"/>
  <c r="D119" i="11"/>
  <c r="D119" i="3" s="1"/>
  <c r="E119" i="11"/>
  <c r="C120" i="11"/>
  <c r="C120" i="3" s="1"/>
  <c r="D120" i="11"/>
  <c r="D120" i="3" s="1"/>
  <c r="E120" i="11"/>
  <c r="E120" i="3" s="1"/>
  <c r="C121" i="11"/>
  <c r="C121" i="3" s="1"/>
  <c r="D121" i="11"/>
  <c r="C122" i="11"/>
  <c r="C122" i="3" s="1"/>
  <c r="D122" i="11"/>
  <c r="D122" i="3" s="1"/>
  <c r="E122" i="11"/>
  <c r="C123" i="11"/>
  <c r="D123" i="11" s="1"/>
  <c r="C124" i="11"/>
  <c r="C124" i="3" s="1"/>
  <c r="D124" i="11"/>
  <c r="D124" i="3" s="1"/>
  <c r="E124" i="11"/>
  <c r="C125" i="11"/>
  <c r="C125" i="3" s="1"/>
  <c r="D125" i="11"/>
  <c r="C126" i="11"/>
  <c r="C126" i="3" s="1"/>
  <c r="D126" i="11"/>
  <c r="E126" i="11"/>
  <c r="C127" i="11"/>
  <c r="C127" i="3" s="1"/>
  <c r="D127" i="11"/>
  <c r="D127" i="3" s="1"/>
  <c r="E127" i="11"/>
  <c r="E127" i="3" s="1"/>
  <c r="C128" i="11"/>
  <c r="C128" i="3" s="1"/>
  <c r="D128" i="11"/>
  <c r="D128" i="3" s="1"/>
  <c r="E128" i="11"/>
  <c r="C129" i="11"/>
  <c r="C129" i="3" s="1"/>
  <c r="D129" i="11"/>
  <c r="D129" i="3" s="1"/>
  <c r="E129" i="11"/>
  <c r="E129" i="3" s="1"/>
  <c r="C130" i="11"/>
  <c r="C130" i="3" s="1"/>
  <c r="D130" i="11"/>
  <c r="E130" i="11"/>
  <c r="C131" i="11"/>
  <c r="C131" i="3" s="1"/>
  <c r="D131" i="11"/>
  <c r="D131" i="3" s="1"/>
  <c r="E131" i="11"/>
  <c r="E131" i="3" s="1"/>
  <c r="C132" i="11"/>
  <c r="C132" i="3" s="1"/>
  <c r="D132" i="11"/>
  <c r="D132" i="3" s="1"/>
  <c r="E132" i="11"/>
  <c r="C133" i="11"/>
  <c r="D133" i="11"/>
  <c r="D133" i="3" s="1"/>
  <c r="E133" i="11"/>
  <c r="C134" i="11"/>
  <c r="D134" i="11"/>
  <c r="D134" i="3" s="1"/>
  <c r="E134" i="11"/>
  <c r="C135" i="11"/>
  <c r="C135" i="3" s="1"/>
  <c r="D135" i="11"/>
  <c r="C136" i="11"/>
  <c r="C136" i="3" s="1"/>
  <c r="D136" i="11"/>
  <c r="C137" i="11"/>
  <c r="D137" i="11"/>
  <c r="C138" i="11"/>
  <c r="D138" i="11"/>
  <c r="D138" i="3" s="1"/>
  <c r="E138" i="11"/>
  <c r="C139" i="11"/>
  <c r="C139" i="3" s="1"/>
  <c r="D139" i="11"/>
  <c r="C140" i="11"/>
  <c r="C140" i="3" s="1"/>
  <c r="D140" i="11"/>
  <c r="C141" i="11"/>
  <c r="D141" i="11"/>
  <c r="D141" i="3" s="1"/>
  <c r="E141" i="11"/>
  <c r="C142" i="11"/>
  <c r="C142" i="3" s="1"/>
  <c r="D142" i="11"/>
  <c r="C143" i="11"/>
  <c r="D143" i="11"/>
  <c r="C144" i="11"/>
  <c r="C144" i="3" s="1"/>
  <c r="D144" i="11"/>
  <c r="E144" i="11" s="1"/>
  <c r="C145" i="11"/>
  <c r="D145" i="11"/>
  <c r="D145" i="3" s="1"/>
  <c r="E145" i="11"/>
  <c r="C146" i="11"/>
  <c r="D146" i="11"/>
  <c r="D146" i="3" s="1"/>
  <c r="E146" i="11"/>
  <c r="C147" i="11"/>
  <c r="E147" i="11" s="1"/>
  <c r="D147" i="11"/>
  <c r="D147" i="3" s="1"/>
  <c r="C148" i="11"/>
  <c r="C148" i="3" s="1"/>
  <c r="D148" i="11"/>
  <c r="C149" i="11"/>
  <c r="C149" i="3" s="1"/>
  <c r="D149" i="11"/>
  <c r="D149" i="3" s="1"/>
  <c r="E149" i="11"/>
  <c r="E149" i="3" s="1"/>
  <c r="C150" i="11"/>
  <c r="C150" i="3" s="1"/>
  <c r="D150" i="11"/>
  <c r="C151" i="11"/>
  <c r="D151" i="11"/>
  <c r="D151" i="3" s="1"/>
  <c r="E151" i="11"/>
  <c r="C152" i="11"/>
  <c r="C152" i="3" s="1"/>
  <c r="D152" i="11"/>
  <c r="D152" i="3" s="1"/>
  <c r="E152" i="11"/>
  <c r="E152" i="3" s="1"/>
  <c r="C153" i="11"/>
  <c r="C153" i="3" s="1"/>
  <c r="D153" i="11"/>
  <c r="C154" i="11"/>
  <c r="D154" i="11"/>
  <c r="D154" i="3" s="1"/>
  <c r="E154" i="11"/>
  <c r="C155" i="11"/>
  <c r="D155" i="11"/>
  <c r="D155" i="3" s="1"/>
  <c r="E155" i="11"/>
  <c r="C156" i="11"/>
  <c r="E156" i="11" s="1"/>
  <c r="D156" i="11"/>
  <c r="D156" i="3" s="1"/>
  <c r="C157" i="11"/>
  <c r="C157" i="3" s="1"/>
  <c r="D157" i="11"/>
  <c r="E157" i="11"/>
  <c r="E157" i="3" s="1"/>
  <c r="C158" i="11"/>
  <c r="C158" i="3" s="1"/>
  <c r="D158" i="11"/>
  <c r="D158" i="3" s="1"/>
  <c r="E158" i="11"/>
  <c r="C159" i="11"/>
  <c r="D159" i="11"/>
  <c r="C160" i="11"/>
  <c r="C160" i="3" s="1"/>
  <c r="D160" i="11"/>
  <c r="D160" i="3" s="1"/>
  <c r="E160" i="11"/>
  <c r="C163" i="11"/>
  <c r="C163" i="3" s="1"/>
  <c r="D163" i="11"/>
  <c r="C164" i="11"/>
  <c r="C164" i="3" s="1"/>
  <c r="D164" i="11"/>
  <c r="E164" i="11"/>
  <c r="C165" i="11"/>
  <c r="C165" i="3" s="1"/>
  <c r="D165" i="11"/>
  <c r="D165" i="3" s="1"/>
  <c r="E165" i="11"/>
  <c r="C166" i="11"/>
  <c r="C166" i="3" s="1"/>
  <c r="D166" i="11"/>
  <c r="D166" i="3" s="1"/>
  <c r="E166" i="11"/>
  <c r="C167" i="11"/>
  <c r="C167" i="3" s="1"/>
  <c r="D167" i="11"/>
  <c r="D167" i="3" s="1"/>
  <c r="E167" i="11"/>
  <c r="E167" i="3" s="1"/>
  <c r="C168" i="11"/>
  <c r="C168" i="3" s="1"/>
  <c r="D168" i="11"/>
  <c r="D168" i="3" s="1"/>
  <c r="E168" i="11"/>
  <c r="C169" i="11"/>
  <c r="C169" i="3" s="1"/>
  <c r="D169" i="11"/>
  <c r="D169" i="3" s="1"/>
  <c r="E169" i="11"/>
  <c r="C170" i="11"/>
  <c r="C170" i="3" s="1"/>
  <c r="D170" i="11"/>
  <c r="E170" i="11" s="1"/>
  <c r="C171" i="11"/>
  <c r="D171" i="11"/>
  <c r="C172" i="11"/>
  <c r="E172" i="11" s="1"/>
  <c r="D172" i="11"/>
  <c r="D172" i="3" s="1"/>
  <c r="C173" i="11"/>
  <c r="D173" i="11"/>
  <c r="C174" i="11"/>
  <c r="D174" i="11"/>
  <c r="E174" i="11" s="1"/>
  <c r="C175" i="11"/>
  <c r="C175" i="3" s="1"/>
  <c r="D175" i="11"/>
  <c r="D175" i="3" s="1"/>
  <c r="E175" i="11"/>
  <c r="C176" i="11"/>
  <c r="D176" i="11"/>
  <c r="D176" i="3" s="1"/>
  <c r="E176" i="11"/>
  <c r="C177" i="11"/>
  <c r="D177" i="11"/>
  <c r="D177" i="3" s="1"/>
  <c r="E177" i="11"/>
  <c r="C178" i="11"/>
  <c r="C178" i="3" s="1"/>
  <c r="D178" i="11"/>
  <c r="E178" i="11"/>
  <c r="C179" i="11"/>
  <c r="C179" i="3" s="1"/>
  <c r="D179" i="11"/>
  <c r="D179" i="3" s="1"/>
  <c r="E179" i="11"/>
  <c r="C180" i="11"/>
  <c r="D180" i="11"/>
  <c r="D180" i="3" s="1"/>
  <c r="E180" i="11"/>
  <c r="C181" i="11"/>
  <c r="C181" i="3" s="1"/>
  <c r="D181" i="11"/>
  <c r="D181" i="3" s="1"/>
  <c r="E181" i="11"/>
  <c r="C182" i="11"/>
  <c r="D182" i="11"/>
  <c r="E182" i="11"/>
  <c r="C183" i="11"/>
  <c r="C183" i="3" s="1"/>
  <c r="D183" i="11"/>
  <c r="D183" i="3" s="1"/>
  <c r="E183" i="11"/>
  <c r="C184" i="11"/>
  <c r="C184" i="3" s="1"/>
  <c r="D184" i="11"/>
  <c r="D184" i="3" s="1"/>
  <c r="E184" i="11"/>
  <c r="C185" i="11"/>
  <c r="D185" i="11"/>
  <c r="E185" i="11"/>
  <c r="C186" i="11"/>
  <c r="C186" i="3" s="1"/>
  <c r="D186" i="11"/>
  <c r="D186" i="3" s="1"/>
  <c r="E186" i="11"/>
  <c r="C187" i="11"/>
  <c r="C187" i="3" s="1"/>
  <c r="D187" i="11"/>
  <c r="D187" i="3" s="1"/>
  <c r="E187" i="11"/>
  <c r="C188" i="11"/>
  <c r="C188" i="3" s="1"/>
  <c r="D188" i="11"/>
  <c r="E188" i="11"/>
  <c r="C189" i="11"/>
  <c r="C189" i="3" s="1"/>
  <c r="D189" i="11"/>
  <c r="D189" i="3" s="1"/>
  <c r="E189" i="11"/>
  <c r="C190" i="11"/>
  <c r="C190" i="3" s="1"/>
  <c r="D190" i="11"/>
  <c r="D190" i="3" s="1"/>
  <c r="E190" i="11"/>
  <c r="C191" i="11"/>
  <c r="D191" i="11"/>
  <c r="D191" i="3" s="1"/>
  <c r="E191" i="11"/>
  <c r="C192" i="11"/>
  <c r="D192" i="11"/>
  <c r="D192" i="3" s="1"/>
  <c r="E192" i="11"/>
  <c r="C193" i="11"/>
  <c r="C193" i="3" s="1"/>
  <c r="D193" i="11"/>
  <c r="E193" i="11"/>
  <c r="C194" i="11"/>
  <c r="C194" i="3" s="1"/>
  <c r="D194" i="11"/>
  <c r="D194" i="3" s="1"/>
  <c r="E194" i="11"/>
  <c r="D195" i="11"/>
  <c r="D195" i="3" s="1"/>
  <c r="E195" i="11"/>
  <c r="C197" i="11"/>
  <c r="C197" i="3" s="1"/>
  <c r="D197" i="11"/>
  <c r="D197" i="3" s="1"/>
  <c r="E197" i="11"/>
  <c r="C198" i="11"/>
  <c r="C198" i="3" s="1"/>
  <c r="D198" i="11"/>
  <c r="D198" i="3" s="1"/>
  <c r="E198" i="11"/>
  <c r="E198" i="3" s="1"/>
  <c r="C199" i="11"/>
  <c r="D199" i="11"/>
  <c r="D199" i="3" s="1"/>
  <c r="E199" i="11"/>
  <c r="C200" i="11"/>
  <c r="C200" i="3" s="1"/>
  <c r="D200" i="11"/>
  <c r="E200" i="11"/>
  <c r="E200" i="3" s="1"/>
  <c r="C201" i="11"/>
  <c r="D201" i="11"/>
  <c r="D201" i="3" s="1"/>
  <c r="E201" i="11"/>
  <c r="C202" i="11"/>
  <c r="D202" i="11"/>
  <c r="E202" i="11"/>
  <c r="C203" i="11"/>
  <c r="C203" i="3" s="1"/>
  <c r="D203" i="11"/>
  <c r="D203" i="3" s="1"/>
  <c r="E203" i="11"/>
  <c r="C204" i="11"/>
  <c r="C204" i="3" s="1"/>
  <c r="D204" i="11"/>
  <c r="D204" i="3" s="1"/>
  <c r="E204" i="11"/>
  <c r="E204" i="3" s="1"/>
  <c r="C205" i="11"/>
  <c r="C205" i="3" s="1"/>
  <c r="D205" i="11"/>
  <c r="D205" i="3" s="1"/>
  <c r="E205" i="11"/>
  <c r="C206" i="11"/>
  <c r="D206" i="11"/>
  <c r="D206" i="3" s="1"/>
  <c r="E206" i="11"/>
  <c r="C207" i="11"/>
  <c r="C207" i="3" s="1"/>
  <c r="D207" i="11"/>
  <c r="D207" i="3" s="1"/>
  <c r="E207" i="11"/>
  <c r="C208" i="11"/>
  <c r="C208" i="3" s="1"/>
  <c r="D208" i="11"/>
  <c r="D208" i="3" s="1"/>
  <c r="E208" i="11"/>
  <c r="C209" i="11"/>
  <c r="D209" i="11"/>
  <c r="D209" i="3" s="1"/>
  <c r="E209" i="11"/>
  <c r="C210" i="11"/>
  <c r="D210" i="11"/>
  <c r="D210" i="3" s="1"/>
  <c r="E210" i="11"/>
  <c r="C211" i="11"/>
  <c r="C211" i="3" s="1"/>
  <c r="D211" i="11"/>
  <c r="C212" i="11"/>
  <c r="D212" i="11"/>
  <c r="C213" i="11"/>
  <c r="D213" i="11"/>
  <c r="C214" i="11"/>
  <c r="D214" i="11"/>
  <c r="D214" i="3" s="1"/>
  <c r="E214" i="11"/>
  <c r="C215" i="11"/>
  <c r="C215" i="3" s="1"/>
  <c r="D215" i="11"/>
  <c r="D215" i="3" s="1"/>
  <c r="E215" i="11"/>
  <c r="C216" i="11"/>
  <c r="C216" i="3" s="1"/>
  <c r="D216" i="11"/>
  <c r="E216" i="11" s="1"/>
  <c r="E216" i="3" s="1"/>
  <c r="C217" i="11"/>
  <c r="D217" i="11"/>
  <c r="D217" i="3" s="1"/>
  <c r="E217" i="11"/>
  <c r="C218" i="11"/>
  <c r="C218" i="3" s="1"/>
  <c r="D218" i="11"/>
  <c r="D218" i="3" s="1"/>
  <c r="E218" i="11"/>
  <c r="C219" i="11"/>
  <c r="D219" i="11"/>
  <c r="D219" i="3" s="1"/>
  <c r="C220" i="11"/>
  <c r="C220" i="3" s="1"/>
  <c r="D220" i="11"/>
  <c r="C221" i="11"/>
  <c r="C221" i="3" s="1"/>
  <c r="D221" i="11"/>
  <c r="D221" i="3" s="1"/>
  <c r="E221" i="11"/>
  <c r="C222" i="11"/>
  <c r="C222" i="3" s="1"/>
  <c r="D222" i="11"/>
  <c r="D222" i="3" s="1"/>
  <c r="E222" i="11"/>
  <c r="C223" i="11"/>
  <c r="C223" i="3" s="1"/>
  <c r="D223" i="11"/>
  <c r="D223" i="3" s="1"/>
  <c r="E223" i="11"/>
  <c r="C224" i="11"/>
  <c r="C224" i="3" s="1"/>
  <c r="D224" i="11"/>
  <c r="D224" i="3" s="1"/>
  <c r="E224" i="11"/>
  <c r="C225" i="11"/>
  <c r="C225" i="3" s="1"/>
  <c r="D225" i="11"/>
  <c r="C226" i="11"/>
  <c r="D226" i="11"/>
  <c r="E226" i="11" s="1"/>
  <c r="C227" i="11"/>
  <c r="C227" i="3" s="1"/>
  <c r="D227" i="11"/>
  <c r="D227" i="3" s="1"/>
  <c r="E227" i="11"/>
  <c r="C228" i="11"/>
  <c r="C228" i="3" s="1"/>
  <c r="D228" i="11"/>
  <c r="D228" i="3" s="1"/>
  <c r="E228" i="11"/>
  <c r="C229" i="11"/>
  <c r="D229" i="11"/>
  <c r="D229" i="3" s="1"/>
  <c r="E229" i="11"/>
  <c r="E229" i="3" s="1"/>
  <c r="C230" i="11"/>
  <c r="C230" i="3" s="1"/>
  <c r="D230" i="11"/>
  <c r="C231" i="11"/>
  <c r="D231" i="11"/>
  <c r="D231" i="3" s="1"/>
  <c r="E231" i="11"/>
  <c r="C232" i="11"/>
  <c r="C232" i="3" s="1"/>
  <c r="D232" i="11"/>
  <c r="C233" i="11"/>
  <c r="D233" i="11"/>
  <c r="D233" i="3" s="1"/>
  <c r="E233" i="11"/>
  <c r="C234" i="11"/>
  <c r="C234" i="3" s="1"/>
  <c r="D234" i="11"/>
  <c r="D234" i="3" s="1"/>
  <c r="E234" i="11"/>
  <c r="C235" i="11"/>
  <c r="D235" i="11"/>
  <c r="D235" i="3" s="1"/>
  <c r="E235" i="11"/>
  <c r="C236" i="11"/>
  <c r="D236" i="11"/>
  <c r="D236" i="3" s="1"/>
  <c r="E236" i="11"/>
  <c r="C237" i="11"/>
  <c r="C237" i="3" s="1"/>
  <c r="D237" i="11"/>
  <c r="D237" i="3" s="1"/>
  <c r="E237" i="11"/>
  <c r="C238" i="11"/>
  <c r="D238" i="11"/>
  <c r="E238" i="11" s="1"/>
  <c r="C239" i="11"/>
  <c r="D239" i="11"/>
  <c r="D239" i="3" s="1"/>
  <c r="E239" i="11"/>
  <c r="C240" i="11"/>
  <c r="C240" i="3" s="1"/>
  <c r="D240" i="11"/>
  <c r="D240" i="3" s="1"/>
  <c r="E240" i="11"/>
  <c r="C241" i="11"/>
  <c r="D241" i="11"/>
  <c r="C242" i="11"/>
  <c r="C242" i="3" s="1"/>
  <c r="D242" i="11"/>
  <c r="D242" i="3" s="1"/>
  <c r="E242" i="11"/>
  <c r="C243" i="11"/>
  <c r="C243" i="3" s="1"/>
  <c r="D243" i="11"/>
  <c r="D243" i="3" s="1"/>
  <c r="E243" i="11"/>
  <c r="C244" i="11"/>
  <c r="D244" i="11"/>
  <c r="D244" i="3" s="1"/>
  <c r="E244" i="11"/>
  <c r="C245" i="11"/>
  <c r="C245" i="3" s="1"/>
  <c r="D245" i="11"/>
  <c r="D245" i="3" s="1"/>
  <c r="E245" i="11"/>
  <c r="C246" i="11"/>
  <c r="C246" i="3" s="1"/>
  <c r="D246" i="11"/>
  <c r="D246" i="3" s="1"/>
  <c r="E246" i="11"/>
  <c r="C247" i="11"/>
  <c r="C247" i="3" s="1"/>
  <c r="D247" i="11"/>
  <c r="C248" i="11"/>
  <c r="C248" i="3" s="1"/>
  <c r="D248" i="11"/>
  <c r="C249" i="11"/>
  <c r="C249" i="3" s="1"/>
  <c r="C250" i="11"/>
  <c r="C250" i="3" s="1"/>
  <c r="E250" i="3"/>
  <c r="C251" i="11"/>
  <c r="C251" i="3" s="1"/>
  <c r="D251" i="11"/>
  <c r="C252" i="11"/>
  <c r="D252" i="11"/>
  <c r="D252" i="3" s="1"/>
  <c r="C253" i="11"/>
  <c r="C253" i="3" s="1"/>
  <c r="D253" i="11"/>
  <c r="C254" i="11"/>
  <c r="C254" i="3" s="1"/>
  <c r="D254" i="11"/>
  <c r="C255" i="11"/>
  <c r="C255" i="3" s="1"/>
  <c r="D255" i="11"/>
  <c r="E255" i="11"/>
  <c r="C256" i="11"/>
  <c r="C256" i="3" s="1"/>
  <c r="D256" i="11"/>
  <c r="C257" i="11"/>
  <c r="E257" i="11" s="1"/>
  <c r="D257" i="11"/>
  <c r="C258" i="11"/>
  <c r="E258" i="11" s="1"/>
  <c r="D258" i="11"/>
  <c r="D258" i="3" s="1"/>
  <c r="C259" i="11"/>
  <c r="C259" i="3" s="1"/>
  <c r="D259" i="11"/>
  <c r="D259" i="3" s="1"/>
  <c r="E259" i="11"/>
  <c r="C260" i="11"/>
  <c r="C260" i="3" s="1"/>
  <c r="D260" i="11"/>
  <c r="D260" i="3" s="1"/>
  <c r="E260" i="11"/>
  <c r="C261" i="11"/>
  <c r="D261" i="11"/>
  <c r="D261" i="3" s="1"/>
  <c r="C262" i="11"/>
  <c r="C262" i="3" s="1"/>
  <c r="D262" i="11"/>
  <c r="D262" i="3" s="1"/>
  <c r="E262" i="11"/>
  <c r="C263" i="11"/>
  <c r="D263" i="11" s="1"/>
  <c r="C264" i="11"/>
  <c r="C264" i="3" s="1"/>
  <c r="D264" i="11"/>
  <c r="D264" i="3" s="1"/>
  <c r="E264" i="11"/>
  <c r="C265" i="11"/>
  <c r="D265" i="11"/>
  <c r="D265" i="3" s="1"/>
  <c r="C266" i="11"/>
  <c r="D266" i="11"/>
  <c r="D266" i="3" s="1"/>
  <c r="C267" i="11"/>
  <c r="C267" i="3" s="1"/>
  <c r="D267" i="11"/>
  <c r="C268" i="11"/>
  <c r="C268" i="3" s="1"/>
  <c r="D268" i="11"/>
  <c r="C269" i="11"/>
  <c r="C269" i="3" s="1"/>
  <c r="D269" i="11"/>
  <c r="C31" i="11"/>
  <c r="D31" i="11"/>
  <c r="E31" i="11"/>
  <c r="C32" i="11"/>
  <c r="D32" i="11"/>
  <c r="D32" i="3" s="1"/>
  <c r="C33" i="11"/>
  <c r="D33" i="11"/>
  <c r="C34" i="11"/>
  <c r="D34" i="11"/>
  <c r="D34" i="3" s="1"/>
  <c r="E34" i="11"/>
  <c r="E35" i="11"/>
  <c r="C36" i="11"/>
  <c r="D36" i="11"/>
  <c r="E36" i="11"/>
  <c r="C37" i="11"/>
  <c r="C37" i="3" s="1"/>
  <c r="D37" i="11"/>
  <c r="D37" i="3" s="1"/>
  <c r="E37" i="11"/>
  <c r="C38" i="11"/>
  <c r="C38" i="3" s="1"/>
  <c r="D38" i="11"/>
  <c r="D38" i="3" s="1"/>
  <c r="E38" i="11"/>
  <c r="C3" i="11"/>
  <c r="D3" i="11" s="1"/>
  <c r="C4" i="11"/>
  <c r="D4" i="11"/>
  <c r="E4" i="11" s="1"/>
  <c r="C5" i="11"/>
  <c r="C6" i="11"/>
  <c r="D6" i="11"/>
  <c r="E6" i="11" s="1"/>
  <c r="C7" i="11"/>
  <c r="D7" i="11"/>
  <c r="E7" i="11"/>
  <c r="C8" i="11"/>
  <c r="D8" i="11"/>
  <c r="E8" i="11"/>
  <c r="C9" i="11"/>
  <c r="D9" i="11"/>
  <c r="E9" i="11"/>
  <c r="C10" i="11"/>
  <c r="D10" i="11"/>
  <c r="E10" i="11"/>
  <c r="C11" i="11"/>
  <c r="D11" i="11"/>
  <c r="E11" i="11" s="1"/>
  <c r="C12" i="11"/>
  <c r="D12" i="11"/>
  <c r="E12" i="11"/>
  <c r="C13" i="11"/>
  <c r="D13" i="11"/>
  <c r="E13" i="11"/>
  <c r="C14" i="11"/>
  <c r="D14" i="11"/>
  <c r="E14" i="11" s="1"/>
  <c r="C15" i="11"/>
  <c r="D15" i="11"/>
  <c r="E15" i="11"/>
  <c r="C16" i="11"/>
  <c r="D16" i="11"/>
  <c r="C17" i="11"/>
  <c r="D17" i="11"/>
  <c r="E17" i="11"/>
  <c r="C18" i="11"/>
  <c r="D18" i="11"/>
  <c r="E18" i="11"/>
  <c r="C19" i="11"/>
  <c r="E19" i="11" s="1"/>
  <c r="D19" i="11"/>
  <c r="C20" i="11"/>
  <c r="D20" i="11"/>
  <c r="E20" i="11"/>
  <c r="C21" i="11"/>
  <c r="D21" i="11"/>
  <c r="E21" i="11"/>
  <c r="C22" i="11"/>
  <c r="D22" i="11"/>
  <c r="E22" i="11"/>
  <c r="C23" i="11"/>
  <c r="D23" i="11"/>
  <c r="E23" i="11" s="1"/>
  <c r="C24" i="11"/>
  <c r="D24" i="11"/>
  <c r="E24" i="11"/>
  <c r="C25" i="11"/>
  <c r="D25" i="11"/>
  <c r="E25" i="11" s="1"/>
  <c r="C26" i="11"/>
  <c r="D26" i="11"/>
  <c r="E26" i="11" s="1"/>
  <c r="C27" i="11"/>
  <c r="D27" i="11"/>
  <c r="E27" i="11" s="1"/>
  <c r="C28" i="11"/>
  <c r="E28" i="11" s="1"/>
  <c r="D28" i="11"/>
  <c r="C29" i="11"/>
  <c r="D29" i="11"/>
  <c r="E29" i="11"/>
  <c r="C30" i="11"/>
  <c r="D30" i="11"/>
  <c r="E30" i="11"/>
  <c r="D4" i="3"/>
  <c r="C7" i="3"/>
  <c r="D7" i="3"/>
  <c r="C8" i="3"/>
  <c r="C11" i="3"/>
  <c r="D11" i="3"/>
  <c r="C12" i="3"/>
  <c r="D12" i="3"/>
  <c r="C13" i="3"/>
  <c r="D13" i="3"/>
  <c r="D14" i="3"/>
  <c r="C15" i="3"/>
  <c r="D15" i="3"/>
  <c r="C16" i="3"/>
  <c r="D16" i="3"/>
  <c r="D17" i="3"/>
  <c r="C18" i="3"/>
  <c r="C19" i="3"/>
  <c r="D19" i="3"/>
  <c r="C20" i="3"/>
  <c r="C21" i="3"/>
  <c r="C22" i="3"/>
  <c r="D22" i="3"/>
  <c r="D23" i="3"/>
  <c r="C24" i="3"/>
  <c r="C25" i="3"/>
  <c r="C27" i="3"/>
  <c r="D27" i="3"/>
  <c r="C28" i="3"/>
  <c r="C29" i="3"/>
  <c r="D29" i="3"/>
  <c r="C31" i="3"/>
  <c r="D31" i="3"/>
  <c r="E31" i="3"/>
  <c r="C2" i="11"/>
  <c r="F265" i="3"/>
  <c r="L260" i="1" s="1"/>
  <c r="A519" i="18" s="1"/>
  <c r="F266" i="3"/>
  <c r="L261" i="1" s="1"/>
  <c r="F267" i="3"/>
  <c r="L262" i="1" s="1"/>
  <c r="A523" i="18" s="1"/>
  <c r="F268" i="3"/>
  <c r="L263" i="1" s="1"/>
  <c r="F269" i="3"/>
  <c r="L264" i="1" s="1"/>
  <c r="A527" i="18" s="1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7" i="3"/>
  <c r="B27" i="3"/>
  <c r="B28" i="3" s="1"/>
  <c r="B29" i="3" s="1"/>
  <c r="B31" i="3" s="1"/>
  <c r="B32" i="3" s="1"/>
  <c r="B33" i="3" s="1"/>
  <c r="B34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2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8" i="3" s="1"/>
  <c r="B79" i="3" s="1"/>
  <c r="B80" i="3" s="1"/>
  <c r="B81" i="3" s="1"/>
  <c r="B82" i="3" s="1"/>
  <c r="B83" i="3" s="1"/>
  <c r="B84" i="3" s="1"/>
  <c r="B85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4" i="3" s="1"/>
  <c r="B116" i="3" s="1"/>
  <c r="B117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64" i="3" s="1"/>
  <c r="B165" i="3" s="1"/>
  <c r="B166" i="3" s="1"/>
  <c r="B167" i="3" s="1"/>
  <c r="B168" i="3" s="1"/>
  <c r="B169" i="3" s="1"/>
  <c r="B170" i="3" s="1"/>
  <c r="B171" i="3" s="1"/>
  <c r="A28" i="3"/>
  <c r="A29" i="3" s="1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49" i="18"/>
  <c r="H150" i="18"/>
  <c r="H151" i="18"/>
  <c r="H152" i="18"/>
  <c r="H153" i="18"/>
  <c r="H154" i="18"/>
  <c r="H155" i="18"/>
  <c r="H156" i="18"/>
  <c r="H157" i="18"/>
  <c r="H158" i="18"/>
  <c r="H159" i="18"/>
  <c r="H160" i="18"/>
  <c r="H161" i="18"/>
  <c r="H162" i="18"/>
  <c r="H163" i="18"/>
  <c r="H164" i="18"/>
  <c r="H165" i="18"/>
  <c r="H166" i="18"/>
  <c r="H167" i="18"/>
  <c r="H168" i="18"/>
  <c r="H169" i="18"/>
  <c r="H170" i="18"/>
  <c r="H171" i="18"/>
  <c r="H172" i="18"/>
  <c r="H173" i="18"/>
  <c r="H174" i="18"/>
  <c r="H175" i="18"/>
  <c r="H176" i="18"/>
  <c r="H177" i="18"/>
  <c r="H178" i="18"/>
  <c r="H179" i="18"/>
  <c r="H180" i="18"/>
  <c r="H181" i="18"/>
  <c r="H182" i="18"/>
  <c r="H183" i="18"/>
  <c r="H184" i="18"/>
  <c r="H185" i="18"/>
  <c r="H186" i="18"/>
  <c r="H187" i="18"/>
  <c r="H188" i="18"/>
  <c r="H189" i="18"/>
  <c r="H190" i="18"/>
  <c r="H191" i="18"/>
  <c r="H192" i="18"/>
  <c r="H193" i="18"/>
  <c r="H194" i="18"/>
  <c r="H195" i="18"/>
  <c r="H196" i="18"/>
  <c r="H197" i="18"/>
  <c r="H198" i="18"/>
  <c r="H199" i="18"/>
  <c r="H200" i="18"/>
  <c r="H201" i="18"/>
  <c r="H202" i="18"/>
  <c r="H203" i="18"/>
  <c r="H204" i="18"/>
  <c r="H205" i="18"/>
  <c r="H206" i="18"/>
  <c r="H207" i="18"/>
  <c r="H208" i="18"/>
  <c r="H209" i="18"/>
  <c r="H210" i="18"/>
  <c r="H211" i="18"/>
  <c r="H212" i="18"/>
  <c r="H213" i="18"/>
  <c r="H214" i="18"/>
  <c r="H215" i="18"/>
  <c r="H216" i="18"/>
  <c r="H217" i="18"/>
  <c r="H218" i="18"/>
  <c r="H219" i="18"/>
  <c r="H220" i="18"/>
  <c r="H221" i="18"/>
  <c r="H222" i="18"/>
  <c r="H223" i="18"/>
  <c r="H224" i="18"/>
  <c r="H225" i="18"/>
  <c r="H226" i="18"/>
  <c r="H227" i="18"/>
  <c r="H228" i="18"/>
  <c r="H229" i="18"/>
  <c r="H230" i="18"/>
  <c r="H231" i="18"/>
  <c r="H232" i="18"/>
  <c r="H233" i="18"/>
  <c r="H234" i="18"/>
  <c r="H235" i="18"/>
  <c r="H236" i="18"/>
  <c r="H237" i="18"/>
  <c r="H238" i="18"/>
  <c r="H239" i="18"/>
  <c r="H240" i="18"/>
  <c r="H241" i="18"/>
  <c r="H242" i="18"/>
  <c r="H243" i="18"/>
  <c r="H244" i="18"/>
  <c r="H245" i="18"/>
  <c r="H246" i="18"/>
  <c r="H247" i="18"/>
  <c r="H248" i="18"/>
  <c r="H249" i="18"/>
  <c r="H250" i="18"/>
  <c r="H251" i="18"/>
  <c r="H252" i="18"/>
  <c r="H253" i="18"/>
  <c r="H254" i="18"/>
  <c r="H255" i="18"/>
  <c r="H256" i="18"/>
  <c r="H257" i="18"/>
  <c r="H258" i="18"/>
  <c r="H259" i="18"/>
  <c r="H260" i="18"/>
  <c r="H261" i="18"/>
  <c r="H262" i="18"/>
  <c r="H263" i="18"/>
  <c r="H264" i="18"/>
  <c r="H265" i="18"/>
  <c r="H266" i="18"/>
  <c r="H267" i="18"/>
  <c r="H268" i="18"/>
  <c r="H269" i="18"/>
  <c r="H270" i="18"/>
  <c r="H271" i="18"/>
  <c r="H272" i="18"/>
  <c r="H273" i="18"/>
  <c r="H274" i="18"/>
  <c r="H275" i="18"/>
  <c r="H276" i="18"/>
  <c r="H277" i="18"/>
  <c r="H278" i="18"/>
  <c r="H279" i="18"/>
  <c r="H280" i="18"/>
  <c r="H281" i="18"/>
  <c r="H282" i="18"/>
  <c r="H283" i="18"/>
  <c r="H284" i="18"/>
  <c r="H285" i="18"/>
  <c r="H286" i="18"/>
  <c r="H287" i="18"/>
  <c r="H288" i="18"/>
  <c r="H289" i="18"/>
  <c r="H290" i="18"/>
  <c r="H291" i="18"/>
  <c r="H292" i="18"/>
  <c r="H293" i="18"/>
  <c r="H294" i="18"/>
  <c r="H295" i="18"/>
  <c r="H296" i="18"/>
  <c r="H297" i="18"/>
  <c r="H298" i="18"/>
  <c r="H299" i="18"/>
  <c r="H300" i="18"/>
  <c r="H301" i="18"/>
  <c r="H302" i="18"/>
  <c r="H303" i="18"/>
  <c r="H304" i="18"/>
  <c r="H305" i="18"/>
  <c r="H306" i="18"/>
  <c r="H307" i="18"/>
  <c r="H308" i="18"/>
  <c r="H309" i="18"/>
  <c r="H310" i="18"/>
  <c r="H311" i="18"/>
  <c r="H312" i="18"/>
  <c r="H313" i="18"/>
  <c r="H314" i="18"/>
  <c r="H315" i="18"/>
  <c r="H316" i="18"/>
  <c r="H317" i="18"/>
  <c r="H318" i="18"/>
  <c r="H319" i="18"/>
  <c r="H320" i="18"/>
  <c r="H321" i="18"/>
  <c r="H322" i="18"/>
  <c r="H323" i="18"/>
  <c r="H324" i="18"/>
  <c r="H325" i="18"/>
  <c r="H326" i="18"/>
  <c r="H327" i="18"/>
  <c r="H328" i="18"/>
  <c r="H329" i="18"/>
  <c r="H330" i="18"/>
  <c r="H331" i="18"/>
  <c r="H332" i="18"/>
  <c r="H333" i="18"/>
  <c r="H334" i="18"/>
  <c r="H335" i="18"/>
  <c r="H336" i="18"/>
  <c r="H337" i="18"/>
  <c r="H338" i="18"/>
  <c r="H339" i="18"/>
  <c r="H340" i="18"/>
  <c r="H341" i="18"/>
  <c r="H342" i="18"/>
  <c r="H343" i="18"/>
  <c r="H344" i="18"/>
  <c r="H345" i="18"/>
  <c r="H346" i="18"/>
  <c r="H347" i="18"/>
  <c r="H348" i="18"/>
  <c r="H349" i="18"/>
  <c r="H350" i="18"/>
  <c r="H351" i="18"/>
  <c r="H352" i="18"/>
  <c r="H353" i="18"/>
  <c r="H354" i="18"/>
  <c r="H355" i="18"/>
  <c r="H356" i="18"/>
  <c r="H357" i="18"/>
  <c r="H358" i="18"/>
  <c r="H359" i="18"/>
  <c r="H360" i="18"/>
  <c r="H361" i="18"/>
  <c r="H362" i="18"/>
  <c r="H363" i="18"/>
  <c r="H364" i="18"/>
  <c r="H365" i="18"/>
  <c r="H366" i="18"/>
  <c r="H367" i="18"/>
  <c r="H368" i="18"/>
  <c r="H369" i="18"/>
  <c r="H370" i="18"/>
  <c r="H371" i="18"/>
  <c r="H372" i="18"/>
  <c r="H373" i="18"/>
  <c r="H374" i="18"/>
  <c r="H375" i="18"/>
  <c r="H376" i="18"/>
  <c r="H377" i="18"/>
  <c r="H378" i="18"/>
  <c r="H379" i="18"/>
  <c r="H380" i="18"/>
  <c r="H381" i="18"/>
  <c r="H382" i="18"/>
  <c r="H383" i="18"/>
  <c r="H384" i="18"/>
  <c r="H385" i="18"/>
  <c r="H386" i="18"/>
  <c r="H387" i="18"/>
  <c r="H388" i="18"/>
  <c r="H389" i="18"/>
  <c r="H390" i="18"/>
  <c r="H391" i="18"/>
  <c r="H392" i="18"/>
  <c r="H393" i="18"/>
  <c r="H394" i="18"/>
  <c r="H395" i="18"/>
  <c r="H396" i="18"/>
  <c r="H397" i="18"/>
  <c r="H398" i="18"/>
  <c r="H399" i="18"/>
  <c r="H400" i="18"/>
  <c r="H401" i="18"/>
  <c r="H402" i="18"/>
  <c r="H403" i="18"/>
  <c r="H404" i="18"/>
  <c r="H405" i="18"/>
  <c r="H406" i="18"/>
  <c r="H407" i="18"/>
  <c r="H408" i="18"/>
  <c r="H409" i="18"/>
  <c r="H410" i="18"/>
  <c r="H411" i="18"/>
  <c r="H412" i="18"/>
  <c r="H413" i="18"/>
  <c r="H414" i="18"/>
  <c r="H415" i="18"/>
  <c r="H416" i="18"/>
  <c r="H417" i="18"/>
  <c r="H418" i="18"/>
  <c r="H419" i="18"/>
  <c r="H420" i="18"/>
  <c r="H421" i="18"/>
  <c r="H422" i="18"/>
  <c r="H423" i="18"/>
  <c r="H424" i="18"/>
  <c r="H425" i="18"/>
  <c r="H426" i="18"/>
  <c r="H427" i="18"/>
  <c r="H428" i="18"/>
  <c r="H429" i="18"/>
  <c r="H430" i="18"/>
  <c r="H431" i="18"/>
  <c r="H432" i="18"/>
  <c r="H433" i="18"/>
  <c r="H434" i="18"/>
  <c r="H435" i="18"/>
  <c r="H436" i="18"/>
  <c r="H437" i="18"/>
  <c r="H438" i="18"/>
  <c r="H439" i="18"/>
  <c r="H440" i="18"/>
  <c r="H441" i="18"/>
  <c r="H442" i="18"/>
  <c r="H443" i="18"/>
  <c r="H444" i="18"/>
  <c r="H445" i="18"/>
  <c r="H446" i="18"/>
  <c r="H447" i="18"/>
  <c r="H448" i="18"/>
  <c r="H449" i="18"/>
  <c r="H450" i="18"/>
  <c r="H451" i="18"/>
  <c r="H452" i="18"/>
  <c r="H453" i="18"/>
  <c r="H454" i="18"/>
  <c r="H455" i="18"/>
  <c r="H456" i="18"/>
  <c r="H457" i="18"/>
  <c r="H458" i="18"/>
  <c r="H459" i="18"/>
  <c r="H460" i="18"/>
  <c r="H461" i="18"/>
  <c r="H462" i="18"/>
  <c r="H463" i="18"/>
  <c r="H464" i="18"/>
  <c r="H465" i="18"/>
  <c r="H466" i="18"/>
  <c r="H467" i="18"/>
  <c r="H468" i="18"/>
  <c r="H469" i="18"/>
  <c r="H470" i="18"/>
  <c r="H471" i="18"/>
  <c r="H472" i="18"/>
  <c r="H473" i="18"/>
  <c r="H474" i="18"/>
  <c r="H475" i="18"/>
  <c r="H476" i="18"/>
  <c r="H477" i="18"/>
  <c r="H478" i="18"/>
  <c r="H479" i="18"/>
  <c r="H480" i="18"/>
  <c r="H481" i="18"/>
  <c r="H482" i="18"/>
  <c r="H483" i="18"/>
  <c r="H484" i="18"/>
  <c r="H485" i="18"/>
  <c r="H486" i="18"/>
  <c r="H487" i="18"/>
  <c r="H488" i="18"/>
  <c r="H489" i="18"/>
  <c r="H490" i="18"/>
  <c r="H491" i="18"/>
  <c r="H492" i="18"/>
  <c r="H493" i="18"/>
  <c r="H494" i="18"/>
  <c r="H495" i="18"/>
  <c r="H496" i="18"/>
  <c r="H497" i="18"/>
  <c r="H498" i="18"/>
  <c r="H499" i="18"/>
  <c r="H500" i="18"/>
  <c r="H501" i="18"/>
  <c r="H502" i="18"/>
  <c r="H503" i="18"/>
  <c r="H504" i="18"/>
  <c r="H505" i="18"/>
  <c r="H506" i="18"/>
  <c r="H507" i="18"/>
  <c r="H508" i="18"/>
  <c r="H509" i="18"/>
  <c r="H510" i="18"/>
  <c r="H511" i="18"/>
  <c r="H512" i="18"/>
  <c r="H513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2" i="18"/>
  <c r="G15" i="1"/>
  <c r="J15" i="2" s="1"/>
  <c r="G16" i="1"/>
  <c r="J16" i="2" s="1"/>
  <c r="G17" i="1"/>
  <c r="J17" i="2" s="1"/>
  <c r="G18" i="1"/>
  <c r="J18" i="2" s="1"/>
  <c r="G19" i="1"/>
  <c r="J19" i="2" s="1"/>
  <c r="G20" i="1"/>
  <c r="J20" i="2" s="1"/>
  <c r="G21" i="1"/>
  <c r="J21" i="2" s="1"/>
  <c r="G22" i="1"/>
  <c r="J22" i="2" s="1"/>
  <c r="G23" i="1"/>
  <c r="J23" i="2" s="1"/>
  <c r="G24" i="1"/>
  <c r="J24" i="2" s="1"/>
  <c r="G25" i="1"/>
  <c r="J25" i="2" s="1"/>
  <c r="G26" i="1"/>
  <c r="J26" i="2" s="1"/>
  <c r="G27" i="1"/>
  <c r="J27" i="2" s="1"/>
  <c r="G28" i="1"/>
  <c r="J28" i="2" s="1"/>
  <c r="G29" i="1"/>
  <c r="J29" i="2" s="1"/>
  <c r="G30" i="1"/>
  <c r="J30" i="2" s="1"/>
  <c r="G31" i="1"/>
  <c r="J31" i="2" s="1"/>
  <c r="G32" i="1"/>
  <c r="J32" i="2" s="1"/>
  <c r="G33" i="1"/>
  <c r="J33" i="2" s="1"/>
  <c r="G34" i="1"/>
  <c r="J34" i="2" s="1"/>
  <c r="G35" i="1"/>
  <c r="J35" i="2" s="1"/>
  <c r="G36" i="1"/>
  <c r="J36" i="2" s="1"/>
  <c r="G37" i="1"/>
  <c r="J37" i="2" s="1"/>
  <c r="G38" i="1"/>
  <c r="J38" i="2" s="1"/>
  <c r="G39" i="1"/>
  <c r="J39" i="2" s="1"/>
  <c r="G40" i="1"/>
  <c r="J40" i="2" s="1"/>
  <c r="F34" i="4"/>
  <c r="E34" i="4"/>
  <c r="E36" i="18"/>
  <c r="E34" i="18"/>
  <c r="D34" i="18"/>
  <c r="F4" i="4"/>
  <c r="E4" i="4"/>
  <c r="E4" i="18"/>
  <c r="D4" i="18"/>
  <c r="F129" i="3"/>
  <c r="F29" i="3"/>
  <c r="D512" i="18"/>
  <c r="D510" i="18"/>
  <c r="D508" i="18"/>
  <c r="D506" i="18"/>
  <c r="D504" i="18"/>
  <c r="D502" i="18"/>
  <c r="D500" i="18"/>
  <c r="D498" i="18"/>
  <c r="D496" i="18"/>
  <c r="D494" i="18"/>
  <c r="D492" i="18"/>
  <c r="D490" i="18"/>
  <c r="D488" i="18"/>
  <c r="D486" i="18"/>
  <c r="D484" i="18"/>
  <c r="D482" i="18"/>
  <c r="D480" i="18"/>
  <c r="D478" i="18"/>
  <c r="D476" i="18"/>
  <c r="D474" i="18"/>
  <c r="D472" i="18"/>
  <c r="D470" i="18"/>
  <c r="D468" i="18"/>
  <c r="D466" i="18"/>
  <c r="D464" i="18"/>
  <c r="D462" i="18"/>
  <c r="D460" i="18"/>
  <c r="D458" i="18"/>
  <c r="D456" i="18"/>
  <c r="D454" i="18"/>
  <c r="D452" i="18"/>
  <c r="D450" i="18"/>
  <c r="D448" i="18"/>
  <c r="D446" i="18"/>
  <c r="D444" i="18"/>
  <c r="D442" i="18"/>
  <c r="D440" i="18"/>
  <c r="D438" i="18"/>
  <c r="D436" i="18"/>
  <c r="D434" i="18"/>
  <c r="D432" i="18"/>
  <c r="D430" i="18"/>
  <c r="D428" i="18"/>
  <c r="D426" i="18"/>
  <c r="D424" i="18"/>
  <c r="D422" i="18"/>
  <c r="D420" i="18"/>
  <c r="D418" i="18"/>
  <c r="D416" i="18"/>
  <c r="D414" i="18"/>
  <c r="D412" i="18"/>
  <c r="D410" i="18"/>
  <c r="D408" i="18"/>
  <c r="D406" i="18"/>
  <c r="D404" i="18"/>
  <c r="D402" i="18"/>
  <c r="D400" i="18"/>
  <c r="D398" i="18"/>
  <c r="D396" i="18"/>
  <c r="D394" i="18"/>
  <c r="D392" i="18"/>
  <c r="D390" i="18"/>
  <c r="D388" i="18"/>
  <c r="D386" i="18"/>
  <c r="D384" i="18"/>
  <c r="D382" i="18"/>
  <c r="D380" i="18"/>
  <c r="D378" i="18"/>
  <c r="D376" i="18"/>
  <c r="D374" i="18"/>
  <c r="D372" i="18"/>
  <c r="D370" i="18"/>
  <c r="D368" i="18"/>
  <c r="D366" i="18"/>
  <c r="D364" i="18"/>
  <c r="D362" i="18"/>
  <c r="D360" i="18"/>
  <c r="D358" i="18"/>
  <c r="D356" i="18"/>
  <c r="D354" i="18"/>
  <c r="D352" i="18"/>
  <c r="D350" i="18"/>
  <c r="D348" i="18"/>
  <c r="D346" i="18"/>
  <c r="D344" i="18"/>
  <c r="D342" i="18"/>
  <c r="D340" i="18"/>
  <c r="D338" i="18"/>
  <c r="D336" i="18"/>
  <c r="D334" i="18"/>
  <c r="D332" i="18"/>
  <c r="D330" i="18"/>
  <c r="D328" i="18"/>
  <c r="D326" i="18"/>
  <c r="D324" i="18"/>
  <c r="D322" i="18"/>
  <c r="D320" i="18"/>
  <c r="D318" i="18"/>
  <c r="D316" i="18"/>
  <c r="D314" i="18"/>
  <c r="D312" i="18"/>
  <c r="D310" i="18"/>
  <c r="D308" i="18"/>
  <c r="D306" i="18"/>
  <c r="D304" i="18"/>
  <c r="D302" i="18"/>
  <c r="D300" i="18"/>
  <c r="D298" i="18"/>
  <c r="D296" i="18"/>
  <c r="D294" i="18"/>
  <c r="D292" i="18"/>
  <c r="D290" i="18"/>
  <c r="D288" i="18"/>
  <c r="D286" i="18"/>
  <c r="D284" i="18"/>
  <c r="D282" i="18"/>
  <c r="D280" i="18"/>
  <c r="D278" i="18"/>
  <c r="D276" i="18"/>
  <c r="D274" i="18"/>
  <c r="D272" i="18"/>
  <c r="D270" i="18"/>
  <c r="D268" i="18"/>
  <c r="D266" i="18"/>
  <c r="D264" i="18"/>
  <c r="D262" i="18"/>
  <c r="D260" i="18"/>
  <c r="D258" i="18"/>
  <c r="D256" i="18"/>
  <c r="D254" i="18"/>
  <c r="D252" i="18"/>
  <c r="D250" i="18"/>
  <c r="D248" i="18"/>
  <c r="D246" i="18"/>
  <c r="D244" i="18"/>
  <c r="D242" i="18"/>
  <c r="D240" i="18"/>
  <c r="D238" i="18"/>
  <c r="D236" i="18"/>
  <c r="D234" i="18"/>
  <c r="D232" i="18"/>
  <c r="D230" i="18"/>
  <c r="D228" i="18"/>
  <c r="D226" i="18"/>
  <c r="D224" i="18"/>
  <c r="D222" i="18"/>
  <c r="D220" i="18"/>
  <c r="D218" i="18"/>
  <c r="D216" i="18"/>
  <c r="D214" i="18"/>
  <c r="D212" i="18"/>
  <c r="D210" i="18"/>
  <c r="D208" i="18"/>
  <c r="D206" i="18"/>
  <c r="D204" i="18"/>
  <c r="E202" i="18"/>
  <c r="D202" i="18"/>
  <c r="E200" i="18"/>
  <c r="D200" i="18"/>
  <c r="E198" i="18"/>
  <c r="D198" i="18"/>
  <c r="E196" i="18"/>
  <c r="D196" i="18"/>
  <c r="E194" i="18"/>
  <c r="D194" i="18"/>
  <c r="E192" i="18"/>
  <c r="D192" i="18"/>
  <c r="E190" i="18"/>
  <c r="D190" i="18"/>
  <c r="E188" i="18"/>
  <c r="D188" i="18"/>
  <c r="E186" i="18"/>
  <c r="D186" i="18"/>
  <c r="E184" i="18"/>
  <c r="D184" i="18"/>
  <c r="E182" i="18"/>
  <c r="D182" i="18"/>
  <c r="E180" i="18"/>
  <c r="D180" i="18"/>
  <c r="E178" i="18"/>
  <c r="D178" i="18"/>
  <c r="E176" i="18"/>
  <c r="D176" i="18"/>
  <c r="E174" i="18"/>
  <c r="D174" i="18"/>
  <c r="E172" i="18"/>
  <c r="D172" i="18"/>
  <c r="E170" i="18"/>
  <c r="D170" i="18"/>
  <c r="E168" i="18"/>
  <c r="D168" i="18"/>
  <c r="E166" i="18"/>
  <c r="D166" i="18"/>
  <c r="E164" i="18"/>
  <c r="D164" i="18"/>
  <c r="E162" i="18"/>
  <c r="D162" i="18"/>
  <c r="E160" i="18"/>
  <c r="D160" i="18"/>
  <c r="E158" i="18"/>
  <c r="D158" i="18"/>
  <c r="E156" i="18"/>
  <c r="D156" i="18"/>
  <c r="E154" i="18"/>
  <c r="D154" i="18"/>
  <c r="E152" i="18"/>
  <c r="D152" i="18"/>
  <c r="E150" i="18"/>
  <c r="D150" i="18"/>
  <c r="E148" i="18"/>
  <c r="D148" i="18"/>
  <c r="E146" i="18"/>
  <c r="D146" i="18"/>
  <c r="E144" i="18"/>
  <c r="D144" i="18"/>
  <c r="E142" i="18"/>
  <c r="D142" i="18"/>
  <c r="E140" i="18"/>
  <c r="D140" i="18"/>
  <c r="E138" i="18"/>
  <c r="D138" i="18"/>
  <c r="E136" i="18"/>
  <c r="D136" i="18"/>
  <c r="E134" i="18"/>
  <c r="D134" i="18"/>
  <c r="E132" i="18"/>
  <c r="D132" i="18"/>
  <c r="E130" i="18"/>
  <c r="D130" i="18"/>
  <c r="E128" i="18"/>
  <c r="D128" i="18"/>
  <c r="E126" i="18"/>
  <c r="D126" i="18"/>
  <c r="E124" i="18"/>
  <c r="D124" i="18"/>
  <c r="E122" i="18"/>
  <c r="D122" i="18"/>
  <c r="E120" i="18"/>
  <c r="D120" i="18"/>
  <c r="E118" i="18"/>
  <c r="D118" i="18"/>
  <c r="E116" i="18"/>
  <c r="D116" i="18"/>
  <c r="E114" i="18"/>
  <c r="D114" i="18"/>
  <c r="E112" i="18"/>
  <c r="D112" i="18"/>
  <c r="E110" i="18"/>
  <c r="D110" i="18"/>
  <c r="E108" i="18"/>
  <c r="D108" i="18"/>
  <c r="E106" i="18"/>
  <c r="D106" i="18"/>
  <c r="E104" i="18"/>
  <c r="D104" i="18"/>
  <c r="E102" i="18"/>
  <c r="D102" i="18"/>
  <c r="E100" i="18"/>
  <c r="D100" i="18"/>
  <c r="E98" i="18"/>
  <c r="D98" i="18"/>
  <c r="E96" i="18"/>
  <c r="D96" i="18"/>
  <c r="E94" i="18"/>
  <c r="D94" i="18"/>
  <c r="E92" i="18"/>
  <c r="D92" i="18"/>
  <c r="E90" i="18"/>
  <c r="D90" i="18"/>
  <c r="E88" i="18"/>
  <c r="D88" i="18"/>
  <c r="E86" i="18"/>
  <c r="D86" i="18"/>
  <c r="E84" i="18"/>
  <c r="D84" i="18"/>
  <c r="E82" i="18"/>
  <c r="D82" i="18"/>
  <c r="E80" i="18"/>
  <c r="D80" i="18"/>
  <c r="E78" i="18"/>
  <c r="D78" i="18"/>
  <c r="E76" i="18"/>
  <c r="D76" i="18"/>
  <c r="E74" i="18"/>
  <c r="D74" i="18"/>
  <c r="E72" i="18"/>
  <c r="D72" i="18"/>
  <c r="E70" i="18"/>
  <c r="D70" i="18"/>
  <c r="E68" i="18"/>
  <c r="D68" i="18"/>
  <c r="E66" i="18"/>
  <c r="D66" i="18"/>
  <c r="E64" i="18"/>
  <c r="D64" i="18"/>
  <c r="E62" i="18"/>
  <c r="D62" i="18"/>
  <c r="E60" i="18"/>
  <c r="D60" i="18"/>
  <c r="E58" i="18"/>
  <c r="D58" i="18"/>
  <c r="E56" i="18"/>
  <c r="D56" i="18"/>
  <c r="E54" i="18"/>
  <c r="D54" i="18"/>
  <c r="E52" i="18"/>
  <c r="D52" i="18"/>
  <c r="E50" i="18"/>
  <c r="D50" i="18"/>
  <c r="E48" i="18"/>
  <c r="D48" i="18"/>
  <c r="E46" i="18"/>
  <c r="D46" i="18"/>
  <c r="E44" i="18"/>
  <c r="D44" i="18"/>
  <c r="E42" i="18"/>
  <c r="D42" i="18"/>
  <c r="E40" i="18"/>
  <c r="D40" i="18"/>
  <c r="E38" i="18"/>
  <c r="D38" i="18"/>
  <c r="D36" i="18"/>
  <c r="E32" i="18"/>
  <c r="D32" i="18"/>
  <c r="E30" i="18"/>
  <c r="D30" i="18"/>
  <c r="E28" i="18"/>
  <c r="D28" i="18"/>
  <c r="E26" i="18"/>
  <c r="D26" i="18"/>
  <c r="E24" i="18"/>
  <c r="D24" i="18"/>
  <c r="E22" i="18"/>
  <c r="D22" i="18"/>
  <c r="E20" i="18"/>
  <c r="D20" i="18"/>
  <c r="E18" i="18"/>
  <c r="D18" i="18"/>
  <c r="E16" i="18"/>
  <c r="D16" i="18"/>
  <c r="E14" i="18"/>
  <c r="D14" i="18"/>
  <c r="E12" i="18"/>
  <c r="D12" i="18"/>
  <c r="E10" i="18"/>
  <c r="D10" i="18"/>
  <c r="E8" i="18"/>
  <c r="D8" i="18"/>
  <c r="E6" i="18"/>
  <c r="D6" i="18"/>
  <c r="E2" i="18"/>
  <c r="D2" i="18"/>
  <c r="F53" i="3"/>
  <c r="F169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30" i="3"/>
  <c r="F31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2" i="3"/>
  <c r="L14" i="1" s="1"/>
  <c r="E23" i="9"/>
  <c r="C39" i="3"/>
  <c r="C40" i="3"/>
  <c r="C41" i="3"/>
  <c r="C42" i="3"/>
  <c r="D44" i="3"/>
  <c r="D40" i="3"/>
  <c r="I221" i="8"/>
  <c r="I232" i="8"/>
  <c r="I237" i="8"/>
  <c r="I248" i="8"/>
  <c r="I253" i="8"/>
  <c r="I264" i="8"/>
  <c r="I269" i="8"/>
  <c r="I280" i="8"/>
  <c r="I285" i="8"/>
  <c r="I296" i="8"/>
  <c r="I301" i="8"/>
  <c r="I312" i="8"/>
  <c r="I317" i="8"/>
  <c r="I328" i="8"/>
  <c r="I332" i="8"/>
  <c r="I339" i="8"/>
  <c r="I343" i="8"/>
  <c r="I349" i="8"/>
  <c r="I353" i="8"/>
  <c r="I358" i="8"/>
  <c r="I361" i="8"/>
  <c r="I366" i="8"/>
  <c r="I369" i="8"/>
  <c r="I374" i="8"/>
  <c r="I377" i="8"/>
  <c r="I382" i="8"/>
  <c r="I385" i="8"/>
  <c r="I390" i="8"/>
  <c r="I393" i="8"/>
  <c r="I398" i="8"/>
  <c r="I401" i="8"/>
  <c r="I406" i="8"/>
  <c r="I409" i="8"/>
  <c r="I414" i="8"/>
  <c r="I417" i="8"/>
  <c r="I422" i="8"/>
  <c r="I425" i="8"/>
  <c r="B3" i="3"/>
  <c r="B4" i="3" s="1"/>
  <c r="B5" i="3" s="1"/>
  <c r="B6" i="3" s="1"/>
  <c r="B7" i="3" s="1"/>
  <c r="B8" i="3" s="1"/>
  <c r="B9" i="3" s="1"/>
  <c r="F6" i="4"/>
  <c r="F8" i="4"/>
  <c r="F10" i="4"/>
  <c r="F12" i="4"/>
  <c r="F14" i="4"/>
  <c r="F16" i="4"/>
  <c r="F18" i="4"/>
  <c r="F20" i="4"/>
  <c r="F22" i="4"/>
  <c r="F24" i="4"/>
  <c r="F26" i="4"/>
  <c r="F28" i="4"/>
  <c r="F30" i="4"/>
  <c r="F32" i="4"/>
  <c r="F36" i="4"/>
  <c r="F38" i="4"/>
  <c r="F40" i="4"/>
  <c r="F42" i="4"/>
  <c r="F44" i="4"/>
  <c r="F46" i="4"/>
  <c r="F48" i="4"/>
  <c r="F50" i="4"/>
  <c r="F52" i="4"/>
  <c r="F54" i="4"/>
  <c r="F56" i="4"/>
  <c r="F58" i="4"/>
  <c r="F60" i="4"/>
  <c r="F62" i="4"/>
  <c r="F64" i="4"/>
  <c r="F66" i="4"/>
  <c r="F68" i="4"/>
  <c r="F70" i="4"/>
  <c r="F72" i="4"/>
  <c r="F74" i="4"/>
  <c r="F76" i="4"/>
  <c r="F78" i="4"/>
  <c r="F80" i="4"/>
  <c r="F82" i="4"/>
  <c r="F84" i="4"/>
  <c r="F86" i="4"/>
  <c r="F88" i="4"/>
  <c r="F90" i="4"/>
  <c r="F92" i="4"/>
  <c r="F94" i="4"/>
  <c r="F96" i="4"/>
  <c r="F98" i="4"/>
  <c r="F100" i="4"/>
  <c r="F102" i="4"/>
  <c r="F104" i="4"/>
  <c r="F106" i="4"/>
  <c r="F108" i="4"/>
  <c r="F110" i="4"/>
  <c r="F112" i="4"/>
  <c r="F114" i="4"/>
  <c r="F116" i="4"/>
  <c r="F118" i="4"/>
  <c r="F120" i="4"/>
  <c r="F122" i="4"/>
  <c r="F124" i="4"/>
  <c r="F126" i="4"/>
  <c r="F128" i="4"/>
  <c r="F130" i="4"/>
  <c r="F132" i="4"/>
  <c r="F134" i="4"/>
  <c r="F136" i="4"/>
  <c r="F138" i="4"/>
  <c r="F140" i="4"/>
  <c r="F142" i="4"/>
  <c r="F144" i="4"/>
  <c r="F146" i="4"/>
  <c r="F148" i="4"/>
  <c r="F150" i="4"/>
  <c r="F152" i="4"/>
  <c r="F154" i="4"/>
  <c r="F156" i="4"/>
  <c r="F158" i="4"/>
  <c r="F160" i="4"/>
  <c r="F162" i="4"/>
  <c r="F164" i="4"/>
  <c r="F166" i="4"/>
  <c r="F168" i="4"/>
  <c r="F170" i="4"/>
  <c r="F172" i="4"/>
  <c r="F174" i="4"/>
  <c r="F176" i="4"/>
  <c r="F178" i="4"/>
  <c r="F180" i="4"/>
  <c r="F182" i="4"/>
  <c r="F184" i="4"/>
  <c r="F186" i="4"/>
  <c r="F188" i="4"/>
  <c r="F190" i="4"/>
  <c r="F192" i="4"/>
  <c r="F194" i="4"/>
  <c r="F196" i="4"/>
  <c r="F198" i="4"/>
  <c r="F200" i="4"/>
  <c r="F202" i="4"/>
  <c r="E6" i="4"/>
  <c r="E8" i="4"/>
  <c r="E10" i="4"/>
  <c r="E12" i="4"/>
  <c r="E14" i="4"/>
  <c r="E16" i="4"/>
  <c r="E18" i="4"/>
  <c r="E20" i="4"/>
  <c r="E22" i="4"/>
  <c r="E24" i="4"/>
  <c r="E26" i="4"/>
  <c r="E28" i="4"/>
  <c r="E30" i="4"/>
  <c r="E32" i="4"/>
  <c r="E36" i="4"/>
  <c r="E38" i="4"/>
  <c r="E40" i="4"/>
  <c r="E42" i="4"/>
  <c r="E44" i="4"/>
  <c r="E46" i="4"/>
  <c r="E48" i="4"/>
  <c r="E50" i="4"/>
  <c r="E52" i="4"/>
  <c r="E54" i="4"/>
  <c r="E56" i="4"/>
  <c r="E58" i="4"/>
  <c r="E60" i="4"/>
  <c r="E62" i="4"/>
  <c r="E64" i="4"/>
  <c r="E66" i="4"/>
  <c r="E68" i="4"/>
  <c r="E70" i="4"/>
  <c r="E72" i="4"/>
  <c r="E74" i="4"/>
  <c r="E76" i="4"/>
  <c r="E78" i="4"/>
  <c r="E80" i="4"/>
  <c r="E82" i="4"/>
  <c r="E84" i="4"/>
  <c r="E86" i="4"/>
  <c r="E88" i="4"/>
  <c r="E90" i="4"/>
  <c r="E92" i="4"/>
  <c r="E94" i="4"/>
  <c r="E96" i="4"/>
  <c r="E98" i="4"/>
  <c r="E100" i="4"/>
  <c r="E102" i="4"/>
  <c r="E104" i="4"/>
  <c r="E106" i="4"/>
  <c r="E108" i="4"/>
  <c r="E110" i="4"/>
  <c r="E112" i="4"/>
  <c r="E114" i="4"/>
  <c r="E116" i="4"/>
  <c r="E118" i="4"/>
  <c r="E120" i="4"/>
  <c r="E122" i="4"/>
  <c r="E124" i="4"/>
  <c r="E126" i="4"/>
  <c r="E128" i="4"/>
  <c r="E130" i="4"/>
  <c r="E132" i="4"/>
  <c r="E134" i="4"/>
  <c r="E136" i="4"/>
  <c r="E138" i="4"/>
  <c r="E140" i="4"/>
  <c r="E142" i="4"/>
  <c r="E144" i="4"/>
  <c r="E146" i="4"/>
  <c r="E148" i="4"/>
  <c r="E150" i="4"/>
  <c r="E152" i="4"/>
  <c r="E154" i="4"/>
  <c r="E156" i="4"/>
  <c r="E158" i="4"/>
  <c r="E160" i="4"/>
  <c r="E162" i="4"/>
  <c r="E164" i="4"/>
  <c r="E166" i="4"/>
  <c r="E168" i="4"/>
  <c r="E170" i="4"/>
  <c r="E172" i="4"/>
  <c r="E174" i="4"/>
  <c r="E176" i="4"/>
  <c r="E178" i="4"/>
  <c r="E180" i="4"/>
  <c r="E182" i="4"/>
  <c r="E184" i="4"/>
  <c r="E186" i="4"/>
  <c r="E188" i="4"/>
  <c r="E190" i="4"/>
  <c r="E192" i="4"/>
  <c r="E194" i="4"/>
  <c r="E196" i="4"/>
  <c r="E198" i="4"/>
  <c r="E200" i="4"/>
  <c r="E202" i="4"/>
  <c r="E204" i="4"/>
  <c r="E206" i="4"/>
  <c r="E208" i="4"/>
  <c r="E210" i="4"/>
  <c r="E212" i="4"/>
  <c r="E214" i="4"/>
  <c r="E216" i="4"/>
  <c r="E218" i="4"/>
  <c r="E220" i="4"/>
  <c r="E222" i="4"/>
  <c r="E224" i="4"/>
  <c r="E226" i="4"/>
  <c r="E228" i="4"/>
  <c r="E230" i="4"/>
  <c r="E232" i="4"/>
  <c r="E234" i="4"/>
  <c r="E236" i="4"/>
  <c r="E238" i="4"/>
  <c r="E240" i="4"/>
  <c r="E242" i="4"/>
  <c r="E244" i="4"/>
  <c r="E246" i="4"/>
  <c r="E248" i="4"/>
  <c r="E250" i="4"/>
  <c r="E252" i="4"/>
  <c r="E254" i="4"/>
  <c r="E256" i="4"/>
  <c r="E258" i="4"/>
  <c r="E260" i="4"/>
  <c r="E262" i="4"/>
  <c r="E264" i="4"/>
  <c r="E266" i="4"/>
  <c r="E268" i="4"/>
  <c r="E270" i="4"/>
  <c r="E272" i="4"/>
  <c r="E274" i="4"/>
  <c r="E276" i="4"/>
  <c r="E278" i="4"/>
  <c r="E280" i="4"/>
  <c r="E282" i="4"/>
  <c r="E284" i="4"/>
  <c r="E286" i="4"/>
  <c r="E288" i="4"/>
  <c r="E290" i="4"/>
  <c r="E292" i="4"/>
  <c r="E294" i="4"/>
  <c r="E296" i="4"/>
  <c r="E298" i="4"/>
  <c r="E300" i="4"/>
  <c r="E302" i="4"/>
  <c r="E304" i="4"/>
  <c r="E306" i="4"/>
  <c r="E308" i="4"/>
  <c r="E310" i="4"/>
  <c r="E312" i="4"/>
  <c r="E314" i="4"/>
  <c r="E316" i="4"/>
  <c r="E318" i="4"/>
  <c r="E320" i="4"/>
  <c r="E322" i="4"/>
  <c r="E324" i="4"/>
  <c r="E326" i="4"/>
  <c r="E328" i="4"/>
  <c r="E330" i="4"/>
  <c r="E332" i="4"/>
  <c r="E334" i="4"/>
  <c r="E336" i="4"/>
  <c r="E338" i="4"/>
  <c r="E340" i="4"/>
  <c r="E342" i="4"/>
  <c r="E344" i="4"/>
  <c r="E346" i="4"/>
  <c r="E348" i="4"/>
  <c r="E350" i="4"/>
  <c r="E352" i="4"/>
  <c r="E354" i="4"/>
  <c r="E356" i="4"/>
  <c r="E358" i="4"/>
  <c r="E360" i="4"/>
  <c r="E362" i="4"/>
  <c r="E364" i="4"/>
  <c r="E366" i="4"/>
  <c r="E368" i="4"/>
  <c r="E370" i="4"/>
  <c r="E372" i="4"/>
  <c r="E374" i="4"/>
  <c r="E376" i="4"/>
  <c r="E378" i="4"/>
  <c r="E380" i="4"/>
  <c r="E382" i="4"/>
  <c r="E384" i="4"/>
  <c r="E386" i="4"/>
  <c r="E388" i="4"/>
  <c r="E390" i="4"/>
  <c r="E392" i="4"/>
  <c r="E394" i="4"/>
  <c r="E396" i="4"/>
  <c r="E398" i="4"/>
  <c r="E400" i="4"/>
  <c r="E402" i="4"/>
  <c r="E404" i="4"/>
  <c r="E406" i="4"/>
  <c r="E408" i="4"/>
  <c r="E410" i="4"/>
  <c r="E412" i="4"/>
  <c r="E414" i="4"/>
  <c r="E416" i="4"/>
  <c r="E418" i="4"/>
  <c r="E420" i="4"/>
  <c r="E422" i="4"/>
  <c r="E424" i="4"/>
  <c r="E426" i="4"/>
  <c r="E428" i="4"/>
  <c r="E430" i="4"/>
  <c r="E432" i="4"/>
  <c r="E434" i="4"/>
  <c r="E436" i="4"/>
  <c r="E438" i="4"/>
  <c r="E440" i="4"/>
  <c r="E442" i="4"/>
  <c r="E444" i="4"/>
  <c r="E446" i="4"/>
  <c r="E448" i="4"/>
  <c r="E450" i="4"/>
  <c r="E452" i="4"/>
  <c r="E454" i="4"/>
  <c r="E456" i="4"/>
  <c r="E458" i="4"/>
  <c r="E460" i="4"/>
  <c r="E462" i="4"/>
  <c r="E464" i="4"/>
  <c r="E466" i="4"/>
  <c r="E468" i="4"/>
  <c r="E470" i="4"/>
  <c r="E472" i="4"/>
  <c r="E474" i="4"/>
  <c r="E476" i="4"/>
  <c r="E478" i="4"/>
  <c r="E480" i="4"/>
  <c r="E482" i="4"/>
  <c r="E484" i="4"/>
  <c r="E486" i="4"/>
  <c r="E488" i="4"/>
  <c r="E490" i="4"/>
  <c r="E492" i="4"/>
  <c r="E494" i="4"/>
  <c r="E496" i="4"/>
  <c r="E498" i="4"/>
  <c r="E500" i="4"/>
  <c r="E502" i="4"/>
  <c r="E504" i="4"/>
  <c r="E506" i="4"/>
  <c r="E508" i="4"/>
  <c r="E510" i="4"/>
  <c r="E512" i="4"/>
  <c r="E514" i="4"/>
  <c r="E516" i="4"/>
  <c r="E518" i="4"/>
  <c r="F2" i="4"/>
  <c r="E2" i="4"/>
  <c r="A3" i="3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F103" i="2"/>
  <c r="D103" i="2" s="1"/>
  <c r="F104" i="2"/>
  <c r="F128" i="2" s="1"/>
  <c r="F152" i="2" s="1"/>
  <c r="F105" i="2"/>
  <c r="F106" i="2"/>
  <c r="F107" i="2"/>
  <c r="F131" i="2"/>
  <c r="D131" i="2" s="1"/>
  <c r="F108" i="2"/>
  <c r="D108" i="2" s="1"/>
  <c r="F109" i="2"/>
  <c r="D109" i="2" s="1"/>
  <c r="F110" i="2"/>
  <c r="D110" i="2" s="1"/>
  <c r="F111" i="2"/>
  <c r="D111" i="2" s="1"/>
  <c r="F112" i="2"/>
  <c r="F113" i="2"/>
  <c r="F137" i="2" s="1"/>
  <c r="F114" i="2"/>
  <c r="D114" i="2" s="1"/>
  <c r="F115" i="2"/>
  <c r="F116" i="2"/>
  <c r="D116" i="2" s="1"/>
  <c r="F117" i="2"/>
  <c r="F118" i="2"/>
  <c r="F119" i="2"/>
  <c r="D119" i="2" s="1"/>
  <c r="F120" i="2"/>
  <c r="F121" i="2"/>
  <c r="F145" i="2" s="1"/>
  <c r="D121" i="2"/>
  <c r="F122" i="2"/>
  <c r="F123" i="2"/>
  <c r="F124" i="2"/>
  <c r="D124" i="2" s="1"/>
  <c r="F125" i="2"/>
  <c r="F149" i="2" s="1"/>
  <c r="D125" i="2"/>
  <c r="F126" i="2"/>
  <c r="D126" i="2"/>
  <c r="F135" i="2"/>
  <c r="F138" i="2"/>
  <c r="D138" i="2" s="1"/>
  <c r="F150" i="2"/>
  <c r="D150" i="2" s="1"/>
  <c r="F155" i="2"/>
  <c r="D155" i="2" s="1"/>
  <c r="D8" i="2"/>
  <c r="D9" i="2"/>
  <c r="D10" i="2"/>
  <c r="D11" i="2"/>
  <c r="D12" i="2"/>
  <c r="D13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7" i="2"/>
  <c r="E126" i="1"/>
  <c r="E150" i="1" s="1"/>
  <c r="F298" i="4" s="1"/>
  <c r="E125" i="1"/>
  <c r="F248" i="4" s="1"/>
  <c r="E124" i="1"/>
  <c r="E148" i="1" s="1"/>
  <c r="E123" i="1"/>
  <c r="E147" i="1" s="1"/>
  <c r="E292" i="18" s="1"/>
  <c r="E122" i="1"/>
  <c r="F242" i="4" s="1"/>
  <c r="E121" i="1"/>
  <c r="E145" i="1" s="1"/>
  <c r="E120" i="1"/>
  <c r="E238" i="18" s="1"/>
  <c r="E119" i="1"/>
  <c r="E236" i="18" s="1"/>
  <c r="E118" i="1"/>
  <c r="E234" i="18" s="1"/>
  <c r="E117" i="1"/>
  <c r="E141" i="1" s="1"/>
  <c r="E116" i="1"/>
  <c r="E230" i="18" s="1"/>
  <c r="E115" i="1"/>
  <c r="F228" i="4" s="1"/>
  <c r="E114" i="1"/>
  <c r="F226" i="4" s="1"/>
  <c r="E113" i="1"/>
  <c r="E224" i="18" s="1"/>
  <c r="E112" i="1"/>
  <c r="E222" i="18" s="1"/>
  <c r="E111" i="1"/>
  <c r="E220" i="18" s="1"/>
  <c r="E110" i="1"/>
  <c r="E218" i="18" s="1"/>
  <c r="E109" i="1"/>
  <c r="E216" i="18" s="1"/>
  <c r="E108" i="1"/>
  <c r="E214" i="18" s="1"/>
  <c r="E107" i="1"/>
  <c r="E131" i="1" s="1"/>
  <c r="E260" i="18" s="1"/>
  <c r="E106" i="1"/>
  <c r="E210" i="18" s="1"/>
  <c r="E105" i="1"/>
  <c r="E208" i="18" s="1"/>
  <c r="E104" i="1"/>
  <c r="E128" i="1" s="1"/>
  <c r="E254" i="18" s="1"/>
  <c r="E103" i="1"/>
  <c r="E127" i="1" s="1"/>
  <c r="D39" i="3"/>
  <c r="D41" i="3"/>
  <c r="I421" i="8"/>
  <c r="I413" i="8"/>
  <c r="I405" i="8"/>
  <c r="I397" i="8"/>
  <c r="I389" i="8"/>
  <c r="I381" i="8"/>
  <c r="I373" i="8"/>
  <c r="I365" i="8"/>
  <c r="I357" i="8"/>
  <c r="I348" i="8"/>
  <c r="I337" i="8"/>
  <c r="I325" i="8"/>
  <c r="I309" i="8"/>
  <c r="I293" i="8"/>
  <c r="I277" i="8"/>
  <c r="I261" i="8"/>
  <c r="I245" i="8"/>
  <c r="I229" i="8"/>
  <c r="I222" i="8"/>
  <c r="I226" i="8"/>
  <c r="I230" i="8"/>
  <c r="I234" i="8"/>
  <c r="I238" i="8"/>
  <c r="I242" i="8"/>
  <c r="I246" i="8"/>
  <c r="I250" i="8"/>
  <c r="I254" i="8"/>
  <c r="I258" i="8"/>
  <c r="I262" i="8"/>
  <c r="I266" i="8"/>
  <c r="I270" i="8"/>
  <c r="I274" i="8"/>
  <c r="I278" i="8"/>
  <c r="I282" i="8"/>
  <c r="I286" i="8"/>
  <c r="I290" i="8"/>
  <c r="I294" i="8"/>
  <c r="I298" i="8"/>
  <c r="I302" i="8"/>
  <c r="I306" i="8"/>
  <c r="I310" i="8"/>
  <c r="I314" i="8"/>
  <c r="I318" i="8"/>
  <c r="I322" i="8"/>
  <c r="I326" i="8"/>
  <c r="I330" i="8"/>
  <c r="I334" i="8"/>
  <c r="I338" i="8"/>
  <c r="I342" i="8"/>
  <c r="I346" i="8"/>
  <c r="I350" i="8"/>
  <c r="I219" i="8"/>
  <c r="I223" i="8"/>
  <c r="I227" i="8"/>
  <c r="I231" i="8"/>
  <c r="I235" i="8"/>
  <c r="I239" i="8"/>
  <c r="I243" i="8"/>
  <c r="I247" i="8"/>
  <c r="I251" i="8"/>
  <c r="I255" i="8"/>
  <c r="I259" i="8"/>
  <c r="I263" i="8"/>
  <c r="I267" i="8"/>
  <c r="I271" i="8"/>
  <c r="I275" i="8"/>
  <c r="I279" i="8"/>
  <c r="I283" i="8"/>
  <c r="I287" i="8"/>
  <c r="I291" i="8"/>
  <c r="I295" i="8"/>
  <c r="I299" i="8"/>
  <c r="I303" i="8"/>
  <c r="I307" i="8"/>
  <c r="I311" i="8"/>
  <c r="I315" i="8"/>
  <c r="I319" i="8"/>
  <c r="I323" i="8"/>
  <c r="I327" i="8"/>
  <c r="I225" i="8"/>
  <c r="I233" i="8"/>
  <c r="I241" i="8"/>
  <c r="I249" i="8"/>
  <c r="I257" i="8"/>
  <c r="I265" i="8"/>
  <c r="I273" i="8"/>
  <c r="I281" i="8"/>
  <c r="I289" i="8"/>
  <c r="I297" i="8"/>
  <c r="I305" i="8"/>
  <c r="I313" i="8"/>
  <c r="I321" i="8"/>
  <c r="I329" i="8"/>
  <c r="I335" i="8"/>
  <c r="I340" i="8"/>
  <c r="I345" i="8"/>
  <c r="I351" i="8"/>
  <c r="I355" i="8"/>
  <c r="I359" i="8"/>
  <c r="I363" i="8"/>
  <c r="I367" i="8"/>
  <c r="I371" i="8"/>
  <c r="I375" i="8"/>
  <c r="I379" i="8"/>
  <c r="I383" i="8"/>
  <c r="I387" i="8"/>
  <c r="I391" i="8"/>
  <c r="I395" i="8"/>
  <c r="I399" i="8"/>
  <c r="I403" i="8"/>
  <c r="I407" i="8"/>
  <c r="I411" i="8"/>
  <c r="I415" i="8"/>
  <c r="I419" i="8"/>
  <c r="I423" i="8"/>
  <c r="I427" i="8"/>
  <c r="I220" i="8"/>
  <c r="I228" i="8"/>
  <c r="I236" i="8"/>
  <c r="I244" i="8"/>
  <c r="I252" i="8"/>
  <c r="I260" i="8"/>
  <c r="I268" i="8"/>
  <c r="I276" i="8"/>
  <c r="I284" i="8"/>
  <c r="I292" i="8"/>
  <c r="I300" i="8"/>
  <c r="I308" i="8"/>
  <c r="I316" i="8"/>
  <c r="I324" i="8"/>
  <c r="I331" i="8"/>
  <c r="I336" i="8"/>
  <c r="I341" i="8"/>
  <c r="I347" i="8"/>
  <c r="I352" i="8"/>
  <c r="I356" i="8"/>
  <c r="I360" i="8"/>
  <c r="I364" i="8"/>
  <c r="I368" i="8"/>
  <c r="I372" i="8"/>
  <c r="I376" i="8"/>
  <c r="I380" i="8"/>
  <c r="I384" i="8"/>
  <c r="I388" i="8"/>
  <c r="I392" i="8"/>
  <c r="I396" i="8"/>
  <c r="I400" i="8"/>
  <c r="I404" i="8"/>
  <c r="I408" i="8"/>
  <c r="I412" i="8"/>
  <c r="I416" i="8"/>
  <c r="I420" i="8"/>
  <c r="I424" i="8"/>
  <c r="I218" i="8"/>
  <c r="I426" i="8"/>
  <c r="I418" i="8"/>
  <c r="I410" i="8"/>
  <c r="I402" i="8"/>
  <c r="I394" i="8"/>
  <c r="I386" i="8"/>
  <c r="I378" i="8"/>
  <c r="I370" i="8"/>
  <c r="I362" i="8"/>
  <c r="I354" i="8"/>
  <c r="I344" i="8"/>
  <c r="I333" i="8"/>
  <c r="I320" i="8"/>
  <c r="I304" i="8"/>
  <c r="I288" i="8"/>
  <c r="I272" i="8"/>
  <c r="I256" i="8"/>
  <c r="I240" i="8"/>
  <c r="I224" i="8"/>
  <c r="D106" i="2"/>
  <c r="F130" i="2"/>
  <c r="F141" i="2"/>
  <c r="D141" i="2" s="1"/>
  <c r="D117" i="2"/>
  <c r="F147" i="2"/>
  <c r="D147" i="2" s="1"/>
  <c r="D123" i="2"/>
  <c r="D128" i="2"/>
  <c r="F159" i="2"/>
  <c r="D135" i="2"/>
  <c r="D122" i="2"/>
  <c r="F146" i="2"/>
  <c r="D146" i="2" s="1"/>
  <c r="F143" i="2"/>
  <c r="D143" i="2" s="1"/>
  <c r="D113" i="2"/>
  <c r="D118" i="2"/>
  <c r="F142" i="2"/>
  <c r="D142" i="2" s="1"/>
  <c r="D107" i="2"/>
  <c r="D112" i="2"/>
  <c r="F136" i="2"/>
  <c r="D136" i="2" s="1"/>
  <c r="F183" i="2"/>
  <c r="F207" i="2" s="1"/>
  <c r="D159" i="2"/>
  <c r="D152" i="2"/>
  <c r="F176" i="2"/>
  <c r="D176" i="2" s="1"/>
  <c r="F165" i="2"/>
  <c r="D165" i="2" s="1"/>
  <c r="E43" i="11" l="1"/>
  <c r="E261" i="11"/>
  <c r="E16" i="11"/>
  <c r="E46" i="11"/>
  <c r="C46" i="3"/>
  <c r="E50" i="11"/>
  <c r="E50" i="3" s="1"/>
  <c r="D50" i="3"/>
  <c r="E54" i="11"/>
  <c r="E54" i="3" s="1"/>
  <c r="D54" i="3"/>
  <c r="D77" i="3"/>
  <c r="E77" i="11"/>
  <c r="E77" i="3" s="1"/>
  <c r="D81" i="3"/>
  <c r="E81" i="11"/>
  <c r="D135" i="3"/>
  <c r="E135" i="11"/>
  <c r="E135" i="3" s="1"/>
  <c r="D142" i="3"/>
  <c r="E142" i="11"/>
  <c r="E142" i="3" s="1"/>
  <c r="D148" i="3"/>
  <c r="E148" i="11"/>
  <c r="E159" i="11"/>
  <c r="C159" i="3"/>
  <c r="E163" i="11"/>
  <c r="D163" i="3"/>
  <c r="D171" i="3"/>
  <c r="E171" i="11"/>
  <c r="D173" i="3"/>
  <c r="E173" i="11"/>
  <c r="D211" i="3"/>
  <c r="E211" i="11"/>
  <c r="C212" i="3"/>
  <c r="E212" i="11"/>
  <c r="C219" i="3"/>
  <c r="E219" i="11"/>
  <c r="E219" i="3" s="1"/>
  <c r="D230" i="3"/>
  <c r="E230" i="11"/>
  <c r="C241" i="3"/>
  <c r="E241" i="11"/>
  <c r="E241" i="3" s="1"/>
  <c r="C265" i="3"/>
  <c r="E265" i="11"/>
  <c r="E265" i="3" s="1"/>
  <c r="D267" i="3"/>
  <c r="E267" i="11"/>
  <c r="E267" i="3" s="1"/>
  <c r="D268" i="3"/>
  <c r="E268" i="11"/>
  <c r="E268" i="3" s="1"/>
  <c r="C266" i="3"/>
  <c r="E266" i="11"/>
  <c r="E266" i="3" s="1"/>
  <c r="D140" i="3"/>
  <c r="E140" i="11"/>
  <c r="E140" i="3" s="1"/>
  <c r="D68" i="3"/>
  <c r="E68" i="11"/>
  <c r="E68" i="3" s="1"/>
  <c r="A521" i="18"/>
  <c r="A525" i="18"/>
  <c r="B179" i="3"/>
  <c r="B180" i="3" s="1"/>
  <c r="B182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6" i="3" s="1"/>
  <c r="B257" i="3" s="1"/>
  <c r="B258" i="3" s="1"/>
  <c r="B259" i="3" s="1"/>
  <c r="B260" i="3" s="1"/>
  <c r="B261" i="3" s="1"/>
  <c r="B262" i="3" s="1"/>
  <c r="B263" i="3" s="1"/>
  <c r="B265" i="3" s="1"/>
  <c r="B266" i="3" s="1"/>
  <c r="B267" i="3" s="1"/>
  <c r="B268" i="3" s="1"/>
  <c r="B269" i="3" s="1"/>
  <c r="F144" i="2"/>
  <c r="D120" i="2"/>
  <c r="D213" i="3"/>
  <c r="E213" i="11"/>
  <c r="E213" i="3" s="1"/>
  <c r="D87" i="3"/>
  <c r="E87" i="11"/>
  <c r="E87" i="3" s="1"/>
  <c r="F129" i="2"/>
  <c r="D105" i="2"/>
  <c r="F139" i="2"/>
  <c r="D115" i="2"/>
  <c r="G41" i="1"/>
  <c r="D137" i="3"/>
  <c r="E137" i="11"/>
  <c r="D64" i="11"/>
  <c r="C64" i="3"/>
  <c r="C65" i="3"/>
  <c r="D65" i="11"/>
  <c r="E66" i="11"/>
  <c r="E66" i="3" s="1"/>
  <c r="C66" i="3"/>
  <c r="E73" i="11"/>
  <c r="E73" i="3" s="1"/>
  <c r="D73" i="3"/>
  <c r="D75" i="3"/>
  <c r="E75" i="11"/>
  <c r="E75" i="3" s="1"/>
  <c r="D76" i="3"/>
  <c r="E76" i="11"/>
  <c r="E78" i="11"/>
  <c r="E78" i="3" s="1"/>
  <c r="D78" i="3"/>
  <c r="D88" i="3"/>
  <c r="E88" i="11"/>
  <c r="E88" i="3" s="1"/>
  <c r="E99" i="11"/>
  <c r="E99" i="3" s="1"/>
  <c r="D99" i="3"/>
  <c r="E100" i="11"/>
  <c r="E100" i="3" s="1"/>
  <c r="D100" i="3"/>
  <c r="D101" i="3"/>
  <c r="E101" i="11"/>
  <c r="E101" i="3" s="1"/>
  <c r="E109" i="11"/>
  <c r="E109" i="3" s="1"/>
  <c r="D109" i="3"/>
  <c r="E114" i="11"/>
  <c r="E114" i="3" s="1"/>
  <c r="D114" i="3"/>
  <c r="E121" i="11"/>
  <c r="E121" i="3" s="1"/>
  <c r="D121" i="3"/>
  <c r="E123" i="11"/>
  <c r="E123" i="3" s="1"/>
  <c r="D123" i="3"/>
  <c r="D125" i="3"/>
  <c r="E125" i="11"/>
  <c r="E125" i="3" s="1"/>
  <c r="D136" i="3"/>
  <c r="E136" i="11"/>
  <c r="E136" i="3" s="1"/>
  <c r="E139" i="11"/>
  <c r="E139" i="3" s="1"/>
  <c r="D139" i="3"/>
  <c r="E143" i="11"/>
  <c r="E143" i="3" s="1"/>
  <c r="D143" i="3"/>
  <c r="D150" i="3"/>
  <c r="E150" i="11"/>
  <c r="E150" i="3" s="1"/>
  <c r="D153" i="3"/>
  <c r="E153" i="11"/>
  <c r="E153" i="3" s="1"/>
  <c r="D220" i="3"/>
  <c r="E220" i="11"/>
  <c r="E220" i="3" s="1"/>
  <c r="D225" i="3"/>
  <c r="E225" i="11"/>
  <c r="E225" i="3" s="1"/>
  <c r="E232" i="11"/>
  <c r="E232" i="3" s="1"/>
  <c r="D232" i="3"/>
  <c r="E247" i="11"/>
  <c r="E247" i="3" s="1"/>
  <c r="D247" i="3"/>
  <c r="D248" i="3"/>
  <c r="E248" i="11"/>
  <c r="E248" i="3" s="1"/>
  <c r="E251" i="11"/>
  <c r="E251" i="3" s="1"/>
  <c r="D251" i="3"/>
  <c r="E252" i="11"/>
  <c r="E252" i="3" s="1"/>
  <c r="C252" i="3"/>
  <c r="D253" i="3"/>
  <c r="E253" i="11"/>
  <c r="E253" i="3" s="1"/>
  <c r="D254" i="3"/>
  <c r="E254" i="11"/>
  <c r="E254" i="3" s="1"/>
  <c r="E256" i="11"/>
  <c r="E256" i="3" s="1"/>
  <c r="D256" i="3"/>
  <c r="D263" i="3"/>
  <c r="E263" i="11"/>
  <c r="E263" i="3" s="1"/>
  <c r="D269" i="3"/>
  <c r="E269" i="11"/>
  <c r="E269" i="3" s="1"/>
  <c r="E32" i="11"/>
  <c r="E32" i="3" s="1"/>
  <c r="C32" i="3"/>
  <c r="E33" i="11"/>
  <c r="D33" i="3"/>
  <c r="D3" i="3"/>
  <c r="E3" i="11"/>
  <c r="D6" i="3"/>
  <c r="D24" i="3"/>
  <c r="C2" i="3"/>
  <c r="I14" i="1" s="1"/>
  <c r="H14" i="2" s="1"/>
  <c r="D2" i="11"/>
  <c r="E110" i="3"/>
  <c r="E137" i="3"/>
  <c r="E141" i="3"/>
  <c r="E163" i="3"/>
  <c r="E171" i="3"/>
  <c r="E181" i="3"/>
  <c r="E189" i="3"/>
  <c r="E230" i="3"/>
  <c r="E262" i="3"/>
  <c r="E55" i="3"/>
  <c r="E53" i="3"/>
  <c r="E20" i="3"/>
  <c r="E21" i="3"/>
  <c r="E91" i="3"/>
  <c r="E193" i="3"/>
  <c r="D193" i="3"/>
  <c r="E94" i="3"/>
  <c r="D94" i="3"/>
  <c r="C95" i="3"/>
  <c r="E95" i="3"/>
  <c r="C96" i="3"/>
  <c r="C100" i="3"/>
  <c r="C102" i="3"/>
  <c r="E102" i="3"/>
  <c r="C103" i="3"/>
  <c r="E103" i="3"/>
  <c r="D107" i="3"/>
  <c r="E107" i="3"/>
  <c r="C109" i="3"/>
  <c r="E134" i="3"/>
  <c r="C134" i="3"/>
  <c r="D144" i="3"/>
  <c r="E144" i="3"/>
  <c r="C145" i="3"/>
  <c r="E145" i="3"/>
  <c r="E146" i="3"/>
  <c r="C146" i="3"/>
  <c r="C151" i="3"/>
  <c r="E151" i="3"/>
  <c r="E154" i="3"/>
  <c r="C154" i="3"/>
  <c r="C156" i="3"/>
  <c r="E156" i="3"/>
  <c r="D170" i="3"/>
  <c r="E170" i="3"/>
  <c r="E172" i="3"/>
  <c r="C172" i="3"/>
  <c r="C173" i="3"/>
  <c r="E173" i="3"/>
  <c r="E176" i="3"/>
  <c r="C176" i="3"/>
  <c r="C177" i="3"/>
  <c r="E177" i="3"/>
  <c r="E178" i="3"/>
  <c r="D178" i="3"/>
  <c r="E180" i="3"/>
  <c r="C180" i="3"/>
  <c r="D182" i="3"/>
  <c r="C182" i="3"/>
  <c r="E182" i="3"/>
  <c r="D185" i="3"/>
  <c r="C185" i="3"/>
  <c r="E188" i="3"/>
  <c r="D188" i="3"/>
  <c r="C191" i="3"/>
  <c r="E191" i="3"/>
  <c r="E192" i="3"/>
  <c r="C192" i="3"/>
  <c r="C195" i="3"/>
  <c r="E195" i="3"/>
  <c r="C199" i="3"/>
  <c r="E199" i="3"/>
  <c r="E201" i="3"/>
  <c r="C201" i="3"/>
  <c r="D202" i="3"/>
  <c r="E202" i="3"/>
  <c r="C206" i="3"/>
  <c r="E206" i="3"/>
  <c r="C209" i="3"/>
  <c r="E209" i="3"/>
  <c r="C210" i="3"/>
  <c r="E210" i="3"/>
  <c r="E212" i="3"/>
  <c r="D212" i="3"/>
  <c r="C213" i="3"/>
  <c r="C214" i="3"/>
  <c r="E214" i="3"/>
  <c r="C226" i="3"/>
  <c r="E231" i="3"/>
  <c r="C231" i="3"/>
  <c r="E235" i="3"/>
  <c r="C235" i="3"/>
  <c r="C236" i="3"/>
  <c r="E236" i="3"/>
  <c r="C238" i="3"/>
  <c r="E239" i="3"/>
  <c r="E258" i="3"/>
  <c r="C258" i="3"/>
  <c r="C261" i="3"/>
  <c r="E261" i="3"/>
  <c r="C263" i="3"/>
  <c r="C3" i="3"/>
  <c r="E3" i="3"/>
  <c r="H16" i="1" s="1"/>
  <c r="C30" i="4" s="1"/>
  <c r="C4" i="3"/>
  <c r="I16" i="1" s="1"/>
  <c r="A30" i="18" s="1"/>
  <c r="E4" i="3"/>
  <c r="C5" i="3"/>
  <c r="D5" i="3"/>
  <c r="C6" i="3"/>
  <c r="E6" i="3"/>
  <c r="C10" i="3"/>
  <c r="E14" i="3"/>
  <c r="C14" i="3"/>
  <c r="C17" i="3"/>
  <c r="E17" i="3"/>
  <c r="C23" i="3"/>
  <c r="E23" i="3"/>
  <c r="E26" i="3"/>
  <c r="C26" i="3"/>
  <c r="C33" i="3"/>
  <c r="E33" i="3"/>
  <c r="C34" i="3"/>
  <c r="E34" i="3"/>
  <c r="C43" i="3"/>
  <c r="E43" i="3"/>
  <c r="C44" i="3"/>
  <c r="E44" i="3"/>
  <c r="C51" i="3"/>
  <c r="E51" i="3"/>
  <c r="C52" i="3"/>
  <c r="E52" i="3"/>
  <c r="E56" i="3"/>
  <c r="C56" i="3"/>
  <c r="E62" i="3"/>
  <c r="C62" i="3"/>
  <c r="C67" i="3"/>
  <c r="C69" i="3"/>
  <c r="D69" i="3"/>
  <c r="C70" i="3"/>
  <c r="D70" i="3"/>
  <c r="C71" i="3"/>
  <c r="C76" i="3"/>
  <c r="E76" i="3"/>
  <c r="C77" i="3"/>
  <c r="F169" i="2"/>
  <c r="D145" i="2"/>
  <c r="F171" i="2"/>
  <c r="F148" i="2"/>
  <c r="F170" i="2"/>
  <c r="F160" i="2"/>
  <c r="F133" i="2"/>
  <c r="F127" i="2"/>
  <c r="K16" i="1"/>
  <c r="B30" i="4" s="1"/>
  <c r="E194" i="3"/>
  <c r="E238" i="3"/>
  <c r="D238" i="3"/>
  <c r="E96" i="3"/>
  <c r="D96" i="3"/>
  <c r="E245" i="3"/>
  <c r="E240" i="3"/>
  <c r="E205" i="3"/>
  <c r="E59" i="3"/>
  <c r="D200" i="3"/>
  <c r="C229" i="3"/>
  <c r="C110" i="3"/>
  <c r="C119" i="3"/>
  <c r="E12" i="3"/>
  <c r="E8" i="3"/>
  <c r="E260" i="3"/>
  <c r="C233" i="3"/>
  <c r="C141" i="3"/>
  <c r="E187" i="3"/>
  <c r="E179" i="3"/>
  <c r="D216" i="3"/>
  <c r="C137" i="3"/>
  <c r="D157" i="3"/>
  <c r="E25" i="3"/>
  <c r="E244" i="3"/>
  <c r="E215" i="3"/>
  <c r="E165" i="3"/>
  <c r="E148" i="3"/>
  <c r="E104" i="3"/>
  <c r="E18" i="3"/>
  <c r="E41" i="3"/>
  <c r="E184" i="3"/>
  <c r="E208" i="3"/>
  <c r="E175" i="3"/>
  <c r="E224" i="3"/>
  <c r="D74" i="3"/>
  <c r="D241" i="3"/>
  <c r="E203" i="3"/>
  <c r="E128" i="3"/>
  <c r="E27" i="3"/>
  <c r="E119" i="3"/>
  <c r="C123" i="3"/>
  <c r="E74" i="3"/>
  <c r="C171" i="3"/>
  <c r="C133" i="3"/>
  <c r="E57" i="3"/>
  <c r="E19" i="3"/>
  <c r="D105" i="3"/>
  <c r="E186" i="3"/>
  <c r="E168" i="3"/>
  <c r="D21" i="3"/>
  <c r="E11" i="3"/>
  <c r="C97" i="3"/>
  <c r="D18" i="3"/>
  <c r="C55" i="3"/>
  <c r="E116" i="3"/>
  <c r="E79" i="3"/>
  <c r="E97" i="3"/>
  <c r="D26" i="3"/>
  <c r="E221" i="3"/>
  <c r="E217" i="3"/>
  <c r="A4" i="3"/>
  <c r="D257" i="3"/>
  <c r="E257" i="3"/>
  <c r="D67" i="3"/>
  <c r="E67" i="3"/>
  <c r="E155" i="3"/>
  <c r="E16" i="3"/>
  <c r="E197" i="3"/>
  <c r="E132" i="3"/>
  <c r="E40" i="3"/>
  <c r="E259" i="3"/>
  <c r="E86" i="3"/>
  <c r="E29" i="3"/>
  <c r="E48" i="3"/>
  <c r="C143" i="3"/>
  <c r="E98" i="3"/>
  <c r="E190" i="3"/>
  <c r="C217" i="3"/>
  <c r="C239" i="3"/>
  <c r="E15" i="3"/>
  <c r="E83" i="3"/>
  <c r="E46" i="3"/>
  <c r="E49" i="3"/>
  <c r="E183" i="3"/>
  <c r="E246" i="3"/>
  <c r="E211" i="3"/>
  <c r="E13" i="3"/>
  <c r="E7" i="3"/>
  <c r="E5" i="3"/>
  <c r="C244" i="3"/>
  <c r="D8" i="3"/>
  <c r="E72" i="3"/>
  <c r="C257" i="3"/>
  <c r="C202" i="3"/>
  <c r="E133" i="3"/>
  <c r="D89" i="3"/>
  <c r="E264" i="3"/>
  <c r="E243" i="3"/>
  <c r="E61" i="3"/>
  <c r="E166" i="3"/>
  <c r="E207" i="3"/>
  <c r="E39" i="3"/>
  <c r="E24" i="3"/>
  <c r="C9" i="3"/>
  <c r="C94" i="3"/>
  <c r="E63" i="3"/>
  <c r="E122" i="3"/>
  <c r="E227" i="3"/>
  <c r="E218" i="3"/>
  <c r="E169" i="3"/>
  <c r="E90" i="3"/>
  <c r="E160" i="3"/>
  <c r="D207" i="2"/>
  <c r="F231" i="2"/>
  <c r="D231" i="2" s="1"/>
  <c r="F189" i="2"/>
  <c r="F166" i="2"/>
  <c r="F140" i="2"/>
  <c r="D183" i="2"/>
  <c r="F162" i="2"/>
  <c r="E212" i="18"/>
  <c r="F280" i="4"/>
  <c r="E280" i="18"/>
  <c r="E165" i="1"/>
  <c r="E189" i="1" s="1"/>
  <c r="F376" i="4" s="1"/>
  <c r="F214" i="4"/>
  <c r="F246" i="4"/>
  <c r="F232" i="4"/>
  <c r="E232" i="18"/>
  <c r="E246" i="18"/>
  <c r="F254" i="4"/>
  <c r="C81" i="3"/>
  <c r="F212" i="4"/>
  <c r="F244" i="4"/>
  <c r="E244" i="18"/>
  <c r="F216" i="4"/>
  <c r="E133" i="1"/>
  <c r="E264" i="18" s="1"/>
  <c r="F224" i="4"/>
  <c r="E24" i="9"/>
  <c r="E250" i="18"/>
  <c r="E137" i="1"/>
  <c r="E161" i="1" s="1"/>
  <c r="E320" i="18" s="1"/>
  <c r="F250" i="4"/>
  <c r="E130" i="1"/>
  <c r="F258" i="4" s="1"/>
  <c r="E152" i="1"/>
  <c r="E302" i="18" s="1"/>
  <c r="E142" i="1"/>
  <c r="F282" i="4" s="1"/>
  <c r="E206" i="18"/>
  <c r="F234" i="4"/>
  <c r="E138" i="1"/>
  <c r="E162" i="1" s="1"/>
  <c r="E186" i="1" s="1"/>
  <c r="E136" i="1"/>
  <c r="F208" i="4"/>
  <c r="E171" i="1"/>
  <c r="E129" i="1"/>
  <c r="E256" i="18" s="1"/>
  <c r="F292" i="4"/>
  <c r="F222" i="4"/>
  <c r="E288" i="18"/>
  <c r="F288" i="4"/>
  <c r="E169" i="1"/>
  <c r="E193" i="1" s="1"/>
  <c r="F384" i="4" s="1"/>
  <c r="F294" i="4"/>
  <c r="E172" i="1"/>
  <c r="E294" i="18"/>
  <c r="E252" i="18"/>
  <c r="F252" i="4"/>
  <c r="E151" i="1"/>
  <c r="E175" i="1" s="1"/>
  <c r="E298" i="18"/>
  <c r="E132" i="1"/>
  <c r="E262" i="18" s="1"/>
  <c r="E146" i="1"/>
  <c r="F290" i="4" s="1"/>
  <c r="E204" i="18"/>
  <c r="E242" i="18"/>
  <c r="F204" i="4"/>
  <c r="E155" i="1"/>
  <c r="E308" i="18" s="1"/>
  <c r="E240" i="18"/>
  <c r="F260" i="4"/>
  <c r="F240" i="4"/>
  <c r="E174" i="1"/>
  <c r="F346" i="4" s="1"/>
  <c r="E134" i="1"/>
  <c r="F218" i="4"/>
  <c r="D129" i="2"/>
  <c r="F153" i="2"/>
  <c r="F179" i="2"/>
  <c r="F174" i="2"/>
  <c r="F206" i="4"/>
  <c r="E139" i="1"/>
  <c r="E226" i="18"/>
  <c r="F238" i="4"/>
  <c r="E144" i="1"/>
  <c r="E228" i="18"/>
  <c r="E149" i="1"/>
  <c r="E248" i="18"/>
  <c r="F210" i="4"/>
  <c r="D250" i="3"/>
  <c r="D42" i="3"/>
  <c r="E42" i="3"/>
  <c r="E126" i="3"/>
  <c r="D126" i="3"/>
  <c r="D149" i="2"/>
  <c r="F173" i="2"/>
  <c r="F168" i="2"/>
  <c r="D144" i="2"/>
  <c r="F163" i="2"/>
  <c r="D139" i="2"/>
  <c r="F213" i="2"/>
  <c r="D189" i="2"/>
  <c r="F198" i="2"/>
  <c r="D174" i="2"/>
  <c r="F167" i="2"/>
  <c r="F200" i="2"/>
  <c r="F161" i="2"/>
  <c r="D137" i="2"/>
  <c r="D130" i="2"/>
  <c r="F154" i="2"/>
  <c r="E10" i="3"/>
  <c r="D10" i="3"/>
  <c r="E140" i="1"/>
  <c r="E135" i="1"/>
  <c r="F220" i="4"/>
  <c r="C36" i="3"/>
  <c r="F132" i="2"/>
  <c r="D104" i="2"/>
  <c r="F236" i="4"/>
  <c r="E70" i="3"/>
  <c r="F230" i="4"/>
  <c r="E143" i="1"/>
  <c r="D255" i="3"/>
  <c r="F134" i="2"/>
  <c r="E60" i="3"/>
  <c r="E185" i="3"/>
  <c r="E147" i="3"/>
  <c r="C147" i="3"/>
  <c r="C155" i="3"/>
  <c r="E242" i="3"/>
  <c r="E222" i="3"/>
  <c r="E234" i="3"/>
  <c r="E22" i="3"/>
  <c r="E237" i="3"/>
  <c r="E124" i="3"/>
  <c r="E233" i="3"/>
  <c r="E228" i="3"/>
  <c r="E36" i="3"/>
  <c r="D36" i="3"/>
  <c r="D9" i="3"/>
  <c r="E9" i="3"/>
  <c r="E226" i="3"/>
  <c r="D226" i="3"/>
  <c r="D91" i="3"/>
  <c r="E38" i="3"/>
  <c r="D62" i="3"/>
  <c r="D25" i="3"/>
  <c r="C54" i="3"/>
  <c r="E37" i="3"/>
  <c r="E223" i="3"/>
  <c r="D164" i="3"/>
  <c r="E111" i="3"/>
  <c r="D20" i="3"/>
  <c r="E69" i="3"/>
  <c r="D159" i="3"/>
  <c r="E158" i="3"/>
  <c r="E84" i="3"/>
  <c r="C138" i="3"/>
  <c r="E138" i="3"/>
  <c r="I15" i="1" l="1"/>
  <c r="D170" i="2"/>
  <c r="F194" i="2"/>
  <c r="D133" i="2"/>
  <c r="F157" i="2"/>
  <c r="F151" i="2"/>
  <c r="D127" i="2"/>
  <c r="F195" i="2"/>
  <c r="D171" i="2"/>
  <c r="F172" i="2"/>
  <c r="D148" i="2"/>
  <c r="J41" i="2"/>
  <c r="A31" i="3"/>
  <c r="D64" i="3"/>
  <c r="E64" i="11"/>
  <c r="E64" i="3" s="1"/>
  <c r="D65" i="3"/>
  <c r="E65" i="11"/>
  <c r="E65" i="3" s="1"/>
  <c r="I17" i="1"/>
  <c r="D2" i="3"/>
  <c r="E2" i="11"/>
  <c r="E2" i="3" s="1"/>
  <c r="H14" i="1" s="1"/>
  <c r="I14" i="2" s="1"/>
  <c r="D71" i="3"/>
  <c r="E71" i="3"/>
  <c r="D160" i="2"/>
  <c r="F184" i="2"/>
  <c r="F196" i="2"/>
  <c r="D172" i="2"/>
  <c r="F255" i="2"/>
  <c r="D255" i="2" s="1"/>
  <c r="D169" i="2"/>
  <c r="F193" i="2"/>
  <c r="I16" i="2"/>
  <c r="C30" i="18"/>
  <c r="H16" i="2"/>
  <c r="A30" i="4"/>
  <c r="H17" i="1"/>
  <c r="B30" i="18"/>
  <c r="H15" i="1"/>
  <c r="K17" i="1"/>
  <c r="E328" i="18"/>
  <c r="E336" i="18"/>
  <c r="F272" i="4"/>
  <c r="E130" i="3"/>
  <c r="D130" i="3"/>
  <c r="E58" i="3"/>
  <c r="D58" i="3"/>
  <c r="A5" i="3"/>
  <c r="H18" i="1" s="1"/>
  <c r="D140" i="2"/>
  <c r="F164" i="2"/>
  <c r="D166" i="2"/>
  <c r="F190" i="2"/>
  <c r="D162" i="2"/>
  <c r="F186" i="2"/>
  <c r="E185" i="1"/>
  <c r="F368" i="4" s="1"/>
  <c r="F320" i="4"/>
  <c r="E272" i="18"/>
  <c r="E376" i="18"/>
  <c r="E213" i="1"/>
  <c r="F328" i="4"/>
  <c r="E154" i="1"/>
  <c r="E306" i="18" s="1"/>
  <c r="F264" i="4"/>
  <c r="E157" i="1"/>
  <c r="E181" i="1" s="1"/>
  <c r="E112" i="3"/>
  <c r="D112" i="3"/>
  <c r="F302" i="4"/>
  <c r="E156" i="1"/>
  <c r="E310" i="18" s="1"/>
  <c r="E176" i="1"/>
  <c r="E350" i="18" s="1"/>
  <c r="E258" i="18"/>
  <c r="I94" i="8"/>
  <c r="I145" i="8"/>
  <c r="I110" i="8"/>
  <c r="I55" i="8"/>
  <c r="I152" i="8"/>
  <c r="I154" i="8"/>
  <c r="I97" i="8"/>
  <c r="I148" i="8"/>
  <c r="I60" i="8"/>
  <c r="I146" i="8"/>
  <c r="I81" i="8"/>
  <c r="I89" i="8"/>
  <c r="I104" i="8"/>
  <c r="I106" i="8"/>
  <c r="I130" i="8"/>
  <c r="I92" i="8"/>
  <c r="I98" i="8"/>
  <c r="I126" i="8"/>
  <c r="I180" i="8"/>
  <c r="I28" i="8"/>
  <c r="I123" i="8"/>
  <c r="I164" i="8"/>
  <c r="I100" i="8"/>
  <c r="I10" i="8"/>
  <c r="I99" i="8"/>
  <c r="I51" i="8"/>
  <c r="I217" i="8"/>
  <c r="I131" i="8"/>
  <c r="I82" i="8"/>
  <c r="I74" i="8"/>
  <c r="I95" i="8"/>
  <c r="I46" i="8"/>
  <c r="I132" i="8"/>
  <c r="I125" i="8"/>
  <c r="I36" i="8"/>
  <c r="I43" i="8"/>
  <c r="I120" i="8"/>
  <c r="I134" i="8"/>
  <c r="I77" i="8"/>
  <c r="I182" i="8"/>
  <c r="I150" i="8"/>
  <c r="I44" i="8"/>
  <c r="I109" i="8"/>
  <c r="I188" i="8"/>
  <c r="I24" i="8"/>
  <c r="I168" i="8"/>
  <c r="I119" i="8"/>
  <c r="I140" i="8"/>
  <c r="I72" i="8"/>
  <c r="I138" i="8"/>
  <c r="I86" i="8"/>
  <c r="I162" i="8"/>
  <c r="I142" i="8"/>
  <c r="I32" i="8"/>
  <c r="I78" i="8"/>
  <c r="I16" i="8"/>
  <c r="I14" i="8"/>
  <c r="I121" i="8"/>
  <c r="I23" i="8"/>
  <c r="I195" i="8"/>
  <c r="I53" i="8"/>
  <c r="I61" i="8"/>
  <c r="I68" i="8"/>
  <c r="I33" i="8"/>
  <c r="I6" i="8"/>
  <c r="I113" i="8"/>
  <c r="I26" i="8"/>
  <c r="I19" i="8"/>
  <c r="I76" i="8"/>
  <c r="I128" i="8"/>
  <c r="I194" i="8"/>
  <c r="I52" i="8"/>
  <c r="I207" i="8"/>
  <c r="I160" i="8"/>
  <c r="I25" i="8"/>
  <c r="I199" i="8"/>
  <c r="I155" i="8"/>
  <c r="I73" i="8"/>
  <c r="I70" i="8"/>
  <c r="I201" i="8"/>
  <c r="I80" i="8"/>
  <c r="I63" i="8"/>
  <c r="I66" i="8"/>
  <c r="I93" i="8"/>
  <c r="I42" i="8"/>
  <c r="I135" i="8"/>
  <c r="I71" i="8"/>
  <c r="I193" i="8"/>
  <c r="I122" i="8"/>
  <c r="I22" i="8"/>
  <c r="I212" i="8"/>
  <c r="I141" i="8"/>
  <c r="I139" i="8"/>
  <c r="I149" i="8"/>
  <c r="I108" i="8"/>
  <c r="I84" i="8"/>
  <c r="I79" i="8"/>
  <c r="I166" i="8"/>
  <c r="I21" i="8"/>
  <c r="I192" i="8"/>
  <c r="I69" i="8"/>
  <c r="I136" i="8"/>
  <c r="I112" i="8"/>
  <c r="I117" i="8"/>
  <c r="I210" i="8"/>
  <c r="I64" i="8"/>
  <c r="I38" i="8"/>
  <c r="I203" i="8"/>
  <c r="I115" i="8"/>
  <c r="I133" i="8"/>
  <c r="I11" i="8"/>
  <c r="I206" i="8"/>
  <c r="I191" i="8"/>
  <c r="I96" i="8"/>
  <c r="I215" i="8"/>
  <c r="I151" i="8"/>
  <c r="I56" i="8"/>
  <c r="I190" i="8"/>
  <c r="I34" i="8"/>
  <c r="I4" i="8"/>
  <c r="I45" i="8"/>
  <c r="I30" i="8"/>
  <c r="I129" i="8"/>
  <c r="I137" i="8"/>
  <c r="I3" i="8"/>
  <c r="I169" i="8"/>
  <c r="I101" i="8"/>
  <c r="I91" i="8"/>
  <c r="I12" i="8"/>
  <c r="I214" i="8"/>
  <c r="I39" i="8"/>
  <c r="I204" i="8"/>
  <c r="I147" i="8"/>
  <c r="I181" i="8"/>
  <c r="I127" i="8"/>
  <c r="I165" i="8"/>
  <c r="I173" i="8"/>
  <c r="I200" i="8"/>
  <c r="I9" i="8"/>
  <c r="I176" i="8"/>
  <c r="I49" i="8"/>
  <c r="I57" i="8"/>
  <c r="I27" i="8"/>
  <c r="I5" i="8"/>
  <c r="I179" i="8"/>
  <c r="I103" i="8"/>
  <c r="I105" i="8"/>
  <c r="I174" i="8"/>
  <c r="I183" i="8"/>
  <c r="I40" i="8"/>
  <c r="I7" i="8"/>
  <c r="I62" i="8"/>
  <c r="I116" i="8"/>
  <c r="I48" i="8"/>
  <c r="I167" i="8"/>
  <c r="I205" i="8"/>
  <c r="I143" i="8"/>
  <c r="I172" i="8"/>
  <c r="I157" i="8"/>
  <c r="I153" i="8"/>
  <c r="I208" i="8"/>
  <c r="I67" i="8"/>
  <c r="I41" i="8"/>
  <c r="I114" i="8"/>
  <c r="I171" i="8"/>
  <c r="I178" i="8"/>
  <c r="I107" i="8"/>
  <c r="I37" i="8"/>
  <c r="I47" i="8"/>
  <c r="I17" i="8"/>
  <c r="I124" i="8"/>
  <c r="I13" i="8"/>
  <c r="I211" i="8"/>
  <c r="I65" i="8"/>
  <c r="I186" i="8"/>
  <c r="I196" i="8"/>
  <c r="I50" i="8"/>
  <c r="I184" i="8"/>
  <c r="I177" i="8"/>
  <c r="I175" i="8"/>
  <c r="I8" i="8"/>
  <c r="I163" i="8"/>
  <c r="I202" i="8"/>
  <c r="I75" i="8"/>
  <c r="I90" i="8"/>
  <c r="I198" i="8"/>
  <c r="I144" i="8"/>
  <c r="I59" i="8"/>
  <c r="I29" i="8"/>
  <c r="I58" i="8"/>
  <c r="I83" i="8"/>
  <c r="I209" i="8"/>
  <c r="I31" i="8"/>
  <c r="I185" i="8"/>
  <c r="I158" i="8"/>
  <c r="I35" i="8"/>
  <c r="I213" i="8"/>
  <c r="I54" i="8"/>
  <c r="I118" i="8"/>
  <c r="I216" i="8"/>
  <c r="I102" i="8"/>
  <c r="I187" i="8"/>
  <c r="I159" i="8"/>
  <c r="I170" i="8"/>
  <c r="I87" i="8"/>
  <c r="I85" i="8"/>
  <c r="I20" i="8"/>
  <c r="I189" i="8"/>
  <c r="I197" i="8"/>
  <c r="I88" i="8"/>
  <c r="I156" i="8"/>
  <c r="I111" i="8"/>
  <c r="I15" i="8"/>
  <c r="I18" i="8"/>
  <c r="I161" i="8"/>
  <c r="E274" i="18"/>
  <c r="F336" i="4"/>
  <c r="E322" i="18"/>
  <c r="E282" i="18"/>
  <c r="E166" i="1"/>
  <c r="F262" i="4"/>
  <c r="F322" i="4"/>
  <c r="F274" i="4"/>
  <c r="E179" i="1"/>
  <c r="E356" i="18" s="1"/>
  <c r="F308" i="4"/>
  <c r="F256" i="4"/>
  <c r="E153" i="1"/>
  <c r="F340" i="4"/>
  <c r="E340" i="18"/>
  <c r="E270" i="18"/>
  <c r="F270" i="4"/>
  <c r="E160" i="1"/>
  <c r="E195" i="1"/>
  <c r="E219" i="1" s="1"/>
  <c r="E290" i="18"/>
  <c r="E198" i="1"/>
  <c r="F394" i="4" s="1"/>
  <c r="E196" i="1"/>
  <c r="E342" i="18"/>
  <c r="F342" i="4"/>
  <c r="E384" i="18"/>
  <c r="E217" i="1"/>
  <c r="E170" i="1"/>
  <c r="E194" i="1" s="1"/>
  <c r="E266" i="18"/>
  <c r="E158" i="1"/>
  <c r="F266" i="4"/>
  <c r="E346" i="18"/>
  <c r="F300" i="4"/>
  <c r="E300" i="18"/>
  <c r="F218" i="2"/>
  <c r="D194" i="2"/>
  <c r="D157" i="2"/>
  <c r="F181" i="2"/>
  <c r="D179" i="2"/>
  <c r="F203" i="2"/>
  <c r="D153" i="2"/>
  <c r="F177" i="2"/>
  <c r="E286" i="18"/>
  <c r="E168" i="1"/>
  <c r="F286" i="4"/>
  <c r="F276" i="4"/>
  <c r="E163" i="1"/>
  <c r="E276" i="18"/>
  <c r="E370" i="18"/>
  <c r="E210" i="1"/>
  <c r="F370" i="4"/>
  <c r="E173" i="1"/>
  <c r="E296" i="18"/>
  <c r="F296" i="4"/>
  <c r="E199" i="1"/>
  <c r="E348" i="18"/>
  <c r="F348" i="4"/>
  <c r="E255" i="3"/>
  <c r="F278" i="4"/>
  <c r="E164" i="1"/>
  <c r="E278" i="18"/>
  <c r="F237" i="2"/>
  <c r="D213" i="2"/>
  <c r="F187" i="2"/>
  <c r="D163" i="2"/>
  <c r="D198" i="2"/>
  <c r="F222" i="2"/>
  <c r="D134" i="2"/>
  <c r="F158" i="2"/>
  <c r="E284" i="18"/>
  <c r="E167" i="1"/>
  <c r="F284" i="4"/>
  <c r="F192" i="2"/>
  <c r="D168" i="2"/>
  <c r="F191" i="2"/>
  <c r="D167" i="2"/>
  <c r="D200" i="2"/>
  <c r="F224" i="2"/>
  <c r="F197" i="2"/>
  <c r="D173" i="2"/>
  <c r="F156" i="2"/>
  <c r="D132" i="2"/>
  <c r="E268" i="18"/>
  <c r="F268" i="4"/>
  <c r="E159" i="1"/>
  <c r="F178" i="2"/>
  <c r="D154" i="2"/>
  <c r="F185" i="2"/>
  <c r="D161" i="2"/>
  <c r="E164" i="3"/>
  <c r="E159" i="3"/>
  <c r="D28" i="3"/>
  <c r="E28" i="3"/>
  <c r="A28" i="18" l="1"/>
  <c r="A28" i="4"/>
  <c r="H15" i="2"/>
  <c r="K15" i="1"/>
  <c r="B28" i="4" s="1"/>
  <c r="K14" i="1"/>
  <c r="F175" i="2"/>
  <c r="D151" i="2"/>
  <c r="E237" i="1"/>
  <c r="F424" i="4"/>
  <c r="D195" i="2"/>
  <c r="F219" i="2"/>
  <c r="A32" i="3"/>
  <c r="A33" i="3" s="1"/>
  <c r="A34" i="3" s="1"/>
  <c r="A36" i="3" s="1"/>
  <c r="A37" i="3" s="1"/>
  <c r="A38" i="3" s="1"/>
  <c r="G52" i="1"/>
  <c r="G50" i="1"/>
  <c r="G48" i="1"/>
  <c r="G45" i="1"/>
  <c r="G43" i="1"/>
  <c r="G47" i="1"/>
  <c r="G42" i="1"/>
  <c r="G51" i="1"/>
  <c r="G49" i="1"/>
  <c r="G46" i="1"/>
  <c r="G44" i="1"/>
  <c r="A43" i="3"/>
  <c r="H17" i="2"/>
  <c r="A32" i="4"/>
  <c r="A32" i="18"/>
  <c r="B28" i="18"/>
  <c r="D193" i="2"/>
  <c r="F217" i="2"/>
  <c r="F220" i="2"/>
  <c r="D196" i="2"/>
  <c r="F208" i="2"/>
  <c r="D184" i="2"/>
  <c r="C34" i="4"/>
  <c r="I18" i="2"/>
  <c r="C34" i="18"/>
  <c r="L18" i="1"/>
  <c r="C32" i="4"/>
  <c r="I17" i="2"/>
  <c r="C32" i="18"/>
  <c r="C28" i="18"/>
  <c r="C28" i="4"/>
  <c r="I15" i="2"/>
  <c r="K18" i="1"/>
  <c r="B32" i="4"/>
  <c r="B32" i="18"/>
  <c r="I18" i="1"/>
  <c r="F310" i="4"/>
  <c r="E180" i="1"/>
  <c r="F306" i="4"/>
  <c r="E424" i="18"/>
  <c r="E178" i="1"/>
  <c r="A6" i="3"/>
  <c r="L19" i="1" s="1"/>
  <c r="A37" i="18" s="1"/>
  <c r="F210" i="2"/>
  <c r="D186" i="2"/>
  <c r="F214" i="2"/>
  <c r="D190" i="2"/>
  <c r="F188" i="2"/>
  <c r="D164" i="2"/>
  <c r="E312" i="18"/>
  <c r="E368" i="18"/>
  <c r="E200" i="1"/>
  <c r="F312" i="4"/>
  <c r="E209" i="1"/>
  <c r="F416" i="4" s="1"/>
  <c r="E338" i="18"/>
  <c r="F350" i="4"/>
  <c r="F356" i="4"/>
  <c r="F388" i="4"/>
  <c r="F338" i="4"/>
  <c r="E388" i="18"/>
  <c r="E222" i="1"/>
  <c r="E246" i="1" s="1"/>
  <c r="E270" i="1" s="1"/>
  <c r="E394" i="18"/>
  <c r="E203" i="1"/>
  <c r="F404" i="4" s="1"/>
  <c r="E330" i="18"/>
  <c r="F330" i="4"/>
  <c r="E190" i="1"/>
  <c r="E177" i="1"/>
  <c r="F304" i="4"/>
  <c r="E304" i="18"/>
  <c r="F318" i="4"/>
  <c r="E184" i="1"/>
  <c r="E318" i="18"/>
  <c r="E432" i="18"/>
  <c r="F432" i="4"/>
  <c r="E241" i="1"/>
  <c r="E265" i="1" s="1"/>
  <c r="E289" i="1" s="1"/>
  <c r="E243" i="1"/>
  <c r="E267" i="1" s="1"/>
  <c r="F436" i="4"/>
  <c r="E436" i="18"/>
  <c r="E182" i="1"/>
  <c r="F314" i="4"/>
  <c r="E314" i="18"/>
  <c r="E390" i="18"/>
  <c r="F390" i="4"/>
  <c r="E220" i="1"/>
  <c r="F201" i="2"/>
  <c r="D177" i="2"/>
  <c r="F205" i="2"/>
  <c r="D181" i="2"/>
  <c r="F227" i="2"/>
  <c r="D203" i="2"/>
  <c r="F242" i="2"/>
  <c r="D218" i="2"/>
  <c r="E334" i="18"/>
  <c r="E192" i="1"/>
  <c r="F334" i="4"/>
  <c r="F324" i="4"/>
  <c r="E324" i="18"/>
  <c r="E187" i="1"/>
  <c r="E418" i="18"/>
  <c r="E234" i="1"/>
  <c r="F418" i="4"/>
  <c r="F360" i="4"/>
  <c r="E205" i="1"/>
  <c r="E360" i="18"/>
  <c r="E344" i="18"/>
  <c r="E197" i="1"/>
  <c r="F344" i="4"/>
  <c r="F215" i="2"/>
  <c r="D191" i="2"/>
  <c r="D224" i="2"/>
  <c r="F248" i="2"/>
  <c r="F246" i="2"/>
  <c r="D222" i="2"/>
  <c r="F216" i="2"/>
  <c r="D192" i="2"/>
  <c r="E386" i="18"/>
  <c r="F386" i="4"/>
  <c r="E218" i="1"/>
  <c r="D158" i="2"/>
  <c r="F182" i="2"/>
  <c r="F221" i="2"/>
  <c r="D197" i="2"/>
  <c r="F209" i="2"/>
  <c r="D185" i="2"/>
  <c r="F180" i="2"/>
  <c r="D156" i="2"/>
  <c r="E332" i="18"/>
  <c r="F332" i="4"/>
  <c r="E191" i="1"/>
  <c r="D178" i="2"/>
  <c r="F202" i="2"/>
  <c r="E316" i="18"/>
  <c r="F316" i="4"/>
  <c r="E183" i="1"/>
  <c r="E188" i="1"/>
  <c r="F326" i="4"/>
  <c r="E326" i="18"/>
  <c r="D187" i="2"/>
  <c r="F211" i="2"/>
  <c r="D237" i="2"/>
  <c r="F396" i="4"/>
  <c r="E223" i="1"/>
  <c r="E396" i="18"/>
  <c r="F199" i="2" l="1"/>
  <c r="D175" i="2"/>
  <c r="D219" i="2"/>
  <c r="F243" i="2"/>
  <c r="D243" i="2" s="1"/>
  <c r="E398" i="18"/>
  <c r="E224" i="1"/>
  <c r="E261" i="1"/>
  <c r="E285" i="1" s="1"/>
  <c r="F472" i="4"/>
  <c r="E472" i="18"/>
  <c r="F358" i="4"/>
  <c r="E204" i="1"/>
  <c r="E358" i="18"/>
  <c r="F354" i="4"/>
  <c r="E354" i="18"/>
  <c r="A39" i="3"/>
  <c r="A40" i="3" s="1"/>
  <c r="A41" i="3" s="1"/>
  <c r="A42" i="3" s="1"/>
  <c r="J52" i="2"/>
  <c r="J50" i="2"/>
  <c r="J48" i="2"/>
  <c r="J45" i="2"/>
  <c r="J43" i="2"/>
  <c r="J47" i="2"/>
  <c r="J42" i="2"/>
  <c r="J51" i="2"/>
  <c r="J49" i="2"/>
  <c r="J46" i="2"/>
  <c r="J44" i="2"/>
  <c r="A44" i="3"/>
  <c r="G54" i="1"/>
  <c r="G53" i="1"/>
  <c r="A45" i="3"/>
  <c r="D208" i="2"/>
  <c r="F232" i="2"/>
  <c r="D220" i="2"/>
  <c r="F244" i="2"/>
  <c r="D244" i="2" s="1"/>
  <c r="F241" i="2"/>
  <c r="D241" i="2" s="1"/>
  <c r="D217" i="2"/>
  <c r="I19" i="1"/>
  <c r="A36" i="4" s="1"/>
  <c r="H19" i="1"/>
  <c r="K19" i="1"/>
  <c r="B36" i="4" s="1"/>
  <c r="A34" i="18"/>
  <c r="H18" i="2"/>
  <c r="A34" i="4"/>
  <c r="F398" i="4"/>
  <c r="E202" i="1"/>
  <c r="F442" i="4"/>
  <c r="E227" i="1"/>
  <c r="E404" i="18"/>
  <c r="E233" i="1"/>
  <c r="E257" i="1" s="1"/>
  <c r="E281" i="1" s="1"/>
  <c r="E416" i="18"/>
  <c r="A7" i="3"/>
  <c r="H20" i="1" s="1"/>
  <c r="F212" i="2"/>
  <c r="D188" i="2"/>
  <c r="D214" i="2"/>
  <c r="F238" i="2"/>
  <c r="D210" i="2"/>
  <c r="F234" i="2"/>
  <c r="E442" i="18"/>
  <c r="E378" i="18"/>
  <c r="F378" i="4"/>
  <c r="E214" i="1"/>
  <c r="F366" i="4"/>
  <c r="E366" i="18"/>
  <c r="E208" i="1"/>
  <c r="E201" i="1"/>
  <c r="F352" i="4"/>
  <c r="E352" i="18"/>
  <c r="E438" i="18"/>
  <c r="E244" i="1"/>
  <c r="E268" i="1" s="1"/>
  <c r="F438" i="4"/>
  <c r="F484" i="4"/>
  <c r="E484" i="18"/>
  <c r="F362" i="4"/>
  <c r="E206" i="1"/>
  <c r="E362" i="18"/>
  <c r="F480" i="4"/>
  <c r="E480" i="18"/>
  <c r="D242" i="2"/>
  <c r="F251" i="2"/>
  <c r="D227" i="2"/>
  <c r="F229" i="2"/>
  <c r="D205" i="2"/>
  <c r="F225" i="2"/>
  <c r="D201" i="2"/>
  <c r="E466" i="18"/>
  <c r="F466" i="4"/>
  <c r="E258" i="1"/>
  <c r="E282" i="1" s="1"/>
  <c r="F382" i="4"/>
  <c r="E382" i="18"/>
  <c r="E216" i="1"/>
  <c r="E229" i="1"/>
  <c r="F408" i="4"/>
  <c r="E408" i="18"/>
  <c r="F372" i="4"/>
  <c r="E372" i="18"/>
  <c r="E211" i="1"/>
  <c r="F392" i="4"/>
  <c r="E221" i="1"/>
  <c r="E392" i="18"/>
  <c r="E490" i="18"/>
  <c r="F490" i="4"/>
  <c r="D180" i="2"/>
  <c r="F204" i="2"/>
  <c r="F434" i="4"/>
  <c r="E434" i="18"/>
  <c r="E242" i="1"/>
  <c r="E266" i="1" s="1"/>
  <c r="E290" i="1" s="1"/>
  <c r="D211" i="2"/>
  <c r="F235" i="2"/>
  <c r="D182" i="2"/>
  <c r="F206" i="2"/>
  <c r="D216" i="2"/>
  <c r="F240" i="2"/>
  <c r="D202" i="2"/>
  <c r="F226" i="2"/>
  <c r="D209" i="2"/>
  <c r="F233" i="2"/>
  <c r="D221" i="2"/>
  <c r="F245" i="2"/>
  <c r="F444" i="4"/>
  <c r="E247" i="1"/>
  <c r="E271" i="1" s="1"/>
  <c r="E444" i="18"/>
  <c r="E374" i="18"/>
  <c r="F374" i="4"/>
  <c r="E212" i="1"/>
  <c r="F380" i="4"/>
  <c r="E215" i="1"/>
  <c r="E380" i="18"/>
  <c r="D246" i="2"/>
  <c r="E207" i="1"/>
  <c r="F364" i="4"/>
  <c r="E364" i="18"/>
  <c r="D248" i="2"/>
  <c r="F239" i="2"/>
  <c r="D215" i="2"/>
  <c r="F446" i="4" l="1"/>
  <c r="E446" i="18"/>
  <c r="E248" i="1"/>
  <c r="F406" i="4"/>
  <c r="E228" i="1"/>
  <c r="E406" i="18"/>
  <c r="D199" i="2"/>
  <c r="F223" i="2"/>
  <c r="F402" i="4"/>
  <c r="E402" i="18"/>
  <c r="E226" i="1"/>
  <c r="E450" i="18" s="1"/>
  <c r="E452" i="18"/>
  <c r="F452" i="4"/>
  <c r="J54" i="2"/>
  <c r="J53" i="2"/>
  <c r="A46" i="3"/>
  <c r="A47" i="3" s="1"/>
  <c r="G61" i="1"/>
  <c r="G58" i="1"/>
  <c r="G64" i="1"/>
  <c r="G59" i="1"/>
  <c r="G62" i="1"/>
  <c r="G55" i="1"/>
  <c r="G60" i="1"/>
  <c r="G57" i="1"/>
  <c r="G56" i="1"/>
  <c r="F256" i="2"/>
  <c r="D256" i="2" s="1"/>
  <c r="D232" i="2"/>
  <c r="H19" i="2"/>
  <c r="A36" i="18"/>
  <c r="C38" i="18"/>
  <c r="I20" i="2"/>
  <c r="C38" i="4"/>
  <c r="B34" i="4"/>
  <c r="B34" i="18"/>
  <c r="L20" i="1"/>
  <c r="A39" i="18" s="1"/>
  <c r="B36" i="18"/>
  <c r="I20" i="1"/>
  <c r="K20" i="1"/>
  <c r="I19" i="2"/>
  <c r="C36" i="18"/>
  <c r="C36" i="4"/>
  <c r="E464" i="18"/>
  <c r="F464" i="4"/>
  <c r="E251" i="1"/>
  <c r="A8" i="3"/>
  <c r="I21" i="1" s="1"/>
  <c r="F258" i="2"/>
  <c r="D234" i="2"/>
  <c r="D238" i="2"/>
  <c r="D212" i="2"/>
  <c r="F236" i="2"/>
  <c r="E238" i="1"/>
  <c r="E262" i="1" s="1"/>
  <c r="E286" i="1" s="1"/>
  <c r="E426" i="18"/>
  <c r="F426" i="4"/>
  <c r="F512" i="4"/>
  <c r="E512" i="18"/>
  <c r="E400" i="18"/>
  <c r="E225" i="1"/>
  <c r="F400" i="4"/>
  <c r="F414" i="4"/>
  <c r="E414" i="18"/>
  <c r="E232" i="1"/>
  <c r="E230" i="1"/>
  <c r="E410" i="18"/>
  <c r="F410" i="4"/>
  <c r="E486" i="18"/>
  <c r="F486" i="4"/>
  <c r="D225" i="2"/>
  <c r="F249" i="2"/>
  <c r="F253" i="2"/>
  <c r="D229" i="2"/>
  <c r="D251" i="2"/>
  <c r="E235" i="1"/>
  <c r="E420" i="18"/>
  <c r="F420" i="4"/>
  <c r="E253" i="1"/>
  <c r="E277" i="1" s="1"/>
  <c r="E456" i="18"/>
  <c r="F456" i="4"/>
  <c r="F514" i="4"/>
  <c r="F440" i="4"/>
  <c r="E245" i="1"/>
  <c r="E269" i="1" s="1"/>
  <c r="E440" i="18"/>
  <c r="E240" i="1"/>
  <c r="E264" i="1" s="1"/>
  <c r="E288" i="1" s="1"/>
  <c r="F430" i="4"/>
  <c r="E430" i="18"/>
  <c r="D239" i="2"/>
  <c r="E231" i="1"/>
  <c r="F412" i="4"/>
  <c r="E412" i="18"/>
  <c r="F492" i="4"/>
  <c r="E492" i="18"/>
  <c r="F422" i="4"/>
  <c r="E422" i="18"/>
  <c r="E236" i="1"/>
  <c r="D206" i="2"/>
  <c r="F230" i="2"/>
  <c r="E239" i="1"/>
  <c r="E263" i="1" s="1"/>
  <c r="E287" i="1" s="1"/>
  <c r="F428" i="4"/>
  <c r="E428" i="18"/>
  <c r="D240" i="2"/>
  <c r="D226" i="2"/>
  <c r="F250" i="2"/>
  <c r="E482" i="18"/>
  <c r="F482" i="4"/>
  <c r="D245" i="2"/>
  <c r="F257" i="2"/>
  <c r="D233" i="2"/>
  <c r="D235" i="2"/>
  <c r="D204" i="2"/>
  <c r="F228" i="2"/>
  <c r="E272" i="1" l="1"/>
  <c r="F494" i="4"/>
  <c r="E494" i="18"/>
  <c r="E454" i="18"/>
  <c r="F454" i="4"/>
  <c r="E252" i="1"/>
  <c r="D223" i="2"/>
  <c r="F247" i="2"/>
  <c r="D247" i="2" s="1"/>
  <c r="E250" i="1"/>
  <c r="F450" i="4"/>
  <c r="E275" i="1"/>
  <c r="F500" i="4"/>
  <c r="E500" i="18"/>
  <c r="G63" i="1"/>
  <c r="A48" i="3"/>
  <c r="A50" i="3" s="1"/>
  <c r="A51" i="3" s="1"/>
  <c r="A52" i="3" s="1"/>
  <c r="A53" i="3" s="1"/>
  <c r="A54" i="3" s="1"/>
  <c r="A55" i="3" s="1"/>
  <c r="A56" i="3" s="1"/>
  <c r="J61" i="2"/>
  <c r="J58" i="2"/>
  <c r="J64" i="2"/>
  <c r="J59" i="2"/>
  <c r="J62" i="2"/>
  <c r="J55" i="2"/>
  <c r="J60" i="2"/>
  <c r="J57" i="2"/>
  <c r="J56" i="2"/>
  <c r="A40" i="4"/>
  <c r="A40" i="18"/>
  <c r="H21" i="2"/>
  <c r="B38" i="18"/>
  <c r="B38" i="4"/>
  <c r="K22" i="1"/>
  <c r="H21" i="1"/>
  <c r="L21" i="1"/>
  <c r="A41" i="18" s="1"/>
  <c r="K21" i="1"/>
  <c r="A38" i="18"/>
  <c r="A38" i="4"/>
  <c r="H20" i="2"/>
  <c r="A9" i="3"/>
  <c r="I22" i="1" s="1"/>
  <c r="D236" i="2"/>
  <c r="D258" i="2"/>
  <c r="F474" i="4"/>
  <c r="E474" i="18"/>
  <c r="E249" i="1"/>
  <c r="E273" i="1" s="1"/>
  <c r="F448" i="4"/>
  <c r="E448" i="18"/>
  <c r="E256" i="1"/>
  <c r="E280" i="1" s="1"/>
  <c r="F462" i="4"/>
  <c r="E462" i="18"/>
  <c r="F458" i="4"/>
  <c r="E254" i="1"/>
  <c r="E278" i="1" s="1"/>
  <c r="E458" i="18"/>
  <c r="D253" i="2"/>
  <c r="D249" i="2"/>
  <c r="F488" i="4"/>
  <c r="E488" i="18"/>
  <c r="E468" i="18"/>
  <c r="E259" i="1"/>
  <c r="F468" i="4"/>
  <c r="E478" i="18"/>
  <c r="F478" i="4"/>
  <c r="E504" i="18"/>
  <c r="F504" i="4"/>
  <c r="E260" i="1"/>
  <c r="E284" i="1" s="1"/>
  <c r="E470" i="18"/>
  <c r="F470" i="4"/>
  <c r="F254" i="2"/>
  <c r="D230" i="2"/>
  <c r="D250" i="2"/>
  <c r="D257" i="2"/>
  <c r="D228" i="2"/>
  <c r="F252" i="2"/>
  <c r="E476" i="18"/>
  <c r="F476" i="4"/>
  <c r="E255" i="1"/>
  <c r="E279" i="1" s="1"/>
  <c r="E460" i="18"/>
  <c r="F460" i="4"/>
  <c r="E276" i="1" l="1"/>
  <c r="F502" i="4"/>
  <c r="E502" i="18"/>
  <c r="E274" i="1"/>
  <c r="F498" i="4"/>
  <c r="E498" i="18"/>
  <c r="E283" i="1"/>
  <c r="E514" i="18"/>
  <c r="J63" i="2"/>
  <c r="G65" i="1"/>
  <c r="A57" i="3"/>
  <c r="B40" i="18"/>
  <c r="B40" i="4"/>
  <c r="B42" i="18"/>
  <c r="B42" i="4"/>
  <c r="A42" i="4"/>
  <c r="H22" i="2"/>
  <c r="A42" i="18"/>
  <c r="C40" i="18"/>
  <c r="I21" i="2"/>
  <c r="C40" i="4"/>
  <c r="L22" i="1"/>
  <c r="A43" i="18" s="1"/>
  <c r="H22" i="1"/>
  <c r="E510" i="18"/>
  <c r="F510" i="4"/>
  <c r="F496" i="4"/>
  <c r="E496" i="18"/>
  <c r="F506" i="4"/>
  <c r="E506" i="18"/>
  <c r="F516" i="4"/>
  <c r="E508" i="18"/>
  <c r="F508" i="4"/>
  <c r="F518" i="4"/>
  <c r="D252" i="2"/>
  <c r="D254" i="2"/>
  <c r="J65" i="2" l="1"/>
  <c r="A58" i="3"/>
  <c r="G66" i="1"/>
  <c r="I22" i="2"/>
  <c r="C42" i="18"/>
  <c r="C42" i="4"/>
  <c r="H23" i="1"/>
  <c r="K23" i="1"/>
  <c r="L24" i="1"/>
  <c r="A47" i="18" s="1"/>
  <c r="I23" i="1"/>
  <c r="L23" i="1"/>
  <c r="A45" i="18" s="1"/>
  <c r="I24" i="1"/>
  <c r="G67" i="1" l="1"/>
  <c r="A59" i="3"/>
  <c r="J66" i="2"/>
  <c r="A46" i="4"/>
  <c r="H24" i="2"/>
  <c r="A46" i="18"/>
  <c r="K24" i="1"/>
  <c r="B44" i="4"/>
  <c r="B44" i="18"/>
  <c r="H24" i="1"/>
  <c r="H23" i="2"/>
  <c r="A44" i="18"/>
  <c r="A44" i="4"/>
  <c r="I23" i="2"/>
  <c r="C44" i="4"/>
  <c r="C44" i="18"/>
  <c r="J67" i="2" l="1"/>
  <c r="A60" i="3"/>
  <c r="H25" i="1"/>
  <c r="I24" i="2"/>
  <c r="C46" i="18"/>
  <c r="C46" i="4"/>
  <c r="L25" i="1"/>
  <c r="A49" i="18" s="1"/>
  <c r="K25" i="1"/>
  <c r="B46" i="18"/>
  <c r="B46" i="4"/>
  <c r="I25" i="1"/>
  <c r="K26" i="1"/>
  <c r="H26" i="1" l="1"/>
  <c r="C50" i="18" s="1"/>
  <c r="B50" i="18"/>
  <c r="B50" i="4"/>
  <c r="L26" i="1"/>
  <c r="A51" i="18" s="1"/>
  <c r="I25" i="2"/>
  <c r="C48" i="4"/>
  <c r="C48" i="18"/>
  <c r="B48" i="4"/>
  <c r="B48" i="18"/>
  <c r="I26" i="1"/>
  <c r="H25" i="2"/>
  <c r="A48" i="4"/>
  <c r="A48" i="18"/>
  <c r="L27" i="1"/>
  <c r="A53" i="18" s="1"/>
  <c r="A62" i="3" l="1"/>
  <c r="I26" i="2"/>
  <c r="C50" i="4"/>
  <c r="I27" i="1"/>
  <c r="K27" i="1"/>
  <c r="H27" i="1"/>
  <c r="A50" i="18"/>
  <c r="H26" i="2"/>
  <c r="A50" i="4"/>
  <c r="H28" i="1"/>
  <c r="A64" i="3" l="1"/>
  <c r="L28" i="1"/>
  <c r="A55" i="18" s="1"/>
  <c r="I27" i="2"/>
  <c r="C52" i="18"/>
  <c r="C52" i="4"/>
  <c r="I28" i="1"/>
  <c r="B52" i="18"/>
  <c r="B52" i="4"/>
  <c r="C54" i="4"/>
  <c r="I28" i="2"/>
  <c r="C54" i="18"/>
  <c r="K28" i="1"/>
  <c r="A52" i="18"/>
  <c r="A52" i="4"/>
  <c r="H27" i="2"/>
  <c r="H241" i="8"/>
  <c r="H231" i="8"/>
  <c r="H298" i="8"/>
  <c r="H276" i="8"/>
  <c r="H221" i="8"/>
  <c r="G296" i="8"/>
  <c r="H267" i="8"/>
  <c r="G266" i="8"/>
  <c r="H264" i="8"/>
  <c r="H226" i="8"/>
  <c r="H249" i="8"/>
  <c r="H223" i="8"/>
  <c r="G305" i="8"/>
  <c r="H236" i="8"/>
  <c r="H310" i="8"/>
  <c r="H259" i="8"/>
  <c r="G294" i="8"/>
  <c r="G293" i="8"/>
  <c r="G316" i="8"/>
  <c r="H322" i="8"/>
  <c r="H253" i="8"/>
  <c r="G226" i="8"/>
  <c r="H288" i="8"/>
  <c r="H250" i="8"/>
  <c r="G232" i="8"/>
  <c r="G303" i="8"/>
  <c r="H301" i="8"/>
  <c r="H224" i="8"/>
  <c r="G284" i="8"/>
  <c r="H256" i="8"/>
  <c r="H270" i="8"/>
  <c r="G223" i="8"/>
  <c r="H240" i="8"/>
  <c r="G240" i="8"/>
  <c r="H218" i="8"/>
  <c r="G285" i="8"/>
  <c r="H312" i="8"/>
  <c r="G317" i="8"/>
  <c r="G320" i="8"/>
  <c r="G321" i="8"/>
  <c r="H289" i="8"/>
  <c r="G300" i="8"/>
  <c r="H263" i="8"/>
  <c r="H305" i="8"/>
  <c r="H232" i="8"/>
  <c r="H242" i="8"/>
  <c r="H257" i="8"/>
  <c r="G304" i="8"/>
  <c r="G257" i="8"/>
  <c r="G282" i="8"/>
  <c r="G265" i="8"/>
  <c r="G259" i="8"/>
  <c r="G235" i="8"/>
  <c r="H243" i="8"/>
  <c r="G221" i="8"/>
  <c r="G256" i="8"/>
  <c r="H269" i="8"/>
  <c r="G310" i="8"/>
  <c r="G219" i="8"/>
  <c r="G314" i="8"/>
  <c r="G315" i="8"/>
  <c r="H318" i="8"/>
  <c r="H275" i="8"/>
  <c r="H266" i="8"/>
  <c r="H278" i="8"/>
  <c r="H265" i="8"/>
  <c r="G263" i="8"/>
  <c r="G252" i="8"/>
  <c r="H281" i="8"/>
  <c r="H271" i="8"/>
  <c r="G238" i="8"/>
  <c r="G283" i="8"/>
  <c r="G312" i="8"/>
  <c r="G2" i="8"/>
  <c r="G250" i="8"/>
  <c r="H309" i="8"/>
  <c r="G270" i="8"/>
  <c r="G261" i="8"/>
  <c r="H300" i="8"/>
  <c r="G251" i="8"/>
  <c r="G253" i="8"/>
  <c r="H239" i="8"/>
  <c r="G295" i="8"/>
  <c r="G309" i="8"/>
  <c r="H314" i="8"/>
  <c r="H321" i="8"/>
  <c r="G322" i="8"/>
  <c r="H294" i="8"/>
  <c r="H260" i="8"/>
  <c r="G269" i="8"/>
  <c r="H251" i="8"/>
  <c r="G290" i="8"/>
  <c r="H238" i="8"/>
  <c r="G233" i="8"/>
  <c r="H272" i="8"/>
  <c r="H307" i="8"/>
  <c r="H262" i="8"/>
  <c r="H286" i="8"/>
  <c r="H284" i="8"/>
  <c r="G260" i="8"/>
  <c r="G292" i="8"/>
  <c r="G225" i="8"/>
  <c r="H274" i="8"/>
  <c r="G230" i="8"/>
  <c r="H220" i="8"/>
  <c r="G288" i="8"/>
  <c r="G313" i="8"/>
  <c r="H313" i="8"/>
  <c r="H315" i="8"/>
  <c r="G318" i="8"/>
  <c r="H282" i="8"/>
  <c r="H268" i="8"/>
  <c r="G297" i="8"/>
  <c r="H222" i="8"/>
  <c r="G220" i="8"/>
  <c r="G311" i="8"/>
  <c r="G249" i="8"/>
  <c r="H285" i="8"/>
  <c r="G222" i="8"/>
  <c r="H252" i="8"/>
  <c r="H219" i="8"/>
  <c r="G234" i="8"/>
  <c r="H225" i="8"/>
  <c r="G254" i="8"/>
  <c r="H308" i="8"/>
  <c r="H255" i="8"/>
  <c r="H317" i="8"/>
  <c r="G319" i="8"/>
  <c r="G262" i="8"/>
  <c r="G289" i="8"/>
  <c r="H296" i="8"/>
  <c r="H299" i="8"/>
  <c r="H290" i="8"/>
  <c r="G231" i="8"/>
  <c r="G306" i="8"/>
  <c r="G327" i="8"/>
  <c r="G301" i="8"/>
  <c r="G218" i="8"/>
  <c r="H261" i="8"/>
  <c r="H2" i="8"/>
  <c r="G228" i="8"/>
  <c r="G286" i="8"/>
  <c r="G291" i="8"/>
  <c r="G308" i="8"/>
  <c r="G239" i="8"/>
  <c r="G264" i="8"/>
  <c r="G255" i="8"/>
  <c r="H279" i="8"/>
  <c r="H304" i="8"/>
  <c r="H42" i="8"/>
  <c r="H22" i="8"/>
  <c r="H302" i="8"/>
  <c r="H306" i="8"/>
  <c r="G138" i="8"/>
  <c r="H295" i="8"/>
  <c r="H297" i="8"/>
  <c r="G271" i="8"/>
  <c r="H277" i="8"/>
  <c r="H303" i="8"/>
  <c r="H60" i="8"/>
  <c r="H36" i="8"/>
  <c r="H228" i="8"/>
  <c r="H69" i="8"/>
  <c r="H84" i="8"/>
  <c r="G287" i="8"/>
  <c r="G299" i="8"/>
  <c r="G54" i="8"/>
  <c r="H54" i="8"/>
  <c r="G302" i="8"/>
  <c r="H293" i="8"/>
  <c r="G36" i="8"/>
  <c r="H254" i="8"/>
  <c r="G224" i="8"/>
  <c r="H70" i="8"/>
  <c r="H227" i="8"/>
  <c r="H111" i="8"/>
  <c r="H292" i="8"/>
  <c r="H234" i="8"/>
  <c r="H283" i="8"/>
  <c r="H316" i="8"/>
  <c r="H311" i="8"/>
  <c r="H38" i="8"/>
  <c r="G227" i="8"/>
  <c r="G298" i="8"/>
  <c r="G229" i="8"/>
  <c r="H126" i="8"/>
  <c r="H50" i="8"/>
  <c r="H124" i="8"/>
  <c r="H287" i="8"/>
  <c r="G267" i="8"/>
  <c r="G307" i="8"/>
  <c r="H245" i="8"/>
  <c r="H319" i="8"/>
  <c r="H291" i="8"/>
  <c r="H229" i="8"/>
  <c r="G268" i="8"/>
  <c r="G272" i="8"/>
  <c r="G50" i="8"/>
  <c r="G68" i="8"/>
  <c r="G38" i="8"/>
  <c r="H136" i="8"/>
  <c r="H177" i="8"/>
  <c r="H122" i="8"/>
  <c r="G26" i="8"/>
  <c r="H180" i="8"/>
  <c r="H210" i="8"/>
  <c r="G164" i="8"/>
  <c r="H20" i="8"/>
  <c r="H158" i="8"/>
  <c r="H41" i="8"/>
  <c r="H174" i="8"/>
  <c r="H214" i="8"/>
  <c r="H128" i="8"/>
  <c r="H170" i="8"/>
  <c r="H207" i="8"/>
  <c r="H67" i="8"/>
  <c r="H27" i="8"/>
  <c r="H45" i="8"/>
  <c r="H117" i="8"/>
  <c r="G93" i="8"/>
  <c r="H6" i="8"/>
  <c r="H72" i="8"/>
  <c r="G94" i="8"/>
  <c r="G185" i="8"/>
  <c r="H184" i="8"/>
  <c r="H71" i="8"/>
  <c r="G32" i="8"/>
  <c r="H118" i="8"/>
  <c r="G73" i="8"/>
  <c r="H216" i="8"/>
  <c r="G175" i="8"/>
  <c r="H39" i="8"/>
  <c r="G141" i="8"/>
  <c r="H52" i="8"/>
  <c r="H14" i="8"/>
  <c r="G37" i="8"/>
  <c r="G69" i="8"/>
  <c r="G42" i="8"/>
  <c r="G167" i="8"/>
  <c r="G177" i="8"/>
  <c r="G122" i="8"/>
  <c r="H26" i="8"/>
  <c r="G180" i="8"/>
  <c r="G210" i="8"/>
  <c r="H164" i="8"/>
  <c r="G153" i="8"/>
  <c r="H176" i="8"/>
  <c r="G129" i="8"/>
  <c r="H64" i="8"/>
  <c r="G193" i="8"/>
  <c r="H24" i="8"/>
  <c r="G58" i="8"/>
  <c r="G121" i="8"/>
  <c r="G145" i="8"/>
  <c r="G65" i="8"/>
  <c r="G157" i="8"/>
  <c r="G217" i="8"/>
  <c r="G92" i="8"/>
  <c r="G161" i="8"/>
  <c r="G148" i="8"/>
  <c r="G211" i="8"/>
  <c r="G181" i="8"/>
  <c r="H66" i="8"/>
  <c r="G197" i="8"/>
  <c r="G31" i="8"/>
  <c r="G13" i="8"/>
  <c r="H172" i="8"/>
  <c r="H169" i="8"/>
  <c r="G135" i="8"/>
  <c r="G76" i="8"/>
  <c r="G142" i="8"/>
  <c r="H46" i="8"/>
  <c r="H130" i="8"/>
  <c r="G102" i="8"/>
  <c r="G215" i="8"/>
  <c r="G9" i="8"/>
  <c r="G126" i="8"/>
  <c r="G10" i="8"/>
  <c r="G147" i="8"/>
  <c r="H167" i="8"/>
  <c r="G186" i="8"/>
  <c r="G143" i="8"/>
  <c r="H49" i="8"/>
  <c r="H137" i="8"/>
  <c r="G201" i="8"/>
  <c r="G168" i="8"/>
  <c r="H82" i="8"/>
  <c r="H153" i="8"/>
  <c r="G176" i="8"/>
  <c r="H129" i="8"/>
  <c r="G64" i="8"/>
  <c r="H193" i="8"/>
  <c r="H113" i="8"/>
  <c r="G24" i="8"/>
  <c r="H58" i="8"/>
  <c r="H121" i="8"/>
  <c r="H145" i="8"/>
  <c r="H29" i="8"/>
  <c r="H65" i="8"/>
  <c r="H157" i="8"/>
  <c r="H109" i="8"/>
  <c r="H217" i="8"/>
  <c r="H92" i="8"/>
  <c r="H161" i="8"/>
  <c r="H148" i="8"/>
  <c r="H211" i="8"/>
  <c r="H181" i="8"/>
  <c r="G66" i="8"/>
  <c r="H197" i="8"/>
  <c r="H31" i="8"/>
  <c r="H13" i="8"/>
  <c r="G172" i="8"/>
  <c r="G169" i="8"/>
  <c r="H135" i="8"/>
  <c r="H76" i="8"/>
  <c r="H142" i="8"/>
  <c r="G46" i="8"/>
  <c r="G130" i="8"/>
  <c r="H102" i="8"/>
  <c r="H215" i="8"/>
  <c r="H138" i="8"/>
  <c r="H147" i="8"/>
  <c r="G5" i="8"/>
  <c r="H83" i="8"/>
  <c r="H186" i="8"/>
  <c r="H143" i="8"/>
  <c r="G137" i="8"/>
  <c r="H201" i="8"/>
  <c r="H168" i="8"/>
  <c r="G82" i="8"/>
  <c r="H205" i="8"/>
  <c r="G165" i="8"/>
  <c r="H11" i="8"/>
  <c r="H150" i="8"/>
  <c r="G18" i="8"/>
  <c r="H198" i="8"/>
  <c r="G96" i="8"/>
  <c r="G149" i="8"/>
  <c r="G22" i="8"/>
  <c r="G70" i="8"/>
  <c r="H233" i="8"/>
  <c r="H5" i="8"/>
  <c r="G7" i="8"/>
  <c r="H4" i="8"/>
  <c r="G166" i="8"/>
  <c r="G25" i="8"/>
  <c r="G23" i="8"/>
  <c r="G205" i="8"/>
  <c r="H165" i="8"/>
  <c r="G11" i="8"/>
  <c r="G150" i="8"/>
  <c r="H18" i="8"/>
  <c r="G198" i="8"/>
  <c r="H96" i="8"/>
  <c r="H149" i="8"/>
  <c r="H99" i="8"/>
  <c r="G81" i="8"/>
  <c r="H15" i="8"/>
  <c r="G90" i="8"/>
  <c r="G191" i="8"/>
  <c r="G60" i="8"/>
  <c r="H235" i="8"/>
  <c r="H10" i="8"/>
  <c r="H12" i="8"/>
  <c r="G51" i="8"/>
  <c r="H7" i="8"/>
  <c r="G4" i="8"/>
  <c r="H166" i="8"/>
  <c r="H25" i="8"/>
  <c r="H23" i="8"/>
  <c r="G40" i="8"/>
  <c r="H151" i="8"/>
  <c r="G160" i="8"/>
  <c r="G78" i="8"/>
  <c r="G134" i="8"/>
  <c r="H100" i="8"/>
  <c r="H120" i="8"/>
  <c r="G156" i="8"/>
  <c r="G163" i="8"/>
  <c r="H107" i="8"/>
  <c r="H103" i="8"/>
  <c r="H91" i="8"/>
  <c r="H133" i="8"/>
  <c r="G43" i="8"/>
  <c r="G123" i="8"/>
  <c r="G97" i="8"/>
  <c r="G88" i="8"/>
  <c r="G8" i="8"/>
  <c r="H208" i="8"/>
  <c r="G101" i="8"/>
  <c r="G115" i="8"/>
  <c r="H139" i="8"/>
  <c r="G127" i="8"/>
  <c r="G89" i="8"/>
  <c r="G75" i="8"/>
  <c r="G178" i="8"/>
  <c r="G183" i="8"/>
  <c r="G190" i="8"/>
  <c r="G79" i="8"/>
  <c r="H320" i="8"/>
  <c r="H105" i="8"/>
  <c r="G67" i="8"/>
  <c r="H93" i="8"/>
  <c r="H123" i="8"/>
  <c r="G15" i="8"/>
  <c r="G184" i="8"/>
  <c r="H101" i="8"/>
  <c r="G17" i="8"/>
  <c r="H200" i="8"/>
  <c r="G192" i="8"/>
  <c r="G52" i="8"/>
  <c r="H202" i="8"/>
  <c r="H47" i="8"/>
  <c r="H116" i="8"/>
  <c r="H173" i="8"/>
  <c r="H212" i="8"/>
  <c r="H182" i="8"/>
  <c r="G152" i="8"/>
  <c r="H62" i="8"/>
  <c r="H199" i="8"/>
  <c r="H195" i="8"/>
  <c r="G104" i="8"/>
  <c r="G158" i="8"/>
  <c r="H159" i="8"/>
  <c r="G146" i="8"/>
  <c r="H3" i="8"/>
  <c r="H74" i="8"/>
  <c r="G120" i="8"/>
  <c r="G71" i="8"/>
  <c r="H175" i="8"/>
  <c r="H155" i="8"/>
  <c r="H37" i="8"/>
  <c r="H146" i="8"/>
  <c r="G124" i="8"/>
  <c r="G100" i="8"/>
  <c r="H156" i="8"/>
  <c r="G103" i="8"/>
  <c r="H88" i="8"/>
  <c r="H17" i="8"/>
  <c r="G200" i="8"/>
  <c r="H192" i="8"/>
  <c r="H33" i="8"/>
  <c r="G202" i="8"/>
  <c r="G47" i="8"/>
  <c r="G116" i="8"/>
  <c r="G173" i="8"/>
  <c r="G212" i="8"/>
  <c r="G182" i="8"/>
  <c r="H152" i="8"/>
  <c r="H35" i="8"/>
  <c r="H204" i="8"/>
  <c r="G21" i="8"/>
  <c r="G194" i="8"/>
  <c r="G16" i="8"/>
  <c r="G77" i="8"/>
  <c r="G132" i="8"/>
  <c r="G214" i="8"/>
  <c r="H90" i="8"/>
  <c r="H89" i="8"/>
  <c r="H80" i="8"/>
  <c r="H230" i="8"/>
  <c r="G118" i="8"/>
  <c r="H104" i="8"/>
  <c r="G28" i="8"/>
  <c r="G41" i="8"/>
  <c r="G27" i="8"/>
  <c r="G6" i="8"/>
  <c r="H81" i="8"/>
  <c r="G208" i="8"/>
  <c r="H191" i="8"/>
  <c r="H127" i="8"/>
  <c r="H178" i="8"/>
  <c r="H79" i="8"/>
  <c r="G33" i="8"/>
  <c r="H189" i="8"/>
  <c r="H213" i="8"/>
  <c r="H171" i="8"/>
  <c r="G125" i="8"/>
  <c r="G204" i="8"/>
  <c r="H21" i="8"/>
  <c r="H194" i="8"/>
  <c r="H16" i="8"/>
  <c r="H77" i="8"/>
  <c r="H190" i="8"/>
  <c r="H119" i="8"/>
  <c r="G151" i="8"/>
  <c r="H32" i="8"/>
  <c r="G56" i="8"/>
  <c r="H112" i="8"/>
  <c r="G12" i="8"/>
  <c r="H114" i="8"/>
  <c r="G108" i="8"/>
  <c r="H40" i="8"/>
  <c r="H160" i="8"/>
  <c r="G91" i="8"/>
  <c r="H97" i="8"/>
  <c r="H115" i="8"/>
  <c r="H73" i="8"/>
  <c r="G216" i="8"/>
  <c r="G39" i="8"/>
  <c r="H141" i="8"/>
  <c r="H53" i="8"/>
  <c r="G154" i="8"/>
  <c r="G189" i="8"/>
  <c r="G213" i="8"/>
  <c r="G171" i="8"/>
  <c r="H63" i="8"/>
  <c r="H125" i="8"/>
  <c r="G87" i="8"/>
  <c r="H209" i="8"/>
  <c r="G206" i="8"/>
  <c r="G162" i="8"/>
  <c r="H55" i="8"/>
  <c r="G207" i="8"/>
  <c r="G155" i="8"/>
  <c r="G144" i="8"/>
  <c r="G19" i="8"/>
  <c r="H203" i="8"/>
  <c r="H134" i="8"/>
  <c r="H8" i="8"/>
  <c r="G159" i="8"/>
  <c r="H19" i="8"/>
  <c r="G195" i="8"/>
  <c r="G136" i="8"/>
  <c r="G114" i="8"/>
  <c r="H108" i="8"/>
  <c r="G20" i="8"/>
  <c r="G174" i="8"/>
  <c r="G128" i="8"/>
  <c r="G170" i="8"/>
  <c r="G45" i="8"/>
  <c r="G72" i="8"/>
  <c r="H94" i="8"/>
  <c r="H61" i="8"/>
  <c r="H188" i="8"/>
  <c r="H59" i="8"/>
  <c r="G53" i="8"/>
  <c r="H154" i="8"/>
  <c r="G196" i="8"/>
  <c r="G179" i="8"/>
  <c r="G140" i="8"/>
  <c r="H95" i="8"/>
  <c r="H106" i="8"/>
  <c r="H87" i="8"/>
  <c r="G209" i="8"/>
  <c r="H206" i="8"/>
  <c r="H162" i="8"/>
  <c r="H132" i="8"/>
  <c r="G55" i="8"/>
  <c r="H28" i="8"/>
  <c r="H110" i="8"/>
  <c r="H183" i="8"/>
  <c r="H131" i="8"/>
  <c r="G44" i="8"/>
  <c r="H98" i="8"/>
  <c r="G105" i="8"/>
  <c r="G199" i="8"/>
  <c r="H51" i="8"/>
  <c r="H78" i="8"/>
  <c r="H163" i="8"/>
  <c r="G133" i="8"/>
  <c r="H43" i="8"/>
  <c r="H185" i="8"/>
  <c r="G188" i="8"/>
  <c r="G59" i="8"/>
  <c r="H48" i="8"/>
  <c r="G14" i="8"/>
  <c r="G131" i="8"/>
  <c r="H85" i="8"/>
  <c r="H196" i="8"/>
  <c r="H179" i="8"/>
  <c r="H140" i="8"/>
  <c r="G95" i="8"/>
  <c r="G106" i="8"/>
  <c r="H187" i="8"/>
  <c r="H57" i="8"/>
  <c r="G3" i="8"/>
  <c r="G203" i="8"/>
  <c r="G80" i="8"/>
  <c r="G119" i="8"/>
  <c r="G74" i="8"/>
  <c r="G98" i="8"/>
  <c r="H68" i="8"/>
  <c r="H9" i="8"/>
  <c r="H86" i="8"/>
  <c r="G117" i="8"/>
  <c r="G139" i="8"/>
  <c r="H75" i="8"/>
  <c r="H56" i="8"/>
  <c r="G187" i="8"/>
  <c r="G57" i="8"/>
  <c r="G99" i="8"/>
  <c r="H144" i="8"/>
  <c r="H44" i="8"/>
  <c r="I29" i="1"/>
  <c r="A65" i="3" l="1"/>
  <c r="L29" i="1"/>
  <c r="A57" i="18" s="1"/>
  <c r="H29" i="2"/>
  <c r="A56" i="18"/>
  <c r="A56" i="4"/>
  <c r="K29" i="1"/>
  <c r="H323" i="8"/>
  <c r="A54" i="4"/>
  <c r="A54" i="18"/>
  <c r="H28" i="2"/>
  <c r="B54" i="18"/>
  <c r="B54" i="4"/>
  <c r="H29" i="1"/>
  <c r="H327" i="8"/>
  <c r="G323" i="8"/>
  <c r="H324" i="8"/>
  <c r="G324" i="8"/>
  <c r="G326" i="8"/>
  <c r="H325" i="8"/>
  <c r="H326" i="8"/>
  <c r="I30" i="1"/>
  <c r="H328" i="8"/>
  <c r="G328" i="8"/>
  <c r="A66" i="3" l="1"/>
  <c r="L30" i="1"/>
  <c r="A59" i="18" s="1"/>
  <c r="K30" i="1"/>
  <c r="B58" i="18" s="1"/>
  <c r="A58" i="4"/>
  <c r="A58" i="18"/>
  <c r="H30" i="2"/>
  <c r="B56" i="4"/>
  <c r="B56" i="18"/>
  <c r="I29" i="2"/>
  <c r="C56" i="18"/>
  <c r="C56" i="4"/>
  <c r="H30" i="1"/>
  <c r="H31" i="1"/>
  <c r="A67" i="3" l="1"/>
  <c r="B58" i="4"/>
  <c r="C60" i="4"/>
  <c r="I31" i="2"/>
  <c r="C60" i="18"/>
  <c r="C58" i="18"/>
  <c r="I30" i="2"/>
  <c r="C58" i="4"/>
  <c r="L31" i="1"/>
  <c r="A61" i="18" s="1"/>
  <c r="K31" i="1"/>
  <c r="I31" i="1"/>
  <c r="G392" i="8"/>
  <c r="H339" i="8"/>
  <c r="H363" i="8"/>
  <c r="G421" i="8"/>
  <c r="H420" i="8"/>
  <c r="H410" i="8"/>
  <c r="G407" i="8"/>
  <c r="H404" i="8"/>
  <c r="G397" i="8"/>
  <c r="G342" i="8"/>
  <c r="G334" i="8"/>
  <c r="H360" i="8"/>
  <c r="G356" i="8"/>
  <c r="H346" i="8"/>
  <c r="H332" i="8"/>
  <c r="H374" i="8"/>
  <c r="H405" i="8"/>
  <c r="G359" i="8"/>
  <c r="G416" i="8"/>
  <c r="G346" i="8"/>
  <c r="G390" i="8"/>
  <c r="H384" i="8"/>
  <c r="G391" i="8"/>
  <c r="G333" i="8"/>
  <c r="G335" i="8"/>
  <c r="H388" i="8"/>
  <c r="H370" i="8"/>
  <c r="G336" i="8"/>
  <c r="H343" i="8"/>
  <c r="G394" i="8"/>
  <c r="H369" i="8"/>
  <c r="H418" i="8"/>
  <c r="G345" i="8"/>
  <c r="H371" i="8"/>
  <c r="G353" i="8"/>
  <c r="G371" i="8"/>
  <c r="H337" i="8"/>
  <c r="G380" i="8"/>
  <c r="H336" i="8"/>
  <c r="H385" i="8"/>
  <c r="G329" i="8"/>
  <c r="H330" i="8"/>
  <c r="H329" i="8"/>
  <c r="H411" i="8"/>
  <c r="H342" i="8"/>
  <c r="G373" i="8"/>
  <c r="G379" i="8"/>
  <c r="G368" i="8"/>
  <c r="H400" i="8"/>
  <c r="G396" i="8"/>
  <c r="H399" i="8"/>
  <c r="H348" i="8"/>
  <c r="H407" i="8"/>
  <c r="H358" i="8"/>
  <c r="H406" i="8"/>
  <c r="H403" i="8"/>
  <c r="G422" i="8"/>
  <c r="G347" i="8"/>
  <c r="G378" i="8"/>
  <c r="H416" i="8"/>
  <c r="H377" i="8"/>
  <c r="G418" i="8"/>
  <c r="H414" i="8"/>
  <c r="G374" i="8"/>
  <c r="H368" i="8"/>
  <c r="H344" i="8"/>
  <c r="H413" i="8"/>
  <c r="G427" i="8"/>
  <c r="G354" i="8"/>
  <c r="G406" i="8"/>
  <c r="H421" i="8"/>
  <c r="G350" i="8"/>
  <c r="H367" i="8"/>
  <c r="G400" i="8"/>
  <c r="H379" i="8"/>
  <c r="H401" i="8"/>
  <c r="H395" i="8"/>
  <c r="H391" i="8"/>
  <c r="G401" i="8"/>
  <c r="G332" i="8"/>
  <c r="H422" i="8"/>
  <c r="H362" i="8"/>
  <c r="H355" i="8"/>
  <c r="H357" i="8"/>
  <c r="H356" i="8"/>
  <c r="G388" i="8"/>
  <c r="H372" i="8"/>
  <c r="H353" i="8"/>
  <c r="H412" i="8"/>
  <c r="G360" i="8"/>
  <c r="G386" i="8"/>
  <c r="G369" i="8"/>
  <c r="H394" i="8"/>
  <c r="H392" i="8"/>
  <c r="H424" i="8"/>
  <c r="G343" i="8"/>
  <c r="H402" i="8"/>
  <c r="G365" i="8"/>
  <c r="G351" i="8"/>
  <c r="G420" i="8"/>
  <c r="G402" i="8"/>
  <c r="G419" i="8"/>
  <c r="G349" i="8"/>
  <c r="G340" i="8"/>
  <c r="G389" i="8"/>
  <c r="G339" i="8"/>
  <c r="G426" i="8"/>
  <c r="H354" i="8"/>
  <c r="G344" i="8"/>
  <c r="G331" i="8"/>
  <c r="G384" i="8"/>
  <c r="G364" i="8"/>
  <c r="H347" i="8"/>
  <c r="G393" i="8"/>
  <c r="H408" i="8"/>
  <c r="G424" i="8"/>
  <c r="H417" i="8"/>
  <c r="H361" i="8"/>
  <c r="H345" i="8"/>
  <c r="H352" i="8"/>
  <c r="H376" i="8"/>
  <c r="H389" i="8"/>
  <c r="G425" i="8"/>
  <c r="H398" i="8"/>
  <c r="G372" i="8"/>
  <c r="G366" i="8"/>
  <c r="G409" i="8"/>
  <c r="H334" i="8"/>
  <c r="H426" i="8"/>
  <c r="H373" i="8"/>
  <c r="G330" i="8"/>
  <c r="G367" i="8"/>
  <c r="G395" i="8"/>
  <c r="G412" i="8"/>
  <c r="G363" i="8"/>
  <c r="H333" i="8"/>
  <c r="G362" i="8"/>
  <c r="H393" i="8"/>
  <c r="H364" i="8"/>
  <c r="H378" i="8"/>
  <c r="G352" i="8"/>
  <c r="G408" i="8"/>
  <c r="H380" i="8"/>
  <c r="G417" i="8"/>
  <c r="H350" i="8"/>
  <c r="H351" i="8"/>
  <c r="G404" i="8"/>
  <c r="H340" i="8"/>
  <c r="G398" i="8"/>
  <c r="H423" i="8"/>
  <c r="G399" i="8"/>
  <c r="H390" i="8"/>
  <c r="H383" i="8"/>
  <c r="G405" i="8"/>
  <c r="G413" i="8"/>
  <c r="H419" i="8"/>
  <c r="H341" i="8"/>
  <c r="G387" i="8"/>
  <c r="G415" i="8"/>
  <c r="G370" i="8"/>
  <c r="G423" i="8"/>
  <c r="H366" i="8"/>
  <c r="G355" i="8"/>
  <c r="G403" i="8"/>
  <c r="H409" i="8"/>
  <c r="H387" i="8"/>
  <c r="H386" i="8"/>
  <c r="G414" i="8"/>
  <c r="H427" i="8"/>
  <c r="G382" i="8"/>
  <c r="H396" i="8"/>
  <c r="G338" i="8"/>
  <c r="H331" i="8"/>
  <c r="H335" i="8"/>
  <c r="H359" i="8"/>
  <c r="G348" i="8"/>
  <c r="G357" i="8"/>
  <c r="G381" i="8"/>
  <c r="G375" i="8"/>
  <c r="G361" i="8"/>
  <c r="H349" i="8"/>
  <c r="G383" i="8"/>
  <c r="H415" i="8"/>
  <c r="G385" i="8"/>
  <c r="G377" i="8"/>
  <c r="G358" i="8"/>
  <c r="G411" i="8"/>
  <c r="H382" i="8"/>
  <c r="G337" i="8"/>
  <c r="H425" i="8"/>
  <c r="H375" i="8"/>
  <c r="G410" i="8"/>
  <c r="G376" i="8"/>
  <c r="H338" i="8"/>
  <c r="G341" i="8"/>
  <c r="H381" i="8"/>
  <c r="H365" i="8"/>
  <c r="H397" i="8"/>
  <c r="L32" i="1"/>
  <c r="A63" i="18" s="1"/>
  <c r="A68" i="3" l="1"/>
  <c r="K32" i="1"/>
  <c r="B62" i="18" s="1"/>
  <c r="H31" i="2"/>
  <c r="A60" i="4"/>
  <c r="A60" i="18"/>
  <c r="B60" i="4"/>
  <c r="B60" i="18"/>
  <c r="I32" i="1"/>
  <c r="H32" i="1"/>
  <c r="G325" i="8"/>
  <c r="A69" i="3" l="1"/>
  <c r="B62" i="4"/>
  <c r="I33" i="1"/>
  <c r="I32" i="2"/>
  <c r="C62" i="18"/>
  <c r="C62" i="4"/>
  <c r="L33" i="1"/>
  <c r="A65" i="18" s="1"/>
  <c r="K33" i="1"/>
  <c r="A62" i="18"/>
  <c r="A62" i="4"/>
  <c r="H32" i="2"/>
  <c r="H33" i="1"/>
  <c r="A70" i="3" l="1"/>
  <c r="A71" i="3" s="1"/>
  <c r="A72" i="3" s="1"/>
  <c r="A73" i="3" s="1"/>
  <c r="A74" i="3" s="1"/>
  <c r="A75" i="3" s="1"/>
  <c r="A76" i="3" s="1"/>
  <c r="A78" i="3" s="1"/>
  <c r="A79" i="3" s="1"/>
  <c r="A80" i="3" s="1"/>
  <c r="A81" i="3" s="1"/>
  <c r="A82" i="3" s="1"/>
  <c r="A83" i="3" s="1"/>
  <c r="A84" i="3" s="1"/>
  <c r="A85" i="3" s="1"/>
  <c r="A87" i="3" s="1"/>
  <c r="A88" i="3" s="1"/>
  <c r="I33" i="2"/>
  <c r="C64" i="18"/>
  <c r="C64" i="4"/>
  <c r="B64" i="4"/>
  <c r="B64" i="18"/>
  <c r="A64" i="18"/>
  <c r="A64" i="4"/>
  <c r="H33" i="2"/>
  <c r="A89" i="3" l="1"/>
  <c r="A90" i="3" s="1"/>
  <c r="A91" i="3" s="1"/>
  <c r="A92" i="3" s="1"/>
  <c r="A93" i="3" s="1"/>
  <c r="A94" i="3" s="1"/>
  <c r="G96" i="1"/>
  <c r="H34" i="1"/>
  <c r="I34" i="1"/>
  <c r="K34" i="1"/>
  <c r="L34" i="1"/>
  <c r="A67" i="18" s="1"/>
  <c r="J96" i="2" l="1"/>
  <c r="A95" i="3"/>
  <c r="H34" i="2"/>
  <c r="A66" i="18"/>
  <c r="A66" i="4"/>
  <c r="L35" i="1"/>
  <c r="A69" i="18" s="1"/>
  <c r="I35" i="1"/>
  <c r="H35" i="1"/>
  <c r="B66" i="4"/>
  <c r="B66" i="18"/>
  <c r="I34" i="2"/>
  <c r="C66" i="18"/>
  <c r="C66" i="4"/>
  <c r="I36" i="1"/>
  <c r="A96" i="3" l="1"/>
  <c r="L36" i="1"/>
  <c r="A71" i="18" s="1"/>
  <c r="H36" i="2"/>
  <c r="A70" i="18"/>
  <c r="A70" i="4"/>
  <c r="I35" i="2"/>
  <c r="C68" i="4"/>
  <c r="C68" i="18"/>
  <c r="A68" i="18"/>
  <c r="H35" i="2"/>
  <c r="A68" i="4"/>
  <c r="H36" i="1"/>
  <c r="H37" i="1"/>
  <c r="A97" i="3" l="1"/>
  <c r="I37" i="1"/>
  <c r="H37" i="2" s="1"/>
  <c r="L37" i="1"/>
  <c r="A73" i="18" s="1"/>
  <c r="C72" i="4"/>
  <c r="I37" i="2"/>
  <c r="C72" i="18"/>
  <c r="K37" i="1"/>
  <c r="I36" i="2"/>
  <c r="C70" i="4"/>
  <c r="C70" i="18"/>
  <c r="L38" i="1"/>
  <c r="A75" i="18" s="1"/>
  <c r="A98" i="3" l="1"/>
  <c r="A72" i="18"/>
  <c r="A72" i="4"/>
  <c r="K38" i="1"/>
  <c r="I38" i="1"/>
  <c r="B72" i="4"/>
  <c r="B72" i="18"/>
  <c r="H38" i="1"/>
  <c r="A99" i="3" l="1"/>
  <c r="I38" i="2"/>
  <c r="C74" i="18"/>
  <c r="C74" i="4"/>
  <c r="I39" i="1"/>
  <c r="B74" i="18"/>
  <c r="B74" i="4"/>
  <c r="L39" i="1"/>
  <c r="A77" i="18" s="1"/>
  <c r="K39" i="1"/>
  <c r="H38" i="2"/>
  <c r="A74" i="18"/>
  <c r="A74" i="4"/>
  <c r="A100" i="3" l="1"/>
  <c r="L40" i="1"/>
  <c r="A79" i="18" s="1"/>
  <c r="I40" i="1"/>
  <c r="H39" i="2"/>
  <c r="A76" i="4"/>
  <c r="A76" i="18"/>
  <c r="K40" i="1"/>
  <c r="B76" i="4"/>
  <c r="B76" i="18"/>
  <c r="A101" i="3" l="1"/>
  <c r="H40" i="2"/>
  <c r="A78" i="4"/>
  <c r="A78" i="18"/>
  <c r="H41" i="1"/>
  <c r="B78" i="18"/>
  <c r="B78" i="4"/>
  <c r="L41" i="1"/>
  <c r="A81" i="18" s="1"/>
  <c r="H42" i="1"/>
  <c r="A102" i="3" l="1"/>
  <c r="C82" i="18"/>
  <c r="C82" i="4"/>
  <c r="I42" i="2"/>
  <c r="C80" i="4"/>
  <c r="I41" i="2"/>
  <c r="C80" i="18"/>
  <c r="K42" i="1"/>
  <c r="L42" i="1"/>
  <c r="A83" i="18" s="1"/>
  <c r="A103" i="3" l="1"/>
  <c r="L43" i="1"/>
  <c r="A85" i="18" s="1"/>
  <c r="B82" i="4"/>
  <c r="B82" i="18"/>
  <c r="K44" i="1"/>
  <c r="A104" i="3" l="1"/>
  <c r="B86" i="4"/>
  <c r="B86" i="18"/>
  <c r="H44" i="1"/>
  <c r="L44" i="1"/>
  <c r="A87" i="18" s="1"/>
  <c r="I44" i="1"/>
  <c r="A105" i="3" l="1"/>
  <c r="C86" i="4"/>
  <c r="I44" i="2"/>
  <c r="C86" i="18"/>
  <c r="K45" i="1"/>
  <c r="H44" i="2"/>
  <c r="A86" i="18"/>
  <c r="A86" i="4"/>
  <c r="H45" i="1"/>
  <c r="I45" i="1"/>
  <c r="L45" i="1"/>
  <c r="A89" i="18" s="1"/>
  <c r="A106" i="3" l="1"/>
  <c r="B88" i="18"/>
  <c r="B88" i="4"/>
  <c r="A88" i="18"/>
  <c r="A88" i="4"/>
  <c r="H45" i="2"/>
  <c r="I45" i="2"/>
  <c r="C88" i="18"/>
  <c r="C88" i="4"/>
  <c r="L46" i="1"/>
  <c r="A91" i="18" s="1"/>
  <c r="A107" i="3" l="1"/>
  <c r="K47" i="1"/>
  <c r="H47" i="1"/>
  <c r="L47" i="1"/>
  <c r="I47" i="1"/>
  <c r="A108" i="3" l="1"/>
  <c r="C92" i="18"/>
  <c r="C92" i="4"/>
  <c r="I47" i="2"/>
  <c r="B92" i="18"/>
  <c r="B92" i="4"/>
  <c r="H47" i="2"/>
  <c r="A92" i="18"/>
  <c r="A92" i="4"/>
  <c r="H48" i="1"/>
  <c r="K49" i="1"/>
  <c r="L48" i="1"/>
  <c r="A95" i="18" s="1"/>
  <c r="L49" i="1"/>
  <c r="A97" i="18" s="1"/>
  <c r="A109" i="3" l="1"/>
  <c r="I48" i="2"/>
  <c r="C94" i="18"/>
  <c r="C94" i="4"/>
  <c r="I49" i="1"/>
  <c r="H49" i="1"/>
  <c r="B96" i="18"/>
  <c r="B96" i="4"/>
  <c r="A110" i="3" l="1"/>
  <c r="K50" i="1"/>
  <c r="I50" i="1"/>
  <c r="L50" i="1"/>
  <c r="A99" i="18" s="1"/>
  <c r="C96" i="18"/>
  <c r="I49" i="2"/>
  <c r="C96" i="4"/>
  <c r="H50" i="1"/>
  <c r="A96" i="4"/>
  <c r="A96" i="18"/>
  <c r="H49" i="2"/>
  <c r="H51" i="1"/>
  <c r="A111" i="3" l="1"/>
  <c r="C100" i="18"/>
  <c r="I51" i="2"/>
  <c r="C100" i="4"/>
  <c r="A98" i="18"/>
  <c r="H50" i="2"/>
  <c r="A98" i="4"/>
  <c r="K51" i="1"/>
  <c r="I51" i="1"/>
  <c r="B98" i="18"/>
  <c r="B98" i="4"/>
  <c r="L51" i="1"/>
  <c r="A101" i="18" s="1"/>
  <c r="C98" i="18"/>
  <c r="I50" i="2"/>
  <c r="C98" i="4"/>
  <c r="A112" i="3" l="1"/>
  <c r="A114" i="3" s="1"/>
  <c r="A116" i="3" s="1"/>
  <c r="H52" i="1"/>
  <c r="K52" i="1"/>
  <c r="A100" i="4"/>
  <c r="A100" i="18"/>
  <c r="H51" i="2"/>
  <c r="I52" i="1"/>
  <c r="B100" i="18"/>
  <c r="B100" i="4"/>
  <c r="L52" i="1"/>
  <c r="A103" i="18" s="1"/>
  <c r="L53" i="1"/>
  <c r="A105" i="18" s="1"/>
  <c r="A117" i="3" l="1"/>
  <c r="A119" i="3" s="1"/>
  <c r="A120" i="3" s="1"/>
  <c r="A121" i="3" s="1"/>
  <c r="A122" i="3" s="1"/>
  <c r="A123" i="3" s="1"/>
  <c r="A124" i="3" s="1"/>
  <c r="A125" i="3" s="1"/>
  <c r="A126" i="3" s="1"/>
  <c r="H52" i="2"/>
  <c r="A102" i="4"/>
  <c r="A102" i="18"/>
  <c r="H53" i="1"/>
  <c r="B102" i="4"/>
  <c r="B102" i="18"/>
  <c r="K53" i="1"/>
  <c r="I53" i="1"/>
  <c r="I52" i="2"/>
  <c r="C102" i="18"/>
  <c r="C102" i="4"/>
  <c r="K54" i="1"/>
  <c r="B106" i="18" s="1"/>
  <c r="A127" i="3" l="1"/>
  <c r="G98" i="1"/>
  <c r="G112" i="1"/>
  <c r="G103" i="1"/>
  <c r="G127" i="1"/>
  <c r="G116" i="1"/>
  <c r="G106" i="1"/>
  <c r="G110" i="1"/>
  <c r="G119" i="1"/>
  <c r="G107" i="1"/>
  <c r="G121" i="1"/>
  <c r="G122" i="1"/>
  <c r="G124" i="1"/>
  <c r="G108" i="1"/>
  <c r="G97" i="1"/>
  <c r="G120" i="1"/>
  <c r="G117" i="1"/>
  <c r="G100" i="1"/>
  <c r="G99" i="1"/>
  <c r="G114" i="1"/>
  <c r="G125" i="1"/>
  <c r="G115" i="1"/>
  <c r="G126" i="1"/>
  <c r="G102" i="1"/>
  <c r="G109" i="1"/>
  <c r="G111" i="1"/>
  <c r="G128" i="1"/>
  <c r="G101" i="1"/>
  <c r="G105" i="1"/>
  <c r="G113" i="1"/>
  <c r="G104" i="1"/>
  <c r="G118" i="1"/>
  <c r="G123" i="1"/>
  <c r="I54" i="1"/>
  <c r="H54" i="2" s="1"/>
  <c r="A104" i="18"/>
  <c r="H53" i="2"/>
  <c r="A104" i="4"/>
  <c r="I53" i="2"/>
  <c r="C104" i="4"/>
  <c r="C104" i="18"/>
  <c r="B104" i="4"/>
  <c r="B104" i="18"/>
  <c r="H54" i="1"/>
  <c r="B106" i="4"/>
  <c r="L54" i="1"/>
  <c r="A107" i="18" s="1"/>
  <c r="L55" i="1"/>
  <c r="A109" i="18" s="1"/>
  <c r="A128" i="3" l="1"/>
  <c r="G129" i="1" s="1"/>
  <c r="J129" i="2" s="1"/>
  <c r="J98" i="2"/>
  <c r="J112" i="2"/>
  <c r="J103" i="2"/>
  <c r="J127" i="2"/>
  <c r="J116" i="2"/>
  <c r="J106" i="2"/>
  <c r="J110" i="2"/>
  <c r="J119" i="2"/>
  <c r="J107" i="2"/>
  <c r="J121" i="2"/>
  <c r="J122" i="2"/>
  <c r="J124" i="2"/>
  <c r="J108" i="2"/>
  <c r="J97" i="2"/>
  <c r="J120" i="2"/>
  <c r="J117" i="2"/>
  <c r="J100" i="2"/>
  <c r="J99" i="2"/>
  <c r="J114" i="2"/>
  <c r="J125" i="2"/>
  <c r="J115" i="2"/>
  <c r="J126" i="2"/>
  <c r="J102" i="2"/>
  <c r="J109" i="2"/>
  <c r="J111" i="2"/>
  <c r="J128" i="2"/>
  <c r="J101" i="2"/>
  <c r="J105" i="2"/>
  <c r="J113" i="2"/>
  <c r="J104" i="2"/>
  <c r="J118" i="2"/>
  <c r="J123" i="2"/>
  <c r="A106" i="18"/>
  <c r="A106" i="4"/>
  <c r="H55" i="1"/>
  <c r="I55" i="2" s="1"/>
  <c r="K55" i="1"/>
  <c r="I55" i="1"/>
  <c r="I54" i="2"/>
  <c r="C106" i="18"/>
  <c r="C106" i="4"/>
  <c r="H56" i="1"/>
  <c r="G130" i="1" l="1"/>
  <c r="A129" i="3"/>
  <c r="C108" i="18"/>
  <c r="C108" i="4"/>
  <c r="C110" i="4"/>
  <c r="C110" i="18"/>
  <c r="I56" i="2"/>
  <c r="L56" i="1"/>
  <c r="A111" i="18" s="1"/>
  <c r="H55" i="2"/>
  <c r="A108" i="4"/>
  <c r="A108" i="18"/>
  <c r="B108" i="4"/>
  <c r="B108" i="18"/>
  <c r="K56" i="1"/>
  <c r="J130" i="2" l="1"/>
  <c r="G131" i="1"/>
  <c r="A130" i="3"/>
  <c r="H57" i="1"/>
  <c r="K57" i="1"/>
  <c r="L57" i="1"/>
  <c r="A113" i="18" s="1"/>
  <c r="I57" i="1"/>
  <c r="B110" i="18"/>
  <c r="B110" i="4"/>
  <c r="K58" i="1"/>
  <c r="J131" i="2" l="1"/>
  <c r="A131" i="3"/>
  <c r="G132" i="1" s="1"/>
  <c r="J132" i="2" s="1"/>
  <c r="B114" i="18"/>
  <c r="B114" i="4"/>
  <c r="L58" i="1"/>
  <c r="A115" i="18" s="1"/>
  <c r="I58" i="1"/>
  <c r="H58" i="1"/>
  <c r="B112" i="4"/>
  <c r="B112" i="18"/>
  <c r="H57" i="2"/>
  <c r="A112" i="18"/>
  <c r="A112" i="4"/>
  <c r="C112" i="18"/>
  <c r="C112" i="4"/>
  <c r="I57" i="2"/>
  <c r="A132" i="3" l="1"/>
  <c r="G134" i="1"/>
  <c r="A133" i="3"/>
  <c r="A134" i="3" s="1"/>
  <c r="G135" i="1" s="1"/>
  <c r="C114" i="18"/>
  <c r="I58" i="2"/>
  <c r="C114" i="4"/>
  <c r="H59" i="1"/>
  <c r="K59" i="1"/>
  <c r="A114" i="4"/>
  <c r="A114" i="18"/>
  <c r="H58" i="2"/>
  <c r="L59" i="1"/>
  <c r="A117" i="18" s="1"/>
  <c r="I59" i="1"/>
  <c r="G133" i="1" l="1"/>
  <c r="J133" i="2" s="1"/>
  <c r="G136" i="1"/>
  <c r="J136" i="2" s="1"/>
  <c r="J134" i="2"/>
  <c r="J135" i="2"/>
  <c r="A135" i="3"/>
  <c r="A116" i="4"/>
  <c r="H59" i="2"/>
  <c r="A116" i="18"/>
  <c r="C116" i="4"/>
  <c r="C116" i="18"/>
  <c r="I59" i="2"/>
  <c r="H60" i="1"/>
  <c r="B116" i="18"/>
  <c r="B116" i="4"/>
  <c r="L60" i="1"/>
  <c r="A119" i="18" s="1"/>
  <c r="G137" i="1" l="1"/>
  <c r="A136" i="3"/>
  <c r="H61" i="1"/>
  <c r="L61" i="1"/>
  <c r="A121" i="18" s="1"/>
  <c r="C118" i="18"/>
  <c r="C118" i="4"/>
  <c r="I60" i="2"/>
  <c r="J137" i="2" l="1"/>
  <c r="G138" i="1"/>
  <c r="A137" i="3"/>
  <c r="C120" i="4"/>
  <c r="I61" i="2"/>
  <c r="C120" i="18"/>
  <c r="H62" i="1"/>
  <c r="L62" i="1"/>
  <c r="A123" i="18" s="1"/>
  <c r="J138" i="2" l="1"/>
  <c r="A138" i="3"/>
  <c r="A139" i="3"/>
  <c r="I62" i="2"/>
  <c r="C122" i="18"/>
  <c r="C122" i="4"/>
  <c r="I63" i="1"/>
  <c r="L63" i="1"/>
  <c r="A125" i="18" s="1"/>
  <c r="K63" i="1"/>
  <c r="H63" i="1"/>
  <c r="G140" i="1" l="1"/>
  <c r="J140" i="2" s="1"/>
  <c r="G139" i="1"/>
  <c r="J139" i="2" s="1"/>
  <c r="A140" i="3"/>
  <c r="G141" i="1" s="1"/>
  <c r="J141" i="2" s="1"/>
  <c r="I64" i="1"/>
  <c r="H64" i="1"/>
  <c r="A124" i="18"/>
  <c r="H63" i="2"/>
  <c r="A124" i="4"/>
  <c r="I65" i="1"/>
  <c r="H65" i="1"/>
  <c r="I65" i="2" s="1"/>
  <c r="K64" i="1"/>
  <c r="C124" i="4"/>
  <c r="I63" i="2"/>
  <c r="C124" i="18"/>
  <c r="K65" i="1"/>
  <c r="B124" i="18"/>
  <c r="B124" i="4"/>
  <c r="L64" i="1"/>
  <c r="A127" i="18" s="1"/>
  <c r="L65" i="1"/>
  <c r="A129" i="18" s="1"/>
  <c r="G142" i="1" l="1"/>
  <c r="A141" i="3"/>
  <c r="A128" i="4"/>
  <c r="A128" i="18"/>
  <c r="H65" i="2"/>
  <c r="B126" i="18"/>
  <c r="B126" i="4"/>
  <c r="B128" i="18"/>
  <c r="B128" i="4"/>
  <c r="C128" i="18"/>
  <c r="C128" i="4"/>
  <c r="C126" i="4"/>
  <c r="C126" i="18"/>
  <c r="I64" i="2"/>
  <c r="H64" i="2"/>
  <c r="A126" i="4"/>
  <c r="A126" i="18"/>
  <c r="J142" i="2" l="1"/>
  <c r="A142" i="3"/>
  <c r="G143" i="1" s="1"/>
  <c r="J143" i="2" s="1"/>
  <c r="G144" i="1" l="1"/>
  <c r="A143" i="3"/>
  <c r="J144" i="2" l="1"/>
  <c r="A144" i="3"/>
  <c r="G146" i="1"/>
  <c r="A145" i="3" l="1"/>
  <c r="G145" i="1"/>
  <c r="J145" i="2" s="1"/>
  <c r="A146" i="3"/>
  <c r="G147" i="1"/>
  <c r="J146" i="2"/>
  <c r="A147" i="3" l="1"/>
  <c r="G148" i="1" s="1"/>
  <c r="J148" i="2" s="1"/>
  <c r="J147" i="2"/>
  <c r="G149" i="1" l="1"/>
  <c r="A148" i="3"/>
  <c r="J149" i="2" l="1"/>
  <c r="A149" i="3"/>
  <c r="G150" i="1" s="1"/>
  <c r="J150" i="2" s="1"/>
  <c r="G151" i="1" l="1"/>
  <c r="A150" i="3"/>
  <c r="J151" i="2" l="1"/>
  <c r="A151" i="3"/>
  <c r="A164" i="3"/>
  <c r="A165" i="3" s="1"/>
  <c r="A166" i="3" s="1"/>
  <c r="A167" i="3" s="1"/>
  <c r="G153" i="1" l="1"/>
  <c r="A152" i="3"/>
  <c r="A168" i="3"/>
  <c r="J153" i="2" l="1"/>
  <c r="A153" i="3"/>
  <c r="A169" i="3"/>
  <c r="G155" i="1" l="1"/>
  <c r="A154" i="3"/>
  <c r="A170" i="3"/>
  <c r="J155" i="2" l="1"/>
  <c r="A155" i="3"/>
  <c r="G156" i="1" s="1"/>
  <c r="J156" i="2" s="1"/>
  <c r="A171" i="3"/>
  <c r="G157" i="1" l="1"/>
  <c r="G159" i="1"/>
  <c r="A156" i="3"/>
  <c r="A157" i="3" s="1"/>
  <c r="A158" i="3" s="1"/>
  <c r="J157" i="2" l="1"/>
  <c r="J159" i="2"/>
  <c r="G162" i="1"/>
  <c r="J162" i="2" s="1"/>
  <c r="G160" i="1"/>
  <c r="G158" i="1"/>
  <c r="G154" i="1"/>
  <c r="G152" i="1"/>
  <c r="J160" i="2" l="1"/>
  <c r="J158" i="2"/>
  <c r="J154" i="2"/>
  <c r="J152" i="2"/>
  <c r="A179" i="3" l="1"/>
  <c r="A180" i="3" l="1"/>
  <c r="A182" i="3" l="1"/>
  <c r="A184" i="3" l="1"/>
  <c r="A185" i="3" l="1"/>
  <c r="A186" i="3" l="1"/>
  <c r="A187" i="3" l="1"/>
  <c r="G71" i="1"/>
  <c r="G70" i="1"/>
  <c r="G69" i="1"/>
  <c r="G68" i="1"/>
  <c r="G73" i="1"/>
  <c r="G74" i="1"/>
  <c r="G75" i="1"/>
  <c r="G72" i="1"/>
  <c r="G78" i="1"/>
  <c r="G77" i="1"/>
  <c r="G83" i="1"/>
  <c r="G76" i="1"/>
  <c r="G79" i="1"/>
  <c r="G84" i="1"/>
  <c r="G81" i="1"/>
  <c r="G82" i="1"/>
  <c r="G85" i="1"/>
  <c r="G80" i="1"/>
  <c r="G87" i="1"/>
  <c r="G88" i="1"/>
  <c r="G86" i="1"/>
  <c r="G93" i="1"/>
  <c r="G91" i="1"/>
  <c r="G89" i="1"/>
  <c r="G95" i="1"/>
  <c r="G90" i="1"/>
  <c r="G92" i="1"/>
  <c r="G94" i="1"/>
  <c r="G2" i="1"/>
  <c r="G7" i="1"/>
  <c r="G4" i="1"/>
  <c r="A188" i="3" l="1"/>
  <c r="J71" i="2"/>
  <c r="J70" i="2"/>
  <c r="J69" i="2"/>
  <c r="J68" i="2"/>
  <c r="J73" i="2"/>
  <c r="J74" i="2"/>
  <c r="J75" i="2"/>
  <c r="J72" i="2"/>
  <c r="J78" i="2"/>
  <c r="J77" i="2"/>
  <c r="J83" i="2"/>
  <c r="J76" i="2"/>
  <c r="J79" i="2"/>
  <c r="J84" i="2"/>
  <c r="J81" i="2"/>
  <c r="J82" i="2"/>
  <c r="J85" i="2"/>
  <c r="J80" i="2"/>
  <c r="J87" i="2"/>
  <c r="J88" i="2"/>
  <c r="J86" i="2"/>
  <c r="J93" i="2"/>
  <c r="J91" i="2"/>
  <c r="J89" i="2"/>
  <c r="J95" i="2"/>
  <c r="J90" i="2"/>
  <c r="J92" i="2"/>
  <c r="J94" i="2"/>
  <c r="J2" i="2"/>
  <c r="J7" i="2"/>
  <c r="J4" i="2"/>
  <c r="A189" i="3" l="1"/>
  <c r="K67" i="1"/>
  <c r="K66" i="1"/>
  <c r="K68" i="1"/>
  <c r="L66" i="1"/>
  <c r="A131" i="18" s="1"/>
  <c r="L68" i="1"/>
  <c r="A135" i="18" s="1"/>
  <c r="L67" i="1"/>
  <c r="A133" i="18" s="1"/>
  <c r="I66" i="1"/>
  <c r="H66" i="1"/>
  <c r="K69" i="1"/>
  <c r="H68" i="1"/>
  <c r="I67" i="1"/>
  <c r="L70" i="1"/>
  <c r="A139" i="18" s="1"/>
  <c r="H67" i="1"/>
  <c r="I68" i="1"/>
  <c r="L69" i="1"/>
  <c r="A137" i="18" s="1"/>
  <c r="K70" i="1"/>
  <c r="I69" i="1"/>
  <c r="H69" i="1"/>
  <c r="H70" i="1"/>
  <c r="L71" i="1"/>
  <c r="A141" i="18" s="1"/>
  <c r="H71" i="1"/>
  <c r="K71" i="1"/>
  <c r="I70" i="1"/>
  <c r="L72" i="1"/>
  <c r="A143" i="18" s="1"/>
  <c r="K72" i="1"/>
  <c r="H74" i="1"/>
  <c r="I71" i="1"/>
  <c r="I72" i="1"/>
  <c r="H72" i="1"/>
  <c r="L73" i="1"/>
  <c r="A145" i="18" s="1"/>
  <c r="H73" i="1"/>
  <c r="H75" i="1"/>
  <c r="K83" i="1"/>
  <c r="L74" i="1"/>
  <c r="A147" i="18" s="1"/>
  <c r="L75" i="1"/>
  <c r="A149" i="18" s="1"/>
  <c r="K91" i="1"/>
  <c r="L76" i="1"/>
  <c r="A151" i="18" s="1"/>
  <c r="I79" i="1"/>
  <c r="I83" i="1"/>
  <c r="H76" i="1"/>
  <c r="L97" i="1"/>
  <c r="A193" i="18" s="1"/>
  <c r="L79" i="1"/>
  <c r="A157" i="18" s="1"/>
  <c r="K85" i="1"/>
  <c r="L83" i="1"/>
  <c r="A165" i="18" s="1"/>
  <c r="L77" i="1"/>
  <c r="A153" i="18" s="1"/>
  <c r="H96" i="1"/>
  <c r="K95" i="1"/>
  <c r="L90" i="1"/>
  <c r="A179" i="18" s="1"/>
  <c r="L86" i="1"/>
  <c r="A171" i="18" s="1"/>
  <c r="L80" i="1"/>
  <c r="A159" i="18" s="1"/>
  <c r="I82" i="1"/>
  <c r="H95" i="1"/>
  <c r="K89" i="1"/>
  <c r="L85" i="1"/>
  <c r="A169" i="18" s="1"/>
  <c r="K93" i="1"/>
  <c r="K87" i="1"/>
  <c r="L88" i="1"/>
  <c r="A175" i="18" s="1"/>
  <c r="I91" i="1"/>
  <c r="K80" i="1"/>
  <c r="K77" i="1"/>
  <c r="K88" i="1"/>
  <c r="H80" i="1"/>
  <c r="I90" i="1"/>
  <c r="K82" i="1"/>
  <c r="I89" i="1"/>
  <c r="L82" i="1"/>
  <c r="A163" i="18" s="1"/>
  <c r="I95" i="1"/>
  <c r="H82" i="1"/>
  <c r="H88" i="1"/>
  <c r="K79" i="1"/>
  <c r="H94" i="1"/>
  <c r="L89" i="1"/>
  <c r="A177" i="18" s="1"/>
  <c r="H87" i="1"/>
  <c r="I84" i="1"/>
  <c r="L87" i="1"/>
  <c r="A173" i="18" s="1"/>
  <c r="H86" i="1"/>
  <c r="I87" i="1"/>
  <c r="H81" i="1"/>
  <c r="H83" i="1"/>
  <c r="L84" i="1"/>
  <c r="A167" i="18" s="1"/>
  <c r="I88" i="1"/>
  <c r="H93" i="1"/>
  <c r="I92" i="1"/>
  <c r="I86" i="1"/>
  <c r="H92" i="1"/>
  <c r="I85" i="1"/>
  <c r="H91" i="1"/>
  <c r="L95" i="1"/>
  <c r="A189" i="18" s="1"/>
  <c r="H78" i="1"/>
  <c r="H79" i="1"/>
  <c r="K86" i="1"/>
  <c r="K92" i="1"/>
  <c r="I81" i="1"/>
  <c r="I93" i="1"/>
  <c r="H90" i="1"/>
  <c r="L78" i="1"/>
  <c r="A155" i="18" s="1"/>
  <c r="H77" i="1"/>
  <c r="L96" i="1"/>
  <c r="A191" i="18" s="1"/>
  <c r="I80" i="1"/>
  <c r="K90" i="1"/>
  <c r="H89" i="1"/>
  <c r="K81" i="1"/>
  <c r="I78" i="1"/>
  <c r="K78" i="1"/>
  <c r="H84" i="1"/>
  <c r="L93" i="1"/>
  <c r="A185" i="18" s="1"/>
  <c r="I77" i="1"/>
  <c r="L94" i="1"/>
  <c r="A187" i="18" s="1"/>
  <c r="H85" i="1"/>
  <c r="L92" i="1"/>
  <c r="A183" i="18" s="1"/>
  <c r="H97" i="1"/>
  <c r="L91" i="1"/>
  <c r="A181" i="18" s="1"/>
  <c r="K84" i="1"/>
  <c r="L81" i="1"/>
  <c r="A161" i="18" s="1"/>
  <c r="H98" i="1"/>
  <c r="L99" i="1"/>
  <c r="A197" i="18" s="1"/>
  <c r="L98" i="1"/>
  <c r="A195" i="18" s="1"/>
  <c r="H99" i="1"/>
  <c r="K100" i="1"/>
  <c r="L100" i="1"/>
  <c r="A199" i="18" s="1"/>
  <c r="I100" i="1"/>
  <c r="L102" i="1"/>
  <c r="A203" i="18" s="1"/>
  <c r="H101" i="1"/>
  <c r="I101" i="1"/>
  <c r="L101" i="1"/>
  <c r="A201" i="18" s="1"/>
  <c r="K101" i="1"/>
  <c r="K102" i="1"/>
  <c r="H102" i="1"/>
  <c r="I102" i="1"/>
  <c r="H103" i="1"/>
  <c r="L103" i="1"/>
  <c r="A205" i="18" s="1"/>
  <c r="K103" i="1"/>
  <c r="I103" i="1"/>
  <c r="H105" i="1"/>
  <c r="K104" i="1"/>
  <c r="K105" i="1"/>
  <c r="H104" i="1"/>
  <c r="I105" i="1"/>
  <c r="L104" i="1"/>
  <c r="A207" i="18" s="1"/>
  <c r="I104" i="1"/>
  <c r="L105" i="1"/>
  <c r="A209" i="18" s="1"/>
  <c r="I106" i="1"/>
  <c r="K106" i="1"/>
  <c r="I107" i="1"/>
  <c r="H106" i="1"/>
  <c r="L107" i="1"/>
  <c r="A213" i="18" s="1"/>
  <c r="L106" i="1"/>
  <c r="A211" i="18" s="1"/>
  <c r="K107" i="1"/>
  <c r="H107" i="1"/>
  <c r="H108" i="1"/>
  <c r="I108" i="1"/>
  <c r="K108" i="1"/>
  <c r="I109" i="1"/>
  <c r="K109" i="1"/>
  <c r="I110" i="1"/>
  <c r="L110" i="1"/>
  <c r="A219" i="18" s="1"/>
  <c r="H109" i="1"/>
  <c r="L109" i="1"/>
  <c r="A217" i="18" s="1"/>
  <c r="K110" i="1"/>
  <c r="I112" i="1"/>
  <c r="K111" i="1"/>
  <c r="I111" i="1"/>
  <c r="L111" i="1"/>
  <c r="A221" i="18" s="1"/>
  <c r="H112" i="1"/>
  <c r="K113" i="1"/>
  <c r="L112" i="1"/>
  <c r="A223" i="18" s="1"/>
  <c r="H113" i="1"/>
  <c r="I113" i="1"/>
  <c r="H100" i="1"/>
  <c r="H118" i="1"/>
  <c r="K117" i="1"/>
  <c r="K121" i="1"/>
  <c r="H115" i="1"/>
  <c r="K116" i="1"/>
  <c r="H116" i="1"/>
  <c r="L116" i="1"/>
  <c r="A231" i="18" s="1"/>
  <c r="I120" i="1"/>
  <c r="K115" i="1"/>
  <c r="I115" i="1"/>
  <c r="K119" i="1"/>
  <c r="I119" i="1"/>
  <c r="I116" i="1"/>
  <c r="H117" i="1"/>
  <c r="H114" i="1"/>
  <c r="I117" i="1"/>
  <c r="L117" i="1"/>
  <c r="A233" i="18" s="1"/>
  <c r="L119" i="1"/>
  <c r="A237" i="18" s="1"/>
  <c r="K112" i="1"/>
  <c r="K120" i="1"/>
  <c r="L118" i="1"/>
  <c r="A235" i="18" s="1"/>
  <c r="I121" i="1"/>
  <c r="H120" i="1"/>
  <c r="L115" i="1"/>
  <c r="A229" i="18" s="1"/>
  <c r="K114" i="1"/>
  <c r="L120" i="1"/>
  <c r="A239" i="18" s="1"/>
  <c r="I114" i="1"/>
  <c r="L121" i="1"/>
  <c r="A241" i="18" s="1"/>
  <c r="H111" i="1"/>
  <c r="H121" i="1"/>
  <c r="H119" i="1"/>
  <c r="L108" i="1"/>
  <c r="A215" i="18" s="1"/>
  <c r="L114" i="1"/>
  <c r="A227" i="18" s="1"/>
  <c r="L113" i="1"/>
  <c r="A225" i="18" s="1"/>
  <c r="H110" i="1"/>
  <c r="A190" i="3" l="1"/>
  <c r="I119" i="2"/>
  <c r="C236" i="4"/>
  <c r="C236" i="18"/>
  <c r="H121" i="2"/>
  <c r="A240" i="4"/>
  <c r="A240" i="18"/>
  <c r="B228" i="18"/>
  <c r="B228" i="4"/>
  <c r="B224" i="18"/>
  <c r="B224" i="4"/>
  <c r="H111" i="2"/>
  <c r="A220" i="18"/>
  <c r="A220" i="4"/>
  <c r="C216" i="18"/>
  <c r="I109" i="2"/>
  <c r="C216" i="4"/>
  <c r="B214" i="18"/>
  <c r="B214" i="4"/>
  <c r="I99" i="2"/>
  <c r="C196" i="18"/>
  <c r="C196" i="4"/>
  <c r="H80" i="2"/>
  <c r="A158" i="18"/>
  <c r="A158" i="4"/>
  <c r="H93" i="2"/>
  <c r="A184" i="4"/>
  <c r="A184" i="18"/>
  <c r="I83" i="2"/>
  <c r="C164" i="4"/>
  <c r="C164" i="18"/>
  <c r="I82" i="2"/>
  <c r="C162" i="18"/>
  <c r="C162" i="4"/>
  <c r="B158" i="4"/>
  <c r="B158" i="18"/>
  <c r="H82" i="2"/>
  <c r="A162" i="4"/>
  <c r="A162" i="18"/>
  <c r="B188" i="18"/>
  <c r="B188" i="4"/>
  <c r="B180" i="4"/>
  <c r="B180" i="18"/>
  <c r="I73" i="2"/>
  <c r="C144" i="4"/>
  <c r="C144" i="18"/>
  <c r="H68" i="2"/>
  <c r="A134" i="18"/>
  <c r="A134" i="4"/>
  <c r="H117" i="2"/>
  <c r="A232" i="18"/>
  <c r="A232" i="4"/>
  <c r="I114" i="2"/>
  <c r="C226" i="4"/>
  <c r="C226" i="18"/>
  <c r="I117" i="2"/>
  <c r="C232" i="4"/>
  <c r="C232" i="18"/>
  <c r="H119" i="2"/>
  <c r="A236" i="4"/>
  <c r="A236" i="18"/>
  <c r="B240" i="4"/>
  <c r="B240" i="18"/>
  <c r="B220" i="4"/>
  <c r="B220" i="18"/>
  <c r="H108" i="2"/>
  <c r="A214" i="18"/>
  <c r="A214" i="4"/>
  <c r="C204" i="18"/>
  <c r="I103" i="2"/>
  <c r="C204" i="4"/>
  <c r="B154" i="18"/>
  <c r="B154" i="4"/>
  <c r="I79" i="2"/>
  <c r="C156" i="4"/>
  <c r="C156" i="18"/>
  <c r="I92" i="2"/>
  <c r="C182" i="4"/>
  <c r="C182" i="18"/>
  <c r="H84" i="2"/>
  <c r="A166" i="4"/>
  <c r="A166" i="18"/>
  <c r="B156" i="4"/>
  <c r="B156" i="18"/>
  <c r="H95" i="2"/>
  <c r="A188" i="4"/>
  <c r="A188" i="18"/>
  <c r="I96" i="2"/>
  <c r="C190" i="4"/>
  <c r="C190" i="18"/>
  <c r="C150" i="18"/>
  <c r="C150" i="4"/>
  <c r="I76" i="2"/>
  <c r="A140" i="18"/>
  <c r="A140" i="4"/>
  <c r="H71" i="2"/>
  <c r="B140" i="4"/>
  <c r="B140" i="18"/>
  <c r="H69" i="2"/>
  <c r="A136" i="18"/>
  <c r="A136" i="4"/>
  <c r="C132" i="4"/>
  <c r="C132" i="18"/>
  <c r="I67" i="2"/>
  <c r="H116" i="2"/>
  <c r="A230" i="4"/>
  <c r="A230" i="18"/>
  <c r="H113" i="2"/>
  <c r="A224" i="18"/>
  <c r="A224" i="4"/>
  <c r="H112" i="2"/>
  <c r="A222" i="4"/>
  <c r="A222" i="18"/>
  <c r="C214" i="4"/>
  <c r="C214" i="18"/>
  <c r="I108" i="2"/>
  <c r="I106" i="2"/>
  <c r="C210" i="18"/>
  <c r="C210" i="4"/>
  <c r="A206" i="4"/>
  <c r="H104" i="2"/>
  <c r="A206" i="18"/>
  <c r="B206" i="4"/>
  <c r="B206" i="18"/>
  <c r="C194" i="4"/>
  <c r="I98" i="2"/>
  <c r="C194" i="18"/>
  <c r="H77" i="2"/>
  <c r="A152" i="18"/>
  <c r="A152" i="4"/>
  <c r="C152" i="18"/>
  <c r="I77" i="2"/>
  <c r="C152" i="4"/>
  <c r="H81" i="2"/>
  <c r="A160" i="4"/>
  <c r="A160" i="18"/>
  <c r="C154" i="4"/>
  <c r="I78" i="2"/>
  <c r="C154" i="18"/>
  <c r="I93" i="2"/>
  <c r="C184" i="18"/>
  <c r="C184" i="4"/>
  <c r="H91" i="2"/>
  <c r="A180" i="4"/>
  <c r="A180" i="18"/>
  <c r="B176" i="18"/>
  <c r="B176" i="4"/>
  <c r="H83" i="2"/>
  <c r="A164" i="18"/>
  <c r="A164" i="4"/>
  <c r="B164" i="18"/>
  <c r="B164" i="4"/>
  <c r="I72" i="2"/>
  <c r="C142" i="18"/>
  <c r="C142" i="4"/>
  <c r="I74" i="2"/>
  <c r="C146" i="4"/>
  <c r="C146" i="18"/>
  <c r="I71" i="2"/>
  <c r="C140" i="18"/>
  <c r="C140" i="4"/>
  <c r="B138" i="4"/>
  <c r="B138" i="18"/>
  <c r="B134" i="4"/>
  <c r="B134" i="18"/>
  <c r="I110" i="2"/>
  <c r="C218" i="4"/>
  <c r="C218" i="18"/>
  <c r="B226" i="18"/>
  <c r="B226" i="4"/>
  <c r="B238" i="4"/>
  <c r="B238" i="18"/>
  <c r="B222" i="4"/>
  <c r="B222" i="18"/>
  <c r="H115" i="2"/>
  <c r="A228" i="4"/>
  <c r="A228" i="18"/>
  <c r="C222" i="4"/>
  <c r="C222" i="18"/>
  <c r="I112" i="2"/>
  <c r="B218" i="4"/>
  <c r="B218" i="18"/>
  <c r="H110" i="2"/>
  <c r="A218" i="18"/>
  <c r="A218" i="4"/>
  <c r="H107" i="2"/>
  <c r="A212" i="18"/>
  <c r="A212" i="4"/>
  <c r="A202" i="4"/>
  <c r="A202" i="18"/>
  <c r="H102" i="2"/>
  <c r="H101" i="2"/>
  <c r="A200" i="4"/>
  <c r="A200" i="18"/>
  <c r="B166" i="4"/>
  <c r="B166" i="18"/>
  <c r="H78" i="2"/>
  <c r="A154" i="18"/>
  <c r="A154" i="4"/>
  <c r="B182" i="18"/>
  <c r="B182" i="4"/>
  <c r="H88" i="2"/>
  <c r="A174" i="4"/>
  <c r="A174" i="18"/>
  <c r="I87" i="2"/>
  <c r="C172" i="4"/>
  <c r="C172" i="18"/>
  <c r="H89" i="2"/>
  <c r="A176" i="4"/>
  <c r="A176" i="18"/>
  <c r="I80" i="2"/>
  <c r="C158" i="18"/>
  <c r="C158" i="4"/>
  <c r="I95" i="2"/>
  <c r="C188" i="18"/>
  <c r="C188" i="4"/>
  <c r="B142" i="4"/>
  <c r="B142" i="18"/>
  <c r="I66" i="2"/>
  <c r="C130" i="18"/>
  <c r="C130" i="4"/>
  <c r="B236" i="4"/>
  <c r="B236" i="18"/>
  <c r="I118" i="2"/>
  <c r="C234" i="18"/>
  <c r="C234" i="4"/>
  <c r="B216" i="4"/>
  <c r="B216" i="18"/>
  <c r="C212" i="4"/>
  <c r="C212" i="18"/>
  <c r="I107" i="2"/>
  <c r="A208" i="18"/>
  <c r="H105" i="2"/>
  <c r="A208" i="4"/>
  <c r="I105" i="2"/>
  <c r="C208" i="4"/>
  <c r="C208" i="18"/>
  <c r="C202" i="18"/>
  <c r="C202" i="4"/>
  <c r="I102" i="2"/>
  <c r="C200" i="18"/>
  <c r="C200" i="4"/>
  <c r="I101" i="2"/>
  <c r="B160" i="4"/>
  <c r="B160" i="18"/>
  <c r="I90" i="2"/>
  <c r="C178" i="4"/>
  <c r="C178" i="18"/>
  <c r="I81" i="2"/>
  <c r="C160" i="4"/>
  <c r="C160" i="18"/>
  <c r="B162" i="4"/>
  <c r="B162" i="18"/>
  <c r="B172" i="4"/>
  <c r="B172" i="18"/>
  <c r="I75" i="2"/>
  <c r="C148" i="18"/>
  <c r="C148" i="4"/>
  <c r="H72" i="2"/>
  <c r="A142" i="18"/>
  <c r="A142" i="4"/>
  <c r="A132" i="4"/>
  <c r="A132" i="18"/>
  <c r="H67" i="2"/>
  <c r="A130" i="18"/>
  <c r="A130" i="4"/>
  <c r="H66" i="2"/>
  <c r="I121" i="2"/>
  <c r="C240" i="4"/>
  <c r="C240" i="18"/>
  <c r="H120" i="2"/>
  <c r="A238" i="4"/>
  <c r="A238" i="18"/>
  <c r="I116" i="2"/>
  <c r="C230" i="18"/>
  <c r="C230" i="4"/>
  <c r="I113" i="2"/>
  <c r="C224" i="4"/>
  <c r="C224" i="18"/>
  <c r="B212" i="4"/>
  <c r="B212" i="18"/>
  <c r="B210" i="4"/>
  <c r="B210" i="18"/>
  <c r="C206" i="18"/>
  <c r="C206" i="4"/>
  <c r="I104" i="2"/>
  <c r="B202" i="4"/>
  <c r="B202" i="18"/>
  <c r="I97" i="2"/>
  <c r="C192" i="4"/>
  <c r="C192" i="18"/>
  <c r="I89" i="2"/>
  <c r="C176" i="4"/>
  <c r="C176" i="18"/>
  <c r="B170" i="18"/>
  <c r="B170" i="4"/>
  <c r="H86" i="2"/>
  <c r="A170" i="4"/>
  <c r="A170" i="18"/>
  <c r="H87" i="2"/>
  <c r="A172" i="4"/>
  <c r="A172" i="18"/>
  <c r="I70" i="2"/>
  <c r="C138" i="18"/>
  <c r="C138" i="4"/>
  <c r="I68" i="2"/>
  <c r="C134" i="4"/>
  <c r="C134" i="18"/>
  <c r="I111" i="2"/>
  <c r="C220" i="18"/>
  <c r="C220" i="4"/>
  <c r="H114" i="2"/>
  <c r="A226" i="4"/>
  <c r="A226" i="18"/>
  <c r="I120" i="2"/>
  <c r="C238" i="18"/>
  <c r="C238" i="4"/>
  <c r="B230" i="4"/>
  <c r="B230" i="18"/>
  <c r="H109" i="2"/>
  <c r="A216" i="4"/>
  <c r="A216" i="18"/>
  <c r="B208" i="18"/>
  <c r="B208" i="4"/>
  <c r="H103" i="2"/>
  <c r="A204" i="4"/>
  <c r="A204" i="18"/>
  <c r="B198" i="4"/>
  <c r="B198" i="18"/>
  <c r="I91" i="2"/>
  <c r="C180" i="4"/>
  <c r="C180" i="18"/>
  <c r="H92" i="2"/>
  <c r="A182" i="18"/>
  <c r="A182" i="4"/>
  <c r="I88" i="2"/>
  <c r="C174" i="4"/>
  <c r="C174" i="18"/>
  <c r="B174" i="4"/>
  <c r="B174" i="18"/>
  <c r="B184" i="4"/>
  <c r="B184" i="18"/>
  <c r="H79" i="2"/>
  <c r="A156" i="18"/>
  <c r="A156" i="4"/>
  <c r="B130" i="4"/>
  <c r="B130" i="18"/>
  <c r="I115" i="2"/>
  <c r="C228" i="4"/>
  <c r="C228" i="18"/>
  <c r="B232" i="4"/>
  <c r="B232" i="18"/>
  <c r="C198" i="4"/>
  <c r="C198" i="18"/>
  <c r="I100" i="2"/>
  <c r="H106" i="2"/>
  <c r="A210" i="18"/>
  <c r="A210" i="4"/>
  <c r="B204" i="18"/>
  <c r="B204" i="4"/>
  <c r="B200" i="18"/>
  <c r="B200" i="4"/>
  <c r="A198" i="18"/>
  <c r="H100" i="2"/>
  <c r="A198" i="4"/>
  <c r="I85" i="2"/>
  <c r="C168" i="4"/>
  <c r="C168" i="18"/>
  <c r="C166" i="4"/>
  <c r="C166" i="18"/>
  <c r="I84" i="2"/>
  <c r="B178" i="18"/>
  <c r="B178" i="4"/>
  <c r="A168" i="18"/>
  <c r="A168" i="4"/>
  <c r="H85" i="2"/>
  <c r="I86" i="2"/>
  <c r="C170" i="18"/>
  <c r="C170" i="4"/>
  <c r="I94" i="2"/>
  <c r="C186" i="4"/>
  <c r="C186" i="18"/>
  <c r="H90" i="2"/>
  <c r="A178" i="18"/>
  <c r="A178" i="4"/>
  <c r="B152" i="4"/>
  <c r="B152" i="18"/>
  <c r="B168" i="4"/>
  <c r="B168" i="18"/>
  <c r="A138" i="18"/>
  <c r="A138" i="4"/>
  <c r="H70" i="2"/>
  <c r="I69" i="2"/>
  <c r="C136" i="4"/>
  <c r="C136" i="18"/>
  <c r="B136" i="4"/>
  <c r="B136" i="18"/>
  <c r="B132" i="4"/>
  <c r="B132" i="18"/>
  <c r="A191" i="3" l="1"/>
  <c r="L122" i="1"/>
  <c r="A243" i="18" s="1"/>
  <c r="H122" i="1"/>
  <c r="A192" i="3" l="1"/>
  <c r="H123" i="1"/>
  <c r="I123" i="2" s="1"/>
  <c r="C242" i="4"/>
  <c r="C242" i="18"/>
  <c r="I122" i="2"/>
  <c r="L123" i="1"/>
  <c r="A245" i="18" s="1"/>
  <c r="L124" i="1"/>
  <c r="A247" i="18" s="1"/>
  <c r="A193" i="3" l="1"/>
  <c r="C244" i="18"/>
  <c r="C244" i="4"/>
  <c r="H124" i="1"/>
  <c r="H125" i="1"/>
  <c r="A194" i="3" l="1"/>
  <c r="A195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L125" i="1"/>
  <c r="A249" i="18" s="1"/>
  <c r="I124" i="2"/>
  <c r="C246" i="18"/>
  <c r="C246" i="4"/>
  <c r="I125" i="2"/>
  <c r="C248" i="4"/>
  <c r="C248" i="18"/>
  <c r="A207" i="3" l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H126" i="1"/>
  <c r="L126" i="1"/>
  <c r="A251" i="18" s="1"/>
  <c r="A249" i="3" l="1"/>
  <c r="I128" i="1"/>
  <c r="H128" i="2" s="1"/>
  <c r="I127" i="1"/>
  <c r="H127" i="2" s="1"/>
  <c r="L127" i="1"/>
  <c r="A253" i="18" s="1"/>
  <c r="H127" i="1"/>
  <c r="C252" i="18" s="1"/>
  <c r="K127" i="1"/>
  <c r="B252" i="4" s="1"/>
  <c r="H128" i="1"/>
  <c r="C254" i="4" s="1"/>
  <c r="K128" i="1"/>
  <c r="B254" i="4" s="1"/>
  <c r="I126" i="2"/>
  <c r="C250" i="18"/>
  <c r="C250" i="4"/>
  <c r="A250" i="3" l="1"/>
  <c r="A252" i="4"/>
  <c r="A252" i="18"/>
  <c r="B252" i="18"/>
  <c r="B254" i="18"/>
  <c r="A254" i="4"/>
  <c r="I127" i="2"/>
  <c r="C252" i="4"/>
  <c r="A254" i="18"/>
  <c r="C254" i="18"/>
  <c r="I128" i="2"/>
  <c r="L128" i="1"/>
  <c r="A255" i="18" s="1"/>
  <c r="A251" i="3" l="1"/>
  <c r="I129" i="1"/>
  <c r="L129" i="1"/>
  <c r="A257" i="18" s="1"/>
  <c r="I130" i="1"/>
  <c r="H130" i="1"/>
  <c r="K130" i="1"/>
  <c r="L130" i="1"/>
  <c r="A259" i="18" s="1"/>
  <c r="K129" i="1"/>
  <c r="H129" i="1"/>
  <c r="A252" i="3" l="1"/>
  <c r="G8" i="1"/>
  <c r="G11" i="1"/>
  <c r="B258" i="18"/>
  <c r="B258" i="4"/>
  <c r="A256" i="4"/>
  <c r="H129" i="2"/>
  <c r="A256" i="18"/>
  <c r="B256" i="4"/>
  <c r="B256" i="18"/>
  <c r="A258" i="4"/>
  <c r="A258" i="18"/>
  <c r="H130" i="2"/>
  <c r="C256" i="4"/>
  <c r="I129" i="2"/>
  <c r="C256" i="18"/>
  <c r="C258" i="18"/>
  <c r="C258" i="4"/>
  <c r="I130" i="2"/>
  <c r="A253" i="3" l="1"/>
  <c r="J8" i="2"/>
  <c r="J11" i="2"/>
  <c r="H132" i="1"/>
  <c r="I132" i="1"/>
  <c r="K132" i="1"/>
  <c r="I131" i="1"/>
  <c r="L131" i="1"/>
  <c r="A261" i="18" s="1"/>
  <c r="K131" i="1"/>
  <c r="L132" i="1"/>
  <c r="A263" i="18" s="1"/>
  <c r="H131" i="1"/>
  <c r="G5" i="1" l="1"/>
  <c r="G13" i="1"/>
  <c r="A256" i="3"/>
  <c r="C262" i="4"/>
  <c r="I132" i="2"/>
  <c r="C262" i="18"/>
  <c r="C260" i="18"/>
  <c r="C260" i="4"/>
  <c r="I131" i="2"/>
  <c r="B260" i="18"/>
  <c r="B260" i="4"/>
  <c r="H132" i="2"/>
  <c r="A262" i="18"/>
  <c r="A262" i="4"/>
  <c r="H131" i="2"/>
  <c r="A260" i="18"/>
  <c r="A260" i="4"/>
  <c r="B262" i="4"/>
  <c r="B262" i="18"/>
  <c r="J5" i="2" l="1"/>
  <c r="J13" i="2"/>
  <c r="A257" i="3"/>
  <c r="H134" i="1"/>
  <c r="I134" i="1"/>
  <c r="H133" i="1"/>
  <c r="K134" i="1"/>
  <c r="I133" i="1"/>
  <c r="L134" i="1"/>
  <c r="A267" i="18" s="1"/>
  <c r="L133" i="1"/>
  <c r="A265" i="18" s="1"/>
  <c r="K133" i="1"/>
  <c r="A258" i="3" l="1"/>
  <c r="B266" i="4"/>
  <c r="B266" i="18"/>
  <c r="B264" i="4"/>
  <c r="B264" i="18"/>
  <c r="A264" i="18"/>
  <c r="A264" i="4"/>
  <c r="H133" i="2"/>
  <c r="C266" i="18"/>
  <c r="C266" i="4"/>
  <c r="I134" i="2"/>
  <c r="C264" i="4"/>
  <c r="C264" i="18"/>
  <c r="I133" i="2"/>
  <c r="H134" i="2"/>
  <c r="A266" i="4"/>
  <c r="A266" i="18"/>
  <c r="A259" i="3" l="1"/>
  <c r="L136" i="1"/>
  <c r="A271" i="18" s="1"/>
  <c r="I135" i="1"/>
  <c r="K135" i="1"/>
  <c r="L135" i="1"/>
  <c r="A269" i="18" s="1"/>
  <c r="H135" i="1"/>
  <c r="K136" i="1"/>
  <c r="A260" i="3" l="1"/>
  <c r="H136" i="1"/>
  <c r="I136" i="2" s="1"/>
  <c r="I136" i="1"/>
  <c r="A270" i="4" s="1"/>
  <c r="B268" i="18"/>
  <c r="B268" i="4"/>
  <c r="H135" i="2"/>
  <c r="A268" i="18"/>
  <c r="A268" i="4"/>
  <c r="C268" i="4"/>
  <c r="C268" i="18"/>
  <c r="I135" i="2"/>
  <c r="B270" i="18"/>
  <c r="B270" i="4"/>
  <c r="A261" i="3" l="1"/>
  <c r="A270" i="18"/>
  <c r="C270" i="18"/>
  <c r="H136" i="2"/>
  <c r="C270" i="4"/>
  <c r="A262" i="3" l="1"/>
  <c r="K141" i="1"/>
  <c r="H137" i="1"/>
  <c r="K138" i="1"/>
  <c r="L138" i="1"/>
  <c r="A275" i="18" s="1"/>
  <c r="I2" i="1"/>
  <c r="L2" i="1"/>
  <c r="I138" i="1"/>
  <c r="H138" i="1"/>
  <c r="I137" i="1"/>
  <c r="I140" i="1"/>
  <c r="K139" i="1"/>
  <c r="K2" i="1"/>
  <c r="K137" i="1"/>
  <c r="L137" i="1"/>
  <c r="A273" i="18" s="1"/>
  <c r="H2" i="1"/>
  <c r="L141" i="1"/>
  <c r="A281" i="18" s="1"/>
  <c r="A263" i="3" l="1"/>
  <c r="G10" i="1"/>
  <c r="G9" i="1"/>
  <c r="H139" i="1"/>
  <c r="I139" i="1"/>
  <c r="H140" i="1"/>
  <c r="C278" i="4" s="1"/>
  <c r="K140" i="1"/>
  <c r="H141" i="1"/>
  <c r="I141" i="1"/>
  <c r="L140" i="1"/>
  <c r="A279" i="18" s="1"/>
  <c r="L139" i="1"/>
  <c r="A277" i="18" s="1"/>
  <c r="B280" i="18"/>
  <c r="B280" i="4"/>
  <c r="I2" i="2"/>
  <c r="C2" i="18"/>
  <c r="C2" i="4"/>
  <c r="I138" i="2"/>
  <c r="C274" i="4"/>
  <c r="C274" i="18"/>
  <c r="B276" i="18"/>
  <c r="B276" i="4"/>
  <c r="B2" i="4"/>
  <c r="B2" i="18"/>
  <c r="A278" i="4"/>
  <c r="A278" i="18"/>
  <c r="H140" i="2"/>
  <c r="A2" i="18"/>
  <c r="H2" i="2"/>
  <c r="A2" i="4"/>
  <c r="H137" i="2"/>
  <c r="A272" i="18"/>
  <c r="A272" i="4"/>
  <c r="B274" i="4"/>
  <c r="B274" i="18"/>
  <c r="B272" i="18"/>
  <c r="B272" i="4"/>
  <c r="H138" i="2"/>
  <c r="A274" i="4"/>
  <c r="A274" i="18"/>
  <c r="I137" i="2"/>
  <c r="C272" i="18"/>
  <c r="C272" i="4"/>
  <c r="G6" i="1" l="1"/>
  <c r="A265" i="3"/>
  <c r="J10" i="2"/>
  <c r="J9" i="2"/>
  <c r="I139" i="2"/>
  <c r="C276" i="4"/>
  <c r="C276" i="18"/>
  <c r="A276" i="18"/>
  <c r="H139" i="2"/>
  <c r="C278" i="18"/>
  <c r="I140" i="2"/>
  <c r="B278" i="4"/>
  <c r="B278" i="18"/>
  <c r="C280" i="4"/>
  <c r="I141" i="2"/>
  <c r="C280" i="18"/>
  <c r="A280" i="4"/>
  <c r="H141" i="2"/>
  <c r="A276" i="4"/>
  <c r="A280" i="18"/>
  <c r="L142" i="1"/>
  <c r="A283" i="18" s="1"/>
  <c r="I142" i="1"/>
  <c r="H142" i="1"/>
  <c r="K142" i="1"/>
  <c r="H143" i="1"/>
  <c r="A266" i="3" l="1"/>
  <c r="L143" i="1"/>
  <c r="A285" i="18" s="1"/>
  <c r="C284" i="18"/>
  <c r="I143" i="2"/>
  <c r="C284" i="4"/>
  <c r="B282" i="18"/>
  <c r="B282" i="4"/>
  <c r="I143" i="1"/>
  <c r="C282" i="4"/>
  <c r="I142" i="2"/>
  <c r="C282" i="18"/>
  <c r="A282" i="18"/>
  <c r="H142" i="2"/>
  <c r="A282" i="4"/>
  <c r="K143" i="1"/>
  <c r="L144" i="1"/>
  <c r="A287" i="18" s="1"/>
  <c r="A267" i="3" l="1"/>
  <c r="H144" i="1"/>
  <c r="I144" i="1"/>
  <c r="H143" i="2"/>
  <c r="A284" i="18"/>
  <c r="A284" i="4"/>
  <c r="B284" i="18"/>
  <c r="B284" i="4"/>
  <c r="K144" i="1"/>
  <c r="I145" i="1"/>
  <c r="A268" i="3" l="1"/>
  <c r="L145" i="1"/>
  <c r="A289" i="18" s="1"/>
  <c r="H145" i="2"/>
  <c r="A288" i="4"/>
  <c r="A288" i="18"/>
  <c r="H144" i="2"/>
  <c r="A286" i="18"/>
  <c r="A286" i="4"/>
  <c r="I144" i="2"/>
  <c r="C286" i="18"/>
  <c r="C286" i="4"/>
  <c r="K145" i="1"/>
  <c r="H145" i="1"/>
  <c r="B286" i="4"/>
  <c r="B286" i="18"/>
  <c r="I261" i="1" l="1"/>
  <c r="A269" i="3"/>
  <c r="I145" i="2"/>
  <c r="C288" i="4"/>
  <c r="C288" i="18"/>
  <c r="B288" i="4"/>
  <c r="B288" i="18"/>
  <c r="K146" i="1"/>
  <c r="L146" i="1"/>
  <c r="A291" i="18" s="1"/>
  <c r="H261" i="2" l="1"/>
  <c r="A520" i="4"/>
  <c r="A520" i="18"/>
  <c r="H283" i="1"/>
  <c r="G261" i="1"/>
  <c r="J261" i="2" s="1"/>
  <c r="H270" i="1"/>
  <c r="G161" i="1"/>
  <c r="G278" i="1"/>
  <c r="H281" i="1"/>
  <c r="G271" i="1"/>
  <c r="I264" i="1"/>
  <c r="G269" i="1"/>
  <c r="I286" i="1"/>
  <c r="H278" i="1"/>
  <c r="I276" i="1"/>
  <c r="I279" i="1"/>
  <c r="G280" i="1"/>
  <c r="H290" i="1"/>
  <c r="G3" i="1"/>
  <c r="J3" i="2" s="1"/>
  <c r="H277" i="1"/>
  <c r="G267" i="1"/>
  <c r="J267" i="2" s="1"/>
  <c r="I280" i="1"/>
  <c r="H288" i="1"/>
  <c r="I270" i="1"/>
  <c r="I282" i="1"/>
  <c r="G272" i="1"/>
  <c r="H264" i="1"/>
  <c r="G270" i="1"/>
  <c r="I262" i="1"/>
  <c r="H274" i="1"/>
  <c r="G285" i="1"/>
  <c r="I289" i="1"/>
  <c r="H272" i="1"/>
  <c r="I277" i="1"/>
  <c r="H266" i="1"/>
  <c r="I266" i="2" s="1"/>
  <c r="I268" i="1"/>
  <c r="H268" i="2" s="1"/>
  <c r="I285" i="1"/>
  <c r="G276" i="1"/>
  <c r="H289" i="1"/>
  <c r="G283" i="1"/>
  <c r="G289" i="1"/>
  <c r="H280" i="1"/>
  <c r="I272" i="1"/>
  <c r="G282" i="1"/>
  <c r="H276" i="1"/>
  <c r="H273" i="1"/>
  <c r="I275" i="1"/>
  <c r="H269" i="1"/>
  <c r="I271" i="1"/>
  <c r="I266" i="1"/>
  <c r="H266" i="2" s="1"/>
  <c r="G284" i="1"/>
  <c r="H282" i="1"/>
  <c r="H265" i="1"/>
  <c r="I265" i="2" s="1"/>
  <c r="G275" i="1"/>
  <c r="H268" i="1"/>
  <c r="I268" i="2" s="1"/>
  <c r="I281" i="1"/>
  <c r="G281" i="1"/>
  <c r="I265" i="1"/>
  <c r="H265" i="2" s="1"/>
  <c r="H275" i="1"/>
  <c r="G286" i="1"/>
  <c r="G279" i="1"/>
  <c r="G277" i="1"/>
  <c r="G255" i="1"/>
  <c r="G265" i="1"/>
  <c r="J265" i="2" s="1"/>
  <c r="H279" i="1"/>
  <c r="G287" i="1"/>
  <c r="G259" i="1"/>
  <c r="J259" i="2" s="1"/>
  <c r="G258" i="1"/>
  <c r="J258" i="2" s="1"/>
  <c r="G257" i="1"/>
  <c r="G253" i="1"/>
  <c r="G249" i="1"/>
  <c r="G252" i="1"/>
  <c r="G254" i="1"/>
  <c r="G251" i="1"/>
  <c r="G203" i="1"/>
  <c r="G220" i="1"/>
  <c r="G191" i="1"/>
  <c r="G196" i="1"/>
  <c r="G202" i="1"/>
  <c r="G245" i="1"/>
  <c r="G232" i="1"/>
  <c r="G174" i="1"/>
  <c r="G230" i="1"/>
  <c r="G197" i="1"/>
  <c r="G172" i="1"/>
  <c r="G224" i="1"/>
  <c r="G176" i="1"/>
  <c r="G242" i="1"/>
  <c r="G238" i="1"/>
  <c r="G209" i="1"/>
  <c r="G207" i="1"/>
  <c r="G182" i="1"/>
  <c r="G185" i="1"/>
  <c r="G210" i="1"/>
  <c r="G211" i="1"/>
  <c r="G235" i="1"/>
  <c r="G236" i="1"/>
  <c r="G190" i="1"/>
  <c r="G248" i="1"/>
  <c r="G222" i="1"/>
  <c r="G217" i="1"/>
  <c r="G204" i="1"/>
  <c r="G195" i="1"/>
  <c r="G170" i="1"/>
  <c r="G199" i="1"/>
  <c r="G237" i="1"/>
  <c r="G173" i="1"/>
  <c r="G181" i="1"/>
  <c r="G214" i="1"/>
  <c r="G231" i="1"/>
  <c r="G184" i="1"/>
  <c r="G234" i="1"/>
  <c r="G229" i="1"/>
  <c r="G193" i="1"/>
  <c r="G226" i="1"/>
  <c r="G233" i="1"/>
  <c r="G216" i="1"/>
  <c r="G175" i="1"/>
  <c r="G201" i="1"/>
  <c r="G208" i="1"/>
  <c r="G250" i="1"/>
  <c r="G206" i="1"/>
  <c r="G228" i="1"/>
  <c r="G244" i="1"/>
  <c r="G183" i="1"/>
  <c r="G223" i="1"/>
  <c r="G240" i="1"/>
  <c r="G189" i="1"/>
  <c r="G221" i="1"/>
  <c r="G239" i="1"/>
  <c r="G213" i="1"/>
  <c r="G198" i="1"/>
  <c r="G218" i="1"/>
  <c r="G215" i="1"/>
  <c r="G241" i="1"/>
  <c r="G247" i="1"/>
  <c r="G212" i="1"/>
  <c r="G246" i="1"/>
  <c r="G192" i="1"/>
  <c r="G194" i="1"/>
  <c r="G225" i="1"/>
  <c r="G205" i="1"/>
  <c r="G227" i="1"/>
  <c r="G243" i="1"/>
  <c r="G219" i="1"/>
  <c r="G200" i="1"/>
  <c r="G188" i="1"/>
  <c r="G187" i="1"/>
  <c r="G186" i="1"/>
  <c r="G180" i="1"/>
  <c r="G179" i="1"/>
  <c r="G178" i="1"/>
  <c r="G177" i="1"/>
  <c r="G171" i="1"/>
  <c r="G168" i="1"/>
  <c r="G169" i="1"/>
  <c r="G166" i="1"/>
  <c r="G165" i="1"/>
  <c r="G164" i="1"/>
  <c r="G167" i="1"/>
  <c r="G163" i="1"/>
  <c r="G256" i="1"/>
  <c r="G268" i="1"/>
  <c r="J268" i="2" s="1"/>
  <c r="G266" i="1"/>
  <c r="J266" i="2" s="1"/>
  <c r="G260" i="1"/>
  <c r="J260" i="2" s="1"/>
  <c r="H284" i="1"/>
  <c r="I288" i="1"/>
  <c r="G290" i="1"/>
  <c r="H267" i="1"/>
  <c r="I267" i="2" s="1"/>
  <c r="I263" i="1"/>
  <c r="H271" i="1"/>
  <c r="H287" i="1"/>
  <c r="G262" i="1"/>
  <c r="J262" i="2" s="1"/>
  <c r="G264" i="1"/>
  <c r="J264" i="2" s="1"/>
  <c r="G273" i="1"/>
  <c r="H286" i="1"/>
  <c r="I283" i="1"/>
  <c r="I269" i="1"/>
  <c r="G263" i="1"/>
  <c r="J263" i="2" s="1"/>
  <c r="G12" i="1"/>
  <c r="H262" i="1"/>
  <c r="I267" i="1"/>
  <c r="H267" i="2" s="1"/>
  <c r="H263" i="1"/>
  <c r="H261" i="1"/>
  <c r="I287" i="1"/>
  <c r="I273" i="1"/>
  <c r="I290" i="1"/>
  <c r="I278" i="1"/>
  <c r="H285" i="1"/>
  <c r="I284" i="1"/>
  <c r="G288" i="1"/>
  <c r="G274" i="1"/>
  <c r="I146" i="1"/>
  <c r="A290" i="18" s="1"/>
  <c r="H146" i="1"/>
  <c r="C290" i="4" s="1"/>
  <c r="B290" i="18"/>
  <c r="B290" i="4"/>
  <c r="H264" i="2" l="1"/>
  <c r="A526" i="18"/>
  <c r="I264" i="2"/>
  <c r="C526" i="18"/>
  <c r="H262" i="2"/>
  <c r="A522" i="18"/>
  <c r="H263" i="2"/>
  <c r="A524" i="18"/>
  <c r="I262" i="2"/>
  <c r="C522" i="18"/>
  <c r="I263" i="2"/>
  <c r="C524" i="18"/>
  <c r="I261" i="2"/>
  <c r="C520" i="4"/>
  <c r="C520" i="18"/>
  <c r="J161" i="2"/>
  <c r="J255" i="2"/>
  <c r="J257" i="2"/>
  <c r="J253" i="2"/>
  <c r="J249" i="2"/>
  <c r="J252" i="2"/>
  <c r="J254" i="2"/>
  <c r="J251" i="2"/>
  <c r="J203" i="2"/>
  <c r="J220" i="2"/>
  <c r="J191" i="2"/>
  <c r="J196" i="2"/>
  <c r="J202" i="2"/>
  <c r="J245" i="2"/>
  <c r="J232" i="2"/>
  <c r="J174" i="2"/>
  <c r="J230" i="2"/>
  <c r="J197" i="2"/>
  <c r="J172" i="2"/>
  <c r="J224" i="2"/>
  <c r="J176" i="2"/>
  <c r="J242" i="2"/>
  <c r="J238" i="2"/>
  <c r="J209" i="2"/>
  <c r="J207" i="2"/>
  <c r="J182" i="2"/>
  <c r="J185" i="2"/>
  <c r="J210" i="2"/>
  <c r="J211" i="2"/>
  <c r="J235" i="2"/>
  <c r="J236" i="2"/>
  <c r="J190" i="2"/>
  <c r="J248" i="2"/>
  <c r="J222" i="2"/>
  <c r="J217" i="2"/>
  <c r="J204" i="2"/>
  <c r="J195" i="2"/>
  <c r="J170" i="2"/>
  <c r="J199" i="2"/>
  <c r="J237" i="2"/>
  <c r="J173" i="2"/>
  <c r="J181" i="2"/>
  <c r="J214" i="2"/>
  <c r="J231" i="2"/>
  <c r="J184" i="2"/>
  <c r="J234" i="2"/>
  <c r="J229" i="2"/>
  <c r="J193" i="2"/>
  <c r="J226" i="2"/>
  <c r="J233" i="2"/>
  <c r="J216" i="2"/>
  <c r="J175" i="2"/>
  <c r="J201" i="2"/>
  <c r="J208" i="2"/>
  <c r="J250" i="2"/>
  <c r="J206" i="2"/>
  <c r="J228" i="2"/>
  <c r="J244" i="2"/>
  <c r="J183" i="2"/>
  <c r="J223" i="2"/>
  <c r="J240" i="2"/>
  <c r="J189" i="2"/>
  <c r="J221" i="2"/>
  <c r="J239" i="2"/>
  <c r="J213" i="2"/>
  <c r="J198" i="2"/>
  <c r="J218" i="2"/>
  <c r="J215" i="2"/>
  <c r="J241" i="2"/>
  <c r="J247" i="2"/>
  <c r="J212" i="2"/>
  <c r="J246" i="2"/>
  <c r="J192" i="2"/>
  <c r="J194" i="2"/>
  <c r="J225" i="2"/>
  <c r="J205" i="2"/>
  <c r="J227" i="2"/>
  <c r="J243" i="2"/>
  <c r="J219" i="2"/>
  <c r="J200" i="2"/>
  <c r="J188" i="2"/>
  <c r="J187" i="2"/>
  <c r="J186" i="2"/>
  <c r="J180" i="2"/>
  <c r="J179" i="2"/>
  <c r="J178" i="2"/>
  <c r="J177" i="2"/>
  <c r="J171" i="2"/>
  <c r="J168" i="2"/>
  <c r="J169" i="2"/>
  <c r="J166" i="2"/>
  <c r="J165" i="2"/>
  <c r="J164" i="2"/>
  <c r="J167" i="2"/>
  <c r="J163" i="2"/>
  <c r="J256" i="2"/>
  <c r="J12" i="2"/>
  <c r="I146" i="2"/>
  <c r="A290" i="4"/>
  <c r="H146" i="2"/>
  <c r="C290" i="18"/>
  <c r="H147" i="1" l="1"/>
  <c r="L147" i="1"/>
  <c r="A293" i="18" s="1"/>
  <c r="I147" i="1"/>
  <c r="K147" i="1"/>
  <c r="B292" i="4" l="1"/>
  <c r="B292" i="18"/>
  <c r="K148" i="1"/>
  <c r="B294" i="18" s="1"/>
  <c r="H148" i="1"/>
  <c r="I148" i="2" s="1"/>
  <c r="A292" i="18"/>
  <c r="A292" i="4"/>
  <c r="H147" i="2"/>
  <c r="L148" i="1"/>
  <c r="A295" i="18" s="1"/>
  <c r="I148" i="1"/>
  <c r="H148" i="2" s="1"/>
  <c r="I147" i="2"/>
  <c r="C292" i="4"/>
  <c r="C292" i="18"/>
  <c r="L149" i="1"/>
  <c r="A297" i="18" s="1"/>
  <c r="A294" i="4" l="1"/>
  <c r="B294" i="4"/>
  <c r="K149" i="1"/>
  <c r="B296" i="18" s="1"/>
  <c r="A294" i="18"/>
  <c r="C294" i="4"/>
  <c r="H149" i="1"/>
  <c r="C296" i="18" s="1"/>
  <c r="I149" i="1"/>
  <c r="A296" i="4" s="1"/>
  <c r="C294" i="18"/>
  <c r="I150" i="1"/>
  <c r="C296" i="4" l="1"/>
  <c r="B296" i="4"/>
  <c r="K150" i="1"/>
  <c r="B298" i="4" s="1"/>
  <c r="H150" i="1"/>
  <c r="C298" i="18" s="1"/>
  <c r="H149" i="2"/>
  <c r="I149" i="2"/>
  <c r="A296" i="18"/>
  <c r="L150" i="1"/>
  <c r="A299" i="18" s="1"/>
  <c r="H150" i="2"/>
  <c r="A298" i="18"/>
  <c r="A298" i="4"/>
  <c r="L151" i="1"/>
  <c r="A301" i="18" s="1"/>
  <c r="I151" i="1" l="1"/>
  <c r="A300" i="4" s="1"/>
  <c r="H151" i="1"/>
  <c r="I151" i="2" s="1"/>
  <c r="I150" i="2"/>
  <c r="B298" i="18"/>
  <c r="C298" i="4"/>
  <c r="K151" i="1"/>
  <c r="L152" i="1"/>
  <c r="A303" i="18" s="1"/>
  <c r="I152" i="1"/>
  <c r="H152" i="1"/>
  <c r="H151" i="2" l="1"/>
  <c r="A300" i="18"/>
  <c r="C300" i="4"/>
  <c r="C300" i="18"/>
  <c r="K152" i="1"/>
  <c r="B302" i="4" s="1"/>
  <c r="B300" i="4"/>
  <c r="B300" i="18"/>
  <c r="A302" i="4"/>
  <c r="H152" i="2"/>
  <c r="A302" i="18"/>
  <c r="C302" i="18"/>
  <c r="I152" i="2"/>
  <c r="C302" i="4"/>
  <c r="I153" i="1"/>
  <c r="B302" i="18" l="1"/>
  <c r="L153" i="1"/>
  <c r="A305" i="18" s="1"/>
  <c r="H153" i="1"/>
  <c r="C304" i="4" s="1"/>
  <c r="K153" i="1"/>
  <c r="I154" i="1"/>
  <c r="H153" i="2"/>
  <c r="A304" i="18"/>
  <c r="A304" i="4"/>
  <c r="A325" i="18" l="1"/>
  <c r="C304" i="18"/>
  <c r="I153" i="2"/>
  <c r="L154" i="1"/>
  <c r="A307" i="18" s="1"/>
  <c r="K154" i="1"/>
  <c r="B306" i="4" s="1"/>
  <c r="B304" i="4"/>
  <c r="B304" i="18"/>
  <c r="H154" i="1"/>
  <c r="I154" i="2" s="1"/>
  <c r="A306" i="18"/>
  <c r="A306" i="4"/>
  <c r="H154" i="2"/>
  <c r="H155" i="1"/>
  <c r="K36" i="1"/>
  <c r="K35" i="1"/>
  <c r="H39" i="1"/>
  <c r="H40" i="1"/>
  <c r="I42" i="1"/>
  <c r="I56" i="1"/>
  <c r="B306" i="18" l="1"/>
  <c r="C306" i="4"/>
  <c r="C306" i="18"/>
  <c r="C308" i="18"/>
  <c r="C308" i="4"/>
  <c r="I155" i="2"/>
  <c r="K155" i="1"/>
  <c r="B308" i="4" s="1"/>
  <c r="I155" i="1"/>
  <c r="H155" i="2" s="1"/>
  <c r="L155" i="1"/>
  <c r="A309" i="18" s="1"/>
  <c r="A110" i="4"/>
  <c r="A110" i="18"/>
  <c r="H56" i="2"/>
  <c r="H42" i="2"/>
  <c r="A82" i="18"/>
  <c r="A82" i="4"/>
  <c r="I40" i="2"/>
  <c r="C78" i="4"/>
  <c r="C78" i="18"/>
  <c r="I39" i="2"/>
  <c r="C76" i="4"/>
  <c r="C76" i="18"/>
  <c r="B68" i="18"/>
  <c r="B68" i="4"/>
  <c r="B70" i="18"/>
  <c r="B70" i="4"/>
  <c r="B308" i="18" l="1"/>
  <c r="L156" i="1"/>
  <c r="A311" i="18" s="1"/>
  <c r="A308" i="18"/>
  <c r="A308" i="4"/>
  <c r="K156" i="1"/>
  <c r="I156" i="1"/>
  <c r="H156" i="2" s="1"/>
  <c r="K157" i="1"/>
  <c r="H157" i="1" l="1"/>
  <c r="I157" i="2" s="1"/>
  <c r="B310" i="18"/>
  <c r="B310" i="4"/>
  <c r="I157" i="1"/>
  <c r="A312" i="4" s="1"/>
  <c r="A310" i="4"/>
  <c r="A310" i="18"/>
  <c r="L157" i="1"/>
  <c r="A313" i="18" s="1"/>
  <c r="B312" i="4"/>
  <c r="B312" i="18"/>
  <c r="K158" i="1"/>
  <c r="H158" i="1"/>
  <c r="C312" i="4" l="1"/>
  <c r="C312" i="18"/>
  <c r="I158" i="1"/>
  <c r="H158" i="2" s="1"/>
  <c r="L158" i="1"/>
  <c r="A315" i="18" s="1"/>
  <c r="A312" i="18"/>
  <c r="H157" i="2"/>
  <c r="I158" i="2"/>
  <c r="C314" i="4"/>
  <c r="C314" i="18"/>
  <c r="H159" i="1"/>
  <c r="B314" i="18"/>
  <c r="B314" i="4"/>
  <c r="L159" i="1"/>
  <c r="A317" i="18" s="1"/>
  <c r="A314" i="18" l="1"/>
  <c r="A314" i="4"/>
  <c r="K159" i="1"/>
  <c r="I159" i="1"/>
  <c r="H160" i="1"/>
  <c r="L160" i="1"/>
  <c r="A319" i="18" s="1"/>
  <c r="K160" i="1"/>
  <c r="I160" i="1"/>
  <c r="C316" i="4"/>
  <c r="I159" i="2"/>
  <c r="C316" i="18"/>
  <c r="H159" i="2" l="1"/>
  <c r="A316" i="18"/>
  <c r="A316" i="4"/>
  <c r="B316" i="18"/>
  <c r="B316" i="4"/>
  <c r="B318" i="18"/>
  <c r="B318" i="4"/>
  <c r="C318" i="4"/>
  <c r="I160" i="2"/>
  <c r="C318" i="18"/>
  <c r="A318" i="18"/>
  <c r="H160" i="2"/>
  <c r="A318" i="4"/>
  <c r="H161" i="1"/>
  <c r="L161" i="1"/>
  <c r="A321" i="18" s="1"/>
  <c r="K161" i="1"/>
  <c r="I161" i="1" l="1"/>
  <c r="B320" i="18"/>
  <c r="B320" i="4"/>
  <c r="C320" i="18"/>
  <c r="C320" i="4"/>
  <c r="I161" i="2"/>
  <c r="K162" i="1" l="1"/>
  <c r="L162" i="1"/>
  <c r="A323" i="18" s="1"/>
  <c r="H162" i="1"/>
  <c r="I162" i="1"/>
  <c r="A320" i="4"/>
  <c r="H161" i="2"/>
  <c r="A320" i="18"/>
  <c r="H163" i="1"/>
  <c r="A322" i="4" l="1"/>
  <c r="H162" i="2"/>
  <c r="A322" i="18"/>
  <c r="L163" i="1"/>
  <c r="C322" i="4"/>
  <c r="C322" i="18"/>
  <c r="I162" i="2"/>
  <c r="L164" i="1"/>
  <c r="A327" i="18" s="1"/>
  <c r="B322" i="18"/>
  <c r="B322" i="4"/>
  <c r="C324" i="18"/>
  <c r="C324" i="4"/>
  <c r="I163" i="2"/>
  <c r="L165" i="1" l="1"/>
  <c r="A329" i="18" s="1"/>
  <c r="K165" i="1"/>
  <c r="H165" i="1"/>
  <c r="I165" i="1"/>
  <c r="C328" i="4" l="1"/>
  <c r="I165" i="2"/>
  <c r="C328" i="18"/>
  <c r="H165" i="2"/>
  <c r="A328" i="18"/>
  <c r="A328" i="4"/>
  <c r="B328" i="4"/>
  <c r="B328" i="18"/>
  <c r="K166" i="1" l="1"/>
  <c r="H166" i="1"/>
  <c r="I166" i="1"/>
  <c r="L166" i="1"/>
  <c r="A331" i="18" s="1"/>
  <c r="I167" i="1"/>
  <c r="L167" i="1"/>
  <c r="A333" i="18" s="1"/>
  <c r="H166" i="2" l="1"/>
  <c r="A330" i="4"/>
  <c r="A330" i="18"/>
  <c r="C330" i="4"/>
  <c r="I166" i="2"/>
  <c r="C330" i="18"/>
  <c r="H167" i="1"/>
  <c r="I167" i="2" s="1"/>
  <c r="B330" i="18"/>
  <c r="B330" i="4"/>
  <c r="K167" i="1"/>
  <c r="B332" i="18" s="1"/>
  <c r="A332" i="18"/>
  <c r="A332" i="4"/>
  <c r="H167" i="2"/>
  <c r="I168" i="1"/>
  <c r="H168" i="2" s="1"/>
  <c r="B332" i="4" l="1"/>
  <c r="A334" i="18"/>
  <c r="C332" i="18"/>
  <c r="A334" i="4"/>
  <c r="K168" i="1"/>
  <c r="C332" i="4"/>
  <c r="L168" i="1"/>
  <c r="A335" i="18" s="1"/>
  <c r="H168" i="1"/>
  <c r="L169" i="1"/>
  <c r="A337" i="18" s="1"/>
  <c r="H169" i="1" l="1"/>
  <c r="C336" i="4" s="1"/>
  <c r="I168" i="2"/>
  <c r="C334" i="4"/>
  <c r="C334" i="18"/>
  <c r="B334" i="18"/>
  <c r="B334" i="4"/>
  <c r="C336" i="18" l="1"/>
  <c r="I169" i="2"/>
  <c r="H170" i="1"/>
  <c r="L170" i="1"/>
  <c r="A339" i="18" s="1"/>
  <c r="L171" i="1"/>
  <c r="A341" i="18" s="1"/>
  <c r="C338" i="4" l="1"/>
  <c r="C338" i="18"/>
  <c r="I170" i="2"/>
  <c r="H172" i="1" l="1"/>
  <c r="L172" i="1"/>
  <c r="A343" i="18" s="1"/>
  <c r="C342" i="4" l="1"/>
  <c r="I172" i="2"/>
  <c r="C342" i="18"/>
  <c r="L173" i="1"/>
  <c r="A345" i="18" s="1"/>
  <c r="L174" i="1" l="1"/>
  <c r="A347" i="18" s="1"/>
  <c r="L175" i="1"/>
  <c r="A349" i="18" s="1"/>
  <c r="I176" i="1" l="1"/>
  <c r="H176" i="1"/>
  <c r="K176" i="1" l="1"/>
  <c r="L176" i="1"/>
  <c r="A351" i="18" s="1"/>
  <c r="H176" i="2"/>
  <c r="A350" i="18"/>
  <c r="A350" i="4"/>
  <c r="L177" i="1"/>
  <c r="I177" i="1"/>
  <c r="C350" i="4"/>
  <c r="C350" i="18"/>
  <c r="I176" i="2"/>
  <c r="K177" i="1" l="1"/>
  <c r="B350" i="18"/>
  <c r="B350" i="4"/>
  <c r="H177" i="1"/>
  <c r="C352" i="4" s="1"/>
  <c r="A352" i="18"/>
  <c r="A352" i="4"/>
  <c r="H177" i="2"/>
  <c r="B352" i="4" l="1"/>
  <c r="B352" i="18"/>
  <c r="C352" i="18"/>
  <c r="L178" i="1"/>
  <c r="I178" i="1"/>
  <c r="K178" i="1"/>
  <c r="H178" i="1"/>
  <c r="I177" i="2"/>
  <c r="L179" i="1"/>
  <c r="A357" i="18" s="1"/>
  <c r="I179" i="1"/>
  <c r="H179" i="1"/>
  <c r="K179" i="1"/>
  <c r="C354" i="18" l="1"/>
  <c r="I178" i="2"/>
  <c r="C354" i="4"/>
  <c r="B354" i="18"/>
  <c r="B354" i="4"/>
  <c r="A354" i="18"/>
  <c r="A354" i="4"/>
  <c r="H178" i="2"/>
  <c r="A353" i="18"/>
  <c r="A355" i="18"/>
  <c r="C356" i="18"/>
  <c r="I179" i="2"/>
  <c r="C356" i="4"/>
  <c r="H179" i="2"/>
  <c r="A356" i="18"/>
  <c r="A356" i="4"/>
  <c r="B356" i="18"/>
  <c r="B356" i="4"/>
  <c r="I180" i="1"/>
  <c r="H180" i="1"/>
  <c r="K180" i="1" l="1"/>
  <c r="I181" i="1"/>
  <c r="A360" i="18" s="1"/>
  <c r="I180" i="2"/>
  <c r="C358" i="18"/>
  <c r="C358" i="4"/>
  <c r="A358" i="18"/>
  <c r="H180" i="2"/>
  <c r="A358" i="4"/>
  <c r="H181" i="1" l="1"/>
  <c r="H181" i="2"/>
  <c r="A360" i="4"/>
  <c r="L181" i="1"/>
  <c r="A361" i="18" s="1"/>
  <c r="K181" i="1"/>
  <c r="B360" i="4" s="1"/>
  <c r="B358" i="18"/>
  <c r="B358" i="4"/>
  <c r="L4" i="1"/>
  <c r="I181" i="2" l="1"/>
  <c r="C360" i="18"/>
  <c r="C360" i="4"/>
  <c r="L182" i="1"/>
  <c r="A363" i="18" s="1"/>
  <c r="B360" i="18"/>
  <c r="K182" i="1"/>
  <c r="I182" i="1"/>
  <c r="A362" i="4" s="1"/>
  <c r="H182" i="1"/>
  <c r="H183" i="1"/>
  <c r="L183" i="1"/>
  <c r="A365" i="18" s="1"/>
  <c r="I183" i="1" l="1"/>
  <c r="A364" i="4" s="1"/>
  <c r="K183" i="1"/>
  <c r="B364" i="18" s="1"/>
  <c r="B362" i="4"/>
  <c r="B362" i="18"/>
  <c r="A362" i="18"/>
  <c r="H182" i="2"/>
  <c r="C362" i="18"/>
  <c r="I182" i="2"/>
  <c r="C362" i="4"/>
  <c r="I183" i="2"/>
  <c r="C364" i="18"/>
  <c r="C364" i="4"/>
  <c r="H183" i="2" l="1"/>
  <c r="A364" i="18"/>
  <c r="B364" i="4"/>
  <c r="L184" i="1"/>
  <c r="A367" i="18" s="1"/>
  <c r="K184" i="1"/>
  <c r="H184" i="1"/>
  <c r="I184" i="1"/>
  <c r="K185" i="1"/>
  <c r="L185" i="1" l="1"/>
  <c r="A369" i="18" s="1"/>
  <c r="A366" i="4"/>
  <c r="H184" i="2"/>
  <c r="A366" i="18"/>
  <c r="C366" i="4"/>
  <c r="I184" i="2"/>
  <c r="C366" i="18"/>
  <c r="B366" i="18"/>
  <c r="B366" i="4"/>
  <c r="H185" i="1"/>
  <c r="I185" i="1"/>
  <c r="L186" i="1"/>
  <c r="A371" i="18" s="1"/>
  <c r="B368" i="4"/>
  <c r="B368" i="18"/>
  <c r="H185" i="2" l="1"/>
  <c r="A368" i="18"/>
  <c r="A368" i="4"/>
  <c r="I185" i="2"/>
  <c r="C368" i="4"/>
  <c r="C368" i="18"/>
  <c r="K187" i="1"/>
  <c r="I187" i="1"/>
  <c r="L187" i="1" l="1"/>
  <c r="A373" i="18" s="1"/>
  <c r="H187" i="1"/>
  <c r="A372" i="18"/>
  <c r="H187" i="2"/>
  <c r="A372" i="4"/>
  <c r="B372" i="4"/>
  <c r="B372" i="18"/>
  <c r="H188" i="1"/>
  <c r="C374" i="18" s="1"/>
  <c r="L188" i="1"/>
  <c r="A375" i="18" s="1"/>
  <c r="K188" i="1" l="1"/>
  <c r="B374" i="18" s="1"/>
  <c r="C374" i="4"/>
  <c r="C372" i="4"/>
  <c r="C372" i="18"/>
  <c r="I187" i="2"/>
  <c r="I188" i="2"/>
  <c r="I188" i="1"/>
  <c r="K189" i="1"/>
  <c r="I189" i="1"/>
  <c r="L189" i="1"/>
  <c r="A377" i="18" s="1"/>
  <c r="H189" i="1" l="1"/>
  <c r="B374" i="4"/>
  <c r="A374" i="18"/>
  <c r="A374" i="4"/>
  <c r="H188" i="2"/>
  <c r="I190" i="1"/>
  <c r="H190" i="1"/>
  <c r="L190" i="1"/>
  <c r="A379" i="18" s="1"/>
  <c r="A376" i="4"/>
  <c r="H189" i="2"/>
  <c r="A376" i="18"/>
  <c r="B376" i="4"/>
  <c r="B376" i="18"/>
  <c r="C376" i="4" l="1"/>
  <c r="C376" i="18"/>
  <c r="I189" i="2"/>
  <c r="K190" i="1"/>
  <c r="H190" i="2"/>
  <c r="A378" i="4"/>
  <c r="A378" i="18"/>
  <c r="I191" i="1"/>
  <c r="L191" i="1"/>
  <c r="A381" i="18" s="1"/>
  <c r="H191" i="1"/>
  <c r="K191" i="1"/>
  <c r="C378" i="4"/>
  <c r="C378" i="18"/>
  <c r="I190" i="2"/>
  <c r="B378" i="18" l="1"/>
  <c r="B378" i="4"/>
  <c r="I191" i="2"/>
  <c r="C380" i="4"/>
  <c r="C380" i="18"/>
  <c r="A380" i="4"/>
  <c r="A380" i="18"/>
  <c r="H191" i="2"/>
  <c r="B380" i="4"/>
  <c r="B380" i="18"/>
  <c r="L192" i="1" l="1"/>
  <c r="A383" i="18" s="1"/>
  <c r="K192" i="1"/>
  <c r="H192" i="1"/>
  <c r="I192" i="1"/>
  <c r="H193" i="1"/>
  <c r="I193" i="1"/>
  <c r="L193" i="1"/>
  <c r="A385" i="18" s="1"/>
  <c r="A382" i="4" l="1"/>
  <c r="H192" i="2"/>
  <c r="A382" i="18"/>
  <c r="I192" i="2"/>
  <c r="C382" i="4"/>
  <c r="C382" i="18"/>
  <c r="B382" i="18"/>
  <c r="B382" i="4"/>
  <c r="K193" i="1"/>
  <c r="I193" i="2"/>
  <c r="C384" i="4"/>
  <c r="C384" i="18"/>
  <c r="H193" i="2"/>
  <c r="A384" i="18"/>
  <c r="A384" i="4"/>
  <c r="L194" i="1" l="1"/>
  <c r="A387" i="18" s="1"/>
  <c r="I194" i="1"/>
  <c r="H194" i="2" s="1"/>
  <c r="H194" i="1"/>
  <c r="I194" i="2" s="1"/>
  <c r="K194" i="1"/>
  <c r="B386" i="18" s="1"/>
  <c r="B384" i="4"/>
  <c r="B384" i="18"/>
  <c r="K195" i="1"/>
  <c r="B388" i="18" s="1"/>
  <c r="H10" i="1"/>
  <c r="L10" i="1"/>
  <c r="K10" i="1"/>
  <c r="L9" i="1"/>
  <c r="A17" i="18" s="1"/>
  <c r="I10" i="1"/>
  <c r="I9" i="1"/>
  <c r="K9" i="1"/>
  <c r="H9" i="1"/>
  <c r="I195" i="1" l="1"/>
  <c r="A388" i="18" s="1"/>
  <c r="B386" i="4"/>
  <c r="A386" i="4"/>
  <c r="A386" i="18"/>
  <c r="C386" i="18"/>
  <c r="L195" i="1"/>
  <c r="A389" i="18" s="1"/>
  <c r="B388" i="4"/>
  <c r="C386" i="4"/>
  <c r="K196" i="1"/>
  <c r="C16" i="4"/>
  <c r="C16" i="18"/>
  <c r="I9" i="2"/>
  <c r="A18" i="4"/>
  <c r="H10" i="2"/>
  <c r="A18" i="18"/>
  <c r="B16" i="4"/>
  <c r="B16" i="18"/>
  <c r="A16" i="18"/>
  <c r="H9" i="2"/>
  <c r="A16" i="4"/>
  <c r="B18" i="4"/>
  <c r="B18" i="18"/>
  <c r="C18" i="4"/>
  <c r="C18" i="18"/>
  <c r="I10" i="2"/>
  <c r="I196" i="1" l="1"/>
  <c r="A388" i="4"/>
  <c r="L196" i="1"/>
  <c r="A391" i="18" s="1"/>
  <c r="H195" i="2"/>
  <c r="H196" i="1"/>
  <c r="I196" i="2" s="1"/>
  <c r="B390" i="18"/>
  <c r="B390" i="4"/>
  <c r="L12" i="1"/>
  <c r="H196" i="2" l="1"/>
  <c r="A390" i="18"/>
  <c r="A390" i="4"/>
  <c r="C390" i="4"/>
  <c r="C390" i="18"/>
  <c r="I197" i="1"/>
  <c r="H197" i="1"/>
  <c r="K197" i="1"/>
  <c r="I198" i="1"/>
  <c r="A394" i="4" s="1"/>
  <c r="L198" i="1"/>
  <c r="A395" i="18" s="1"/>
  <c r="K198" i="1" l="1"/>
  <c r="B394" i="18" s="1"/>
  <c r="H198" i="1"/>
  <c r="C394" i="18" s="1"/>
  <c r="H198" i="2"/>
  <c r="A394" i="18"/>
  <c r="B392" i="4"/>
  <c r="B392" i="18"/>
  <c r="C392" i="4"/>
  <c r="C392" i="18"/>
  <c r="I197" i="2"/>
  <c r="A392" i="18"/>
  <c r="H197" i="2"/>
  <c r="A392" i="4"/>
  <c r="L199" i="1"/>
  <c r="A397" i="18" s="1"/>
  <c r="B394" i="4" l="1"/>
  <c r="C394" i="4"/>
  <c r="I198" i="2"/>
  <c r="H199" i="1"/>
  <c r="I199" i="1"/>
  <c r="K199" i="1"/>
  <c r="L200" i="1"/>
  <c r="A399" i="18" s="1"/>
  <c r="K200" i="1"/>
  <c r="H200" i="1" l="1"/>
  <c r="I200" i="2" s="1"/>
  <c r="B396" i="18"/>
  <c r="B396" i="4"/>
  <c r="I200" i="1"/>
  <c r="A398" i="18" s="1"/>
  <c r="H199" i="2"/>
  <c r="A396" i="4"/>
  <c r="A396" i="18"/>
  <c r="C396" i="4"/>
  <c r="I199" i="2"/>
  <c r="C396" i="18"/>
  <c r="B398" i="18"/>
  <c r="B398" i="4"/>
  <c r="C398" i="18" l="1"/>
  <c r="C398" i="4"/>
  <c r="H200" i="2"/>
  <c r="L201" i="1"/>
  <c r="A401" i="18" s="1"/>
  <c r="A398" i="4"/>
  <c r="H202" i="1"/>
  <c r="L202" i="1" l="1"/>
  <c r="A403" i="18" s="1"/>
  <c r="C402" i="4"/>
  <c r="C402" i="18"/>
  <c r="I202" i="2"/>
  <c r="L203" i="1" l="1"/>
  <c r="A405" i="18" s="1"/>
  <c r="H203" i="1"/>
  <c r="L204" i="1"/>
  <c r="A407" i="18" s="1"/>
  <c r="H204" i="1" l="1"/>
  <c r="I203" i="2"/>
  <c r="C404" i="18"/>
  <c r="C404" i="4"/>
  <c r="I13" i="1"/>
  <c r="L13" i="1"/>
  <c r="H13" i="1"/>
  <c r="L205" i="1" l="1"/>
  <c r="A409" i="18" s="1"/>
  <c r="C406" i="4"/>
  <c r="I204" i="2"/>
  <c r="C406" i="18"/>
  <c r="H205" i="1"/>
  <c r="H206" i="1"/>
  <c r="C410" i="18" s="1"/>
  <c r="A25" i="18"/>
  <c r="I13" i="2"/>
  <c r="C24" i="18"/>
  <c r="C24" i="4"/>
  <c r="H13" i="2"/>
  <c r="A24" i="18"/>
  <c r="A24" i="4"/>
  <c r="C410" i="4" l="1"/>
  <c r="I206" i="2"/>
  <c r="I205" i="2"/>
  <c r="C408" i="4"/>
  <c r="C408" i="18"/>
  <c r="L206" i="1"/>
  <c r="A411" i="18" s="1"/>
  <c r="H207" i="1"/>
  <c r="C412" i="4" s="1"/>
  <c r="K5" i="1"/>
  <c r="L207" i="1"/>
  <c r="A413" i="18" s="1"/>
  <c r="L5" i="1"/>
  <c r="I207" i="2" l="1"/>
  <c r="C412" i="18"/>
  <c r="I5" i="1"/>
  <c r="H5" i="2" s="1"/>
  <c r="B8" i="18"/>
  <c r="B8" i="4"/>
  <c r="H5" i="1"/>
  <c r="A8" i="4" l="1"/>
  <c r="L208" i="1"/>
  <c r="A415" i="18" s="1"/>
  <c r="A8" i="18"/>
  <c r="I5" i="2"/>
  <c r="C8" i="4"/>
  <c r="C8" i="18"/>
  <c r="L209" i="1" l="1"/>
  <c r="A417" i="18" s="1"/>
  <c r="H209" i="1"/>
  <c r="K210" i="1"/>
  <c r="H210" i="1"/>
  <c r="I210" i="1"/>
  <c r="L210" i="1"/>
  <c r="A419" i="18" s="1"/>
  <c r="I209" i="2" l="1"/>
  <c r="C416" i="18"/>
  <c r="C416" i="4"/>
  <c r="I210" i="2"/>
  <c r="C418" i="18"/>
  <c r="C418" i="4"/>
  <c r="H210" i="2"/>
  <c r="A418" i="4"/>
  <c r="A418" i="18"/>
  <c r="B418" i="4"/>
  <c r="B418" i="18"/>
  <c r="K211" i="1"/>
  <c r="H211" i="1" l="1"/>
  <c r="L211" i="1"/>
  <c r="A421" i="18" s="1"/>
  <c r="I211" i="1"/>
  <c r="L11" i="1"/>
  <c r="K212" i="1"/>
  <c r="H11" i="1"/>
  <c r="H212" i="1"/>
  <c r="I11" i="1"/>
  <c r="B420" i="4"/>
  <c r="B420" i="18"/>
  <c r="I212" i="1" l="1"/>
  <c r="L212" i="1"/>
  <c r="A423" i="18" s="1"/>
  <c r="H211" i="2"/>
  <c r="A420" i="18"/>
  <c r="A420" i="4"/>
  <c r="C420" i="4"/>
  <c r="I211" i="2"/>
  <c r="C420" i="18"/>
  <c r="C20" i="18"/>
  <c r="I11" i="2"/>
  <c r="C20" i="4"/>
  <c r="B422" i="4"/>
  <c r="B422" i="18"/>
  <c r="C422" i="4"/>
  <c r="I212" i="2"/>
  <c r="C422" i="18"/>
  <c r="A20" i="18"/>
  <c r="A20" i="4"/>
  <c r="H11" i="2"/>
  <c r="A23" i="18"/>
  <c r="A21" i="18"/>
  <c r="H213" i="1"/>
  <c r="K213" i="1" l="1"/>
  <c r="L213" i="1"/>
  <c r="A425" i="18" s="1"/>
  <c r="I213" i="1"/>
  <c r="A422" i="18"/>
  <c r="H212" i="2"/>
  <c r="A422" i="4"/>
  <c r="C424" i="18"/>
  <c r="C424" i="4"/>
  <c r="I213" i="2"/>
  <c r="K214" i="1"/>
  <c r="I214" i="1" l="1"/>
  <c r="H214" i="1"/>
  <c r="L214" i="1"/>
  <c r="H213" i="2"/>
  <c r="A424" i="18"/>
  <c r="A424" i="4"/>
  <c r="B424" i="4"/>
  <c r="B424" i="18"/>
  <c r="H215" i="1"/>
  <c r="K215" i="1"/>
  <c r="B426" i="18"/>
  <c r="B426" i="4"/>
  <c r="L215" i="1"/>
  <c r="C426" i="18" l="1"/>
  <c r="I214" i="2"/>
  <c r="C426" i="4"/>
  <c r="I215" i="1"/>
  <c r="A426" i="18"/>
  <c r="H214" i="2"/>
  <c r="A426" i="4"/>
  <c r="B428" i="4"/>
  <c r="B428" i="18"/>
  <c r="A427" i="18"/>
  <c r="A429" i="18"/>
  <c r="C428" i="4"/>
  <c r="I215" i="2"/>
  <c r="C428" i="18"/>
  <c r="L216" i="1"/>
  <c r="A431" i="18" s="1"/>
  <c r="I216" i="1"/>
  <c r="H215" i="2" l="1"/>
  <c r="A428" i="18"/>
  <c r="A428" i="4"/>
  <c r="H216" i="1"/>
  <c r="K216" i="1"/>
  <c r="L217" i="1"/>
  <c r="A433" i="18" s="1"/>
  <c r="H217" i="1"/>
  <c r="H216" i="2"/>
  <c r="A430" i="4"/>
  <c r="A430" i="18"/>
  <c r="I217" i="1" l="1"/>
  <c r="K217" i="1"/>
  <c r="B430" i="4"/>
  <c r="B430" i="18"/>
  <c r="C430" i="4"/>
  <c r="I216" i="2"/>
  <c r="C430" i="18"/>
  <c r="C432" i="18"/>
  <c r="C432" i="4"/>
  <c r="I217" i="2"/>
  <c r="I218" i="1"/>
  <c r="A434" i="4" s="1"/>
  <c r="A27" i="18"/>
  <c r="C26" i="4"/>
  <c r="C26" i="18"/>
  <c r="A26" i="18"/>
  <c r="A26" i="4"/>
  <c r="H217" i="2" l="1"/>
  <c r="A432" i="4"/>
  <c r="A432" i="18"/>
  <c r="B432" i="18"/>
  <c r="B432" i="4"/>
  <c r="L218" i="1"/>
  <c r="A435" i="18" s="1"/>
  <c r="H218" i="1"/>
  <c r="K218" i="1"/>
  <c r="B434" i="18" s="1"/>
  <c r="A434" i="18"/>
  <c r="H218" i="2"/>
  <c r="H219" i="1"/>
  <c r="C434" i="4" l="1"/>
  <c r="C434" i="18"/>
  <c r="I218" i="2"/>
  <c r="B434" i="4"/>
  <c r="L219" i="1"/>
  <c r="A437" i="18" s="1"/>
  <c r="I219" i="1"/>
  <c r="C436" i="18"/>
  <c r="C436" i="4"/>
  <c r="I219" i="2"/>
  <c r="H220" i="1"/>
  <c r="K220" i="1"/>
  <c r="I220" i="1"/>
  <c r="L220" i="1" l="1"/>
  <c r="A439" i="18" s="1"/>
  <c r="H219" i="2"/>
  <c r="A436" i="18"/>
  <c r="A436" i="4"/>
  <c r="C438" i="18"/>
  <c r="I220" i="2"/>
  <c r="C438" i="4"/>
  <c r="I221" i="1"/>
  <c r="K8" i="1"/>
  <c r="A438" i="4"/>
  <c r="A438" i="18"/>
  <c r="H220" i="2"/>
  <c r="B438" i="4"/>
  <c r="B438" i="18"/>
  <c r="A440" i="18" l="1"/>
  <c r="A440" i="4"/>
  <c r="H221" i="2"/>
  <c r="K221" i="1"/>
  <c r="B440" i="4" s="1"/>
  <c r="H221" i="1"/>
  <c r="L221" i="1"/>
  <c r="A441" i="18" s="1"/>
  <c r="L222" i="1"/>
  <c r="A443" i="18" s="1"/>
  <c r="H8" i="1"/>
  <c r="I8" i="1"/>
  <c r="L8" i="1"/>
  <c r="A15" i="18" s="1" a="1"/>
  <c r="A15" i="18" s="1"/>
  <c r="H222" i="1"/>
  <c r="B14" i="4"/>
  <c r="B14" i="18"/>
  <c r="K222" i="1" l="1"/>
  <c r="B442" i="4" s="1"/>
  <c r="B440" i="18"/>
  <c r="I221" i="2"/>
  <c r="C440" i="4"/>
  <c r="C440" i="18"/>
  <c r="I223" i="1"/>
  <c r="A444" i="4" s="1"/>
  <c r="I222" i="1"/>
  <c r="H222" i="2" s="1"/>
  <c r="A14" i="18"/>
  <c r="H8" i="2"/>
  <c r="A14" i="4"/>
  <c r="C14" i="4"/>
  <c r="C14" i="18"/>
  <c r="I8" i="2"/>
  <c r="I222" i="2"/>
  <c r="C442" i="4"/>
  <c r="C442" i="18"/>
  <c r="B442" i="18" l="1"/>
  <c r="H223" i="1"/>
  <c r="L223" i="1"/>
  <c r="A445" i="18" s="1"/>
  <c r="K223" i="1"/>
  <c r="A444" i="18"/>
  <c r="A442" i="4"/>
  <c r="A442" i="18"/>
  <c r="H223" i="2"/>
  <c r="H224" i="1"/>
  <c r="I224" i="1"/>
  <c r="B444" i="4" l="1"/>
  <c r="B444" i="18"/>
  <c r="L224" i="1"/>
  <c r="A447" i="18" s="1"/>
  <c r="K224" i="1"/>
  <c r="I223" i="2"/>
  <c r="C444" i="18"/>
  <c r="C444" i="4"/>
  <c r="C446" i="18"/>
  <c r="I224" i="2"/>
  <c r="C446" i="4"/>
  <c r="A446" i="4"/>
  <c r="H224" i="2"/>
  <c r="A446" i="18"/>
  <c r="K225" i="1"/>
  <c r="B448" i="18" s="1"/>
  <c r="L225" i="1"/>
  <c r="A449" i="18" s="1"/>
  <c r="B448" i="4" l="1"/>
  <c r="B446" i="18"/>
  <c r="B446" i="4"/>
  <c r="I225" i="1"/>
  <c r="H225" i="1"/>
  <c r="L226" i="1"/>
  <c r="A451" i="18" s="1"/>
  <c r="C448" i="18" l="1"/>
  <c r="I225" i="2"/>
  <c r="C448" i="4"/>
  <c r="A448" i="18"/>
  <c r="A448" i="4"/>
  <c r="H225" i="2"/>
  <c r="K226" i="1"/>
  <c r="I226" i="1"/>
  <c r="K227" i="1"/>
  <c r="B452" i="18" s="1"/>
  <c r="H226" i="1"/>
  <c r="C450" i="4" s="1"/>
  <c r="L227" i="1"/>
  <c r="A453" i="18" s="1"/>
  <c r="I226" i="2" l="1"/>
  <c r="C450" i="18"/>
  <c r="B452" i="4"/>
  <c r="B450" i="18"/>
  <c r="B450" i="4"/>
  <c r="I227" i="1"/>
  <c r="H227" i="1"/>
  <c r="A450" i="4"/>
  <c r="A450" i="18"/>
  <c r="H226" i="2"/>
  <c r="K11" i="1"/>
  <c r="K13" i="1"/>
  <c r="H156" i="1"/>
  <c r="L180" i="1"/>
  <c r="A359" i="18" s="1"/>
  <c r="H195" i="1"/>
  <c r="L197" i="1"/>
  <c r="A393" i="18" s="1"/>
  <c r="K219" i="1"/>
  <c r="H228" i="1"/>
  <c r="L228" i="1"/>
  <c r="A455" i="18" s="1"/>
  <c r="K228" i="1"/>
  <c r="I227" i="2" l="1"/>
  <c r="C452" i="18"/>
  <c r="C452" i="4"/>
  <c r="H227" i="2"/>
  <c r="A452" i="4"/>
  <c r="A452" i="18"/>
  <c r="I228" i="1"/>
  <c r="B436" i="18"/>
  <c r="B436" i="4"/>
  <c r="B26" i="4"/>
  <c r="B26" i="18"/>
  <c r="B20" i="18"/>
  <c r="B20" i="4"/>
  <c r="C454" i="18"/>
  <c r="C454" i="4"/>
  <c r="I228" i="2"/>
  <c r="I195" i="2"/>
  <c r="C388" i="4"/>
  <c r="C388" i="18"/>
  <c r="I156" i="2"/>
  <c r="C310" i="4"/>
  <c r="C310" i="18"/>
  <c r="B454" i="18"/>
  <c r="B454" i="4"/>
  <c r="B24" i="4"/>
  <c r="B24" i="18"/>
  <c r="K229" i="1" l="1"/>
  <c r="I7" i="1"/>
  <c r="H229" i="1"/>
  <c r="L229" i="1"/>
  <c r="A457" i="18" s="1"/>
  <c r="I229" i="1"/>
  <c r="L230" i="1"/>
  <c r="A459" i="18" s="1"/>
  <c r="H7" i="1"/>
  <c r="K7" i="1"/>
  <c r="L7" i="1"/>
  <c r="A13" i="18" s="1" a="1"/>
  <c r="A13" i="18" s="1"/>
  <c r="A454" i="18"/>
  <c r="H228" i="2"/>
  <c r="A454" i="4"/>
  <c r="C12" i="18" l="1"/>
  <c r="I7" i="2"/>
  <c r="C12" i="4"/>
  <c r="C456" i="4"/>
  <c r="I229" i="2"/>
  <c r="C456" i="18"/>
  <c r="B12" i="4"/>
  <c r="B12" i="18"/>
  <c r="B456" i="18"/>
  <c r="B456" i="4"/>
  <c r="A456" i="18"/>
  <c r="H229" i="2"/>
  <c r="A456" i="4"/>
  <c r="A12" i="4"/>
  <c r="A12" i="18"/>
  <c r="H7" i="2"/>
  <c r="H230" i="1"/>
  <c r="K230" i="1"/>
  <c r="I230" i="1"/>
  <c r="A458" i="18" l="1"/>
  <c r="A458" i="4"/>
  <c r="H230" i="2"/>
  <c r="B458" i="18"/>
  <c r="B458" i="4"/>
  <c r="C458" i="4"/>
  <c r="I230" i="2"/>
  <c r="C458" i="18"/>
  <c r="L232" i="1"/>
  <c r="A463" i="18" s="1"/>
  <c r="L231" i="1"/>
  <c r="A461" i="18" s="1"/>
  <c r="H231" i="1"/>
  <c r="H232" i="1"/>
  <c r="I231" i="1"/>
  <c r="K231" i="1"/>
  <c r="K232" i="1"/>
  <c r="I232" i="1"/>
  <c r="A460" i="4" l="1"/>
  <c r="H231" i="2"/>
  <c r="A460" i="18"/>
  <c r="A462" i="18"/>
  <c r="A462" i="4"/>
  <c r="H232" i="2"/>
  <c r="B460" i="4"/>
  <c r="B460" i="18"/>
  <c r="I232" i="2"/>
  <c r="C462" i="18"/>
  <c r="C462" i="4"/>
  <c r="I231" i="2"/>
  <c r="C460" i="18"/>
  <c r="C460" i="4"/>
  <c r="B462" i="18"/>
  <c r="B462" i="4"/>
  <c r="H233" i="1"/>
  <c r="C464" i="4" l="1"/>
  <c r="C464" i="18"/>
  <c r="I233" i="2"/>
  <c r="H234" i="1"/>
  <c r="I234" i="1"/>
  <c r="L233" i="1"/>
  <c r="A465" i="18" s="1"/>
  <c r="K233" i="1"/>
  <c r="I233" i="1"/>
  <c r="A464" i="4" l="1"/>
  <c r="H233" i="2"/>
  <c r="A464" i="18"/>
  <c r="K234" i="1"/>
  <c r="L234" i="1"/>
  <c r="A467" i="18" s="1"/>
  <c r="H235" i="1"/>
  <c r="B464" i="4"/>
  <c r="B464" i="18"/>
  <c r="A466" i="4"/>
  <c r="H234" i="2"/>
  <c r="A466" i="18"/>
  <c r="C466" i="18"/>
  <c r="I234" i="2"/>
  <c r="C466" i="4"/>
  <c r="C468" i="4" l="1"/>
  <c r="I235" i="2"/>
  <c r="C468" i="18"/>
  <c r="K235" i="1"/>
  <c r="I235" i="1"/>
  <c r="L235" i="1"/>
  <c r="A469" i="18" s="1"/>
  <c r="I236" i="1"/>
  <c r="B466" i="18"/>
  <c r="B466" i="4"/>
  <c r="A470" i="4" l="1"/>
  <c r="H236" i="2"/>
  <c r="A470" i="18"/>
  <c r="A468" i="18"/>
  <c r="H235" i="2"/>
  <c r="A468" i="4"/>
  <c r="H237" i="1"/>
  <c r="H236" i="1"/>
  <c r="K236" i="1"/>
  <c r="L236" i="1"/>
  <c r="A471" i="18" s="1"/>
  <c r="B468" i="18"/>
  <c r="B468" i="4"/>
  <c r="K251" i="1" l="1"/>
  <c r="K244" i="1"/>
  <c r="L238" i="1"/>
  <c r="A475" i="18" s="1"/>
  <c r="L239" i="1"/>
  <c r="A477" i="18" s="1"/>
  <c r="L250" i="1"/>
  <c r="A499" i="18" s="1"/>
  <c r="I241" i="1"/>
  <c r="K239" i="1"/>
  <c r="K240" i="1"/>
  <c r="L246" i="1"/>
  <c r="A491" i="18" s="1"/>
  <c r="I237" i="1"/>
  <c r="I247" i="1"/>
  <c r="H244" i="1"/>
  <c r="L253" i="1"/>
  <c r="A505" i="18" s="1"/>
  <c r="L245" i="1"/>
  <c r="A489" i="18" s="1"/>
  <c r="L241" i="1"/>
  <c r="K245" i="1"/>
  <c r="K249" i="1"/>
  <c r="K252" i="1"/>
  <c r="H243" i="1"/>
  <c r="K247" i="1"/>
  <c r="K246" i="1"/>
  <c r="I242" i="1"/>
  <c r="I250" i="1"/>
  <c r="H240" i="1"/>
  <c r="H245" i="1"/>
  <c r="H241" i="1"/>
  <c r="I239" i="1"/>
  <c r="H247" i="1"/>
  <c r="L243" i="1"/>
  <c r="A483" i="18" s="1"/>
  <c r="L242" i="1"/>
  <c r="A481" i="18" s="1"/>
  <c r="H251" i="1"/>
  <c r="L249" i="1"/>
  <c r="A497" i="18" s="1"/>
  <c r="L258" i="1"/>
  <c r="A515" i="18" s="1"/>
  <c r="K243" i="1"/>
  <c r="L248" i="1"/>
  <c r="A495" i="18" s="1"/>
  <c r="H250" i="1"/>
  <c r="H238" i="1"/>
  <c r="I251" i="1"/>
  <c r="L6" i="1"/>
  <c r="A11" i="18" s="1"/>
  <c r="L237" i="1"/>
  <c r="A473" i="18" s="1"/>
  <c r="K237" i="1"/>
  <c r="L251" i="1"/>
  <c r="A501" i="18" s="1"/>
  <c r="I248" i="1"/>
  <c r="H6" i="1"/>
  <c r="I246" i="1"/>
  <c r="K238" i="1"/>
  <c r="I238" i="1"/>
  <c r="K250" i="1"/>
  <c r="I243" i="1"/>
  <c r="H249" i="1"/>
  <c r="H239" i="1"/>
  <c r="K242" i="1"/>
  <c r="C470" i="4"/>
  <c r="C470" i="18"/>
  <c r="I236" i="2"/>
  <c r="C472" i="4"/>
  <c r="I237" i="2"/>
  <c r="C472" i="18"/>
  <c r="B470" i="18"/>
  <c r="B470" i="4"/>
  <c r="K253" i="1" l="1"/>
  <c r="K258" i="1"/>
  <c r="L254" i="1"/>
  <c r="A507" i="18" s="1"/>
  <c r="I252" i="1"/>
  <c r="K259" i="1"/>
  <c r="B516" i="18" s="1"/>
  <c r="K254" i="1"/>
  <c r="I256" i="1"/>
  <c r="A510" i="18" s="1"/>
  <c r="I259" i="1"/>
  <c r="A516" i="18" s="1"/>
  <c r="L259" i="1"/>
  <c r="A517" i="18" s="1"/>
  <c r="I254" i="1"/>
  <c r="H257" i="1"/>
  <c r="I260" i="1"/>
  <c r="H258" i="1"/>
  <c r="H3" i="1"/>
  <c r="L257" i="1"/>
  <c r="A513" i="18" s="1"/>
  <c r="L255" i="1"/>
  <c r="A509" i="18" s="1"/>
  <c r="H253" i="1"/>
  <c r="L256" i="1"/>
  <c r="A511" i="18" s="1"/>
  <c r="H254" i="1"/>
  <c r="K257" i="1"/>
  <c r="B514" i="18" s="1"/>
  <c r="H259" i="1"/>
  <c r="C516" i="18" s="1"/>
  <c r="H252" i="1"/>
  <c r="I257" i="1"/>
  <c r="I255" i="1"/>
  <c r="I253" i="1"/>
  <c r="K256" i="1"/>
  <c r="B510" i="4" s="1"/>
  <c r="H255" i="1"/>
  <c r="L252" i="1"/>
  <c r="A503" i="18" s="1"/>
  <c r="I258" i="1"/>
  <c r="A514" i="18" s="1"/>
  <c r="I3" i="1"/>
  <c r="B482" i="4"/>
  <c r="B482" i="18"/>
  <c r="B498" i="18"/>
  <c r="B498" i="4"/>
  <c r="A476" i="18"/>
  <c r="A476" i="4"/>
  <c r="H239" i="2"/>
  <c r="A472" i="18"/>
  <c r="H237" i="2"/>
  <c r="A472" i="4"/>
  <c r="A474" i="4"/>
  <c r="A474" i="18"/>
  <c r="H238" i="2"/>
  <c r="H251" i="2"/>
  <c r="A500" i="18"/>
  <c r="A500" i="4"/>
  <c r="B492" i="18"/>
  <c r="B492" i="4"/>
  <c r="B488" i="18"/>
  <c r="B488" i="4"/>
  <c r="B472" i="4"/>
  <c r="B472" i="18"/>
  <c r="A498" i="18"/>
  <c r="H250" i="2"/>
  <c r="A498" i="4"/>
  <c r="B478" i="18"/>
  <c r="B478" i="4"/>
  <c r="C496" i="4"/>
  <c r="I249" i="2"/>
  <c r="C496" i="18"/>
  <c r="C500" i="4"/>
  <c r="I251" i="2"/>
  <c r="C500" i="18"/>
  <c r="C480" i="4"/>
  <c r="C480" i="18"/>
  <c r="I241" i="2"/>
  <c r="I243" i="2"/>
  <c r="C484" i="18"/>
  <c r="C484" i="4"/>
  <c r="B476" i="4"/>
  <c r="B476" i="18"/>
  <c r="C10" i="4"/>
  <c r="C10" i="18"/>
  <c r="I6" i="2"/>
  <c r="I250" i="2"/>
  <c r="C498" i="4"/>
  <c r="C498" i="18"/>
  <c r="B490" i="18"/>
  <c r="B490" i="4"/>
  <c r="B496" i="4"/>
  <c r="B496" i="18"/>
  <c r="B486" i="18"/>
  <c r="B486" i="4"/>
  <c r="C488" i="18"/>
  <c r="I245" i="2"/>
  <c r="C488" i="4"/>
  <c r="C486" i="4"/>
  <c r="C486" i="18"/>
  <c r="I244" i="2"/>
  <c r="H246" i="2"/>
  <c r="A490" i="4"/>
  <c r="A490" i="18"/>
  <c r="C474" i="4"/>
  <c r="I238" i="2"/>
  <c r="C474" i="18"/>
  <c r="C492" i="18"/>
  <c r="C492" i="4"/>
  <c r="I247" i="2"/>
  <c r="A482" i="4"/>
  <c r="H242" i="2"/>
  <c r="A482" i="18"/>
  <c r="B502" i="4"/>
  <c r="B502" i="18"/>
  <c r="I239" i="2"/>
  <c r="C476" i="18"/>
  <c r="C476" i="4"/>
  <c r="A484" i="18"/>
  <c r="H243" i="2"/>
  <c r="A484" i="4"/>
  <c r="H248" i="2"/>
  <c r="A494" i="4"/>
  <c r="A494" i="18"/>
  <c r="B474" i="4"/>
  <c r="B474" i="18"/>
  <c r="B484" i="18"/>
  <c r="B484" i="4"/>
  <c r="I240" i="2"/>
  <c r="C478" i="18"/>
  <c r="C478" i="4"/>
  <c r="A492" i="18"/>
  <c r="A492" i="4"/>
  <c r="H247" i="2"/>
  <c r="B500" i="18"/>
  <c r="B500" i="4"/>
  <c r="A480" i="18"/>
  <c r="H241" i="2"/>
  <c r="A480" i="4"/>
  <c r="I6" i="1"/>
  <c r="I244" i="1"/>
  <c r="H242" i="1"/>
  <c r="H260" i="1"/>
  <c r="H256" i="1"/>
  <c r="L240" i="1"/>
  <c r="A479" i="18" s="1"/>
  <c r="H246" i="1"/>
  <c r="I245" i="1"/>
  <c r="I249" i="1"/>
  <c r="K255" i="1"/>
  <c r="L244" i="1"/>
  <c r="H248" i="1"/>
  <c r="L247" i="1"/>
  <c r="A493" i="18" s="1"/>
  <c r="I240" i="1"/>
  <c r="K248" i="1"/>
  <c r="K241" i="1"/>
  <c r="K6" i="1"/>
  <c r="B514" i="4" l="1"/>
  <c r="H260" i="2"/>
  <c r="A518" i="18"/>
  <c r="I258" i="2"/>
  <c r="C514" i="18"/>
  <c r="I260" i="2"/>
  <c r="C518" i="18"/>
  <c r="B516" i="4"/>
  <c r="B518" i="4"/>
  <c r="A516" i="4"/>
  <c r="H259" i="2"/>
  <c r="I259" i="2"/>
  <c r="B504" i="4"/>
  <c r="B504" i="18"/>
  <c r="A506" i="4"/>
  <c r="H254" i="2"/>
  <c r="A506" i="18"/>
  <c r="C512" i="4"/>
  <c r="I257" i="2"/>
  <c r="C512" i="18"/>
  <c r="I252" i="2"/>
  <c r="C502" i="18"/>
  <c r="C502" i="4"/>
  <c r="H255" i="2"/>
  <c r="A508" i="4"/>
  <c r="A508" i="18"/>
  <c r="C508" i="4"/>
  <c r="I255" i="2"/>
  <c r="C508" i="18"/>
  <c r="B506" i="18"/>
  <c r="B506" i="4"/>
  <c r="H257" i="2"/>
  <c r="A512" i="4"/>
  <c r="A502" i="4"/>
  <c r="H252" i="2"/>
  <c r="A502" i="18"/>
  <c r="C4" i="4"/>
  <c r="C4" i="18"/>
  <c r="I3" i="2"/>
  <c r="I253" i="2"/>
  <c r="C504" i="18"/>
  <c r="C504" i="4"/>
  <c r="I254" i="2"/>
  <c r="C506" i="18"/>
  <c r="C506" i="4"/>
  <c r="B512" i="18"/>
  <c r="B512" i="4"/>
  <c r="H253" i="2"/>
  <c r="A504" i="18"/>
  <c r="A504" i="4"/>
  <c r="A514" i="4"/>
  <c r="H258" i="2"/>
  <c r="H3" i="2"/>
  <c r="A4" i="18"/>
  <c r="A4" i="4"/>
  <c r="A518" i="4"/>
  <c r="C516" i="4"/>
  <c r="C514" i="4"/>
  <c r="A510" i="4"/>
  <c r="H256" i="2"/>
  <c r="B510" i="18"/>
  <c r="A512" i="18"/>
  <c r="I246" i="2"/>
  <c r="C490" i="4"/>
  <c r="C490" i="18"/>
  <c r="C482" i="18"/>
  <c r="I242" i="2"/>
  <c r="C482" i="4"/>
  <c r="B480" i="18"/>
  <c r="B480" i="4"/>
  <c r="A485" i="18"/>
  <c r="A487" i="18"/>
  <c r="B494" i="4"/>
  <c r="B494" i="18"/>
  <c r="A496" i="18"/>
  <c r="A496" i="4"/>
  <c r="H249" i="2"/>
  <c r="A486" i="18"/>
  <c r="H244" i="2"/>
  <c r="A486" i="4"/>
  <c r="A478" i="18"/>
  <c r="H240" i="2"/>
  <c r="A478" i="4"/>
  <c r="H245" i="2"/>
  <c r="A488" i="18"/>
  <c r="A488" i="4"/>
  <c r="H6" i="2"/>
  <c r="A10" i="4"/>
  <c r="A10" i="18"/>
  <c r="B10" i="18"/>
  <c r="B10" i="4"/>
  <c r="B508" i="18"/>
  <c r="B508" i="4"/>
  <c r="C510" i="4"/>
  <c r="C510" i="18"/>
  <c r="I256" i="2"/>
  <c r="C494" i="4"/>
  <c r="I248" i="2"/>
  <c r="C494" i="18"/>
  <c r="C518" i="4"/>
  <c r="E35" i="3"/>
  <c r="H237" i="8"/>
  <c r="H34" i="8"/>
  <c r="H46" i="1"/>
  <c r="H164" i="1"/>
  <c r="H12" i="1"/>
  <c r="H280" i="8" l="1"/>
  <c r="H208" i="1"/>
  <c r="H246" i="8"/>
  <c r="H174" i="1"/>
  <c r="C90" i="18"/>
  <c r="I46" i="2"/>
  <c r="C90" i="4"/>
  <c r="I164" i="2"/>
  <c r="C326" i="18"/>
  <c r="C326" i="4"/>
  <c r="I12" i="2"/>
  <c r="C22" i="18"/>
  <c r="C22" i="4"/>
  <c r="D174" i="3"/>
  <c r="K186" i="1" s="1"/>
  <c r="C414" i="4" l="1"/>
  <c r="C414" i="18"/>
  <c r="I208" i="2"/>
  <c r="I174" i="2"/>
  <c r="C346" i="18"/>
  <c r="C346" i="4"/>
  <c r="B370" i="4"/>
  <c r="B370" i="18"/>
  <c r="C174" i="3"/>
  <c r="E174" i="3"/>
  <c r="H244" i="8" l="1"/>
  <c r="H171" i="1"/>
  <c r="H247" i="8"/>
  <c r="H173" i="1"/>
  <c r="G258" i="8"/>
  <c r="I186" i="1"/>
  <c r="H258" i="8"/>
  <c r="H186" i="1"/>
  <c r="G248" i="8"/>
  <c r="H175" i="1"/>
  <c r="H248" i="8"/>
  <c r="C340" i="18" l="1"/>
  <c r="C340" i="4"/>
  <c r="I171" i="2"/>
  <c r="I173" i="2"/>
  <c r="C344" i="18"/>
  <c r="C344" i="4"/>
  <c r="A370" i="18"/>
  <c r="A370" i="4"/>
  <c r="H186" i="2"/>
  <c r="I186" i="2"/>
  <c r="C370" i="4"/>
  <c r="C370" i="18"/>
  <c r="C348" i="18"/>
  <c r="C348" i="4"/>
  <c r="I175" i="2"/>
  <c r="I73" i="1"/>
  <c r="A144" i="18" s="1"/>
  <c r="I118" i="1"/>
  <c r="G29" i="8"/>
  <c r="K118" i="1"/>
  <c r="K73" i="1"/>
  <c r="I46" i="1"/>
  <c r="I60" i="1"/>
  <c r="K46" i="1"/>
  <c r="I12" i="1"/>
  <c r="A22" i="4" s="1"/>
  <c r="G107" i="8"/>
  <c r="I41" i="1"/>
  <c r="H41" i="2" s="1"/>
  <c r="I164" i="1"/>
  <c r="H164" i="2" s="1"/>
  <c r="K164" i="1"/>
  <c r="K94" i="1"/>
  <c r="K12" i="1"/>
  <c r="K41" i="1"/>
  <c r="I94" i="1"/>
  <c r="I163" i="1"/>
  <c r="K163" i="1"/>
  <c r="G237" i="8"/>
  <c r="K60" i="1"/>
  <c r="G236" i="8"/>
  <c r="G34" i="8"/>
  <c r="B324" i="4" l="1"/>
  <c r="B324" i="18"/>
  <c r="B234" i="18"/>
  <c r="B234" i="4"/>
  <c r="B118" i="18"/>
  <c r="B118" i="4"/>
  <c r="B80" i="4"/>
  <c r="B80" i="18"/>
  <c r="A186" i="18"/>
  <c r="A186" i="4"/>
  <c r="H94" i="2"/>
  <c r="H163" i="2"/>
  <c r="A324" i="18"/>
  <c r="A324" i="4"/>
  <c r="A144" i="4"/>
  <c r="H73" i="2"/>
  <c r="H118" i="2"/>
  <c r="A234" i="4"/>
  <c r="A234" i="18"/>
  <c r="B144" i="18"/>
  <c r="B144" i="4"/>
  <c r="A90" i="4"/>
  <c r="A90" i="18"/>
  <c r="H46" i="2"/>
  <c r="A118" i="4"/>
  <c r="A118" i="18"/>
  <c r="H60" i="2"/>
  <c r="B90" i="4"/>
  <c r="B90" i="18"/>
  <c r="H12" i="2"/>
  <c r="A22" i="18"/>
  <c r="A80" i="4"/>
  <c r="A80" i="18"/>
  <c r="A326" i="18"/>
  <c r="A326" i="4"/>
  <c r="B326" i="4"/>
  <c r="B326" i="18"/>
  <c r="B186" i="4"/>
  <c r="B186" i="18"/>
  <c r="B22" i="18"/>
  <c r="B22" i="4"/>
  <c r="I48" i="1"/>
  <c r="H48" i="2" s="1"/>
  <c r="K99" i="1"/>
  <c r="I209" i="1"/>
  <c r="A416" i="4" s="1"/>
  <c r="K175" i="1"/>
  <c r="I99" i="1"/>
  <c r="A196" i="18" s="1"/>
  <c r="K126" i="1"/>
  <c r="K209" i="1"/>
  <c r="K62" i="1"/>
  <c r="I126" i="1"/>
  <c r="K76" i="1"/>
  <c r="I62" i="1"/>
  <c r="K48" i="1"/>
  <c r="I76" i="1"/>
  <c r="I175" i="1"/>
  <c r="B196" i="18" l="1"/>
  <c r="B196" i="4"/>
  <c r="B94" i="18"/>
  <c r="B94" i="4"/>
  <c r="A94" i="18"/>
  <c r="A94" i="4"/>
  <c r="H209" i="2"/>
  <c r="A416" i="18"/>
  <c r="B348" i="18"/>
  <c r="B348" i="4"/>
  <c r="B250" i="18"/>
  <c r="B250" i="4"/>
  <c r="B416" i="18"/>
  <c r="B416" i="4"/>
  <c r="A348" i="4"/>
  <c r="A348" i="18"/>
  <c r="H175" i="2"/>
  <c r="H99" i="2"/>
  <c r="A196" i="4"/>
  <c r="B122" i="18"/>
  <c r="B122" i="4"/>
  <c r="H126" i="2"/>
  <c r="A250" i="18"/>
  <c r="A250" i="4"/>
  <c r="B150" i="18"/>
  <c r="B150" i="4"/>
  <c r="A122" i="4"/>
  <c r="A122" i="18"/>
  <c r="H62" i="2"/>
  <c r="A150" i="4"/>
  <c r="H76" i="2"/>
  <c r="A150" i="18"/>
  <c r="G86" i="8"/>
  <c r="G247" i="8"/>
  <c r="G49" i="8"/>
  <c r="G113" i="8"/>
  <c r="G281" i="8"/>
  <c r="G35" i="8"/>
  <c r="G63" i="8"/>
  <c r="E30" i="3"/>
  <c r="H4" i="1" s="1"/>
  <c r="D30" i="3"/>
  <c r="K4" i="1" s="1"/>
  <c r="K43" i="1"/>
  <c r="C30" i="3"/>
  <c r="I43" i="1"/>
  <c r="H4" i="2" l="1"/>
  <c r="C6" i="18"/>
  <c r="C6" i="4"/>
  <c r="B4" i="4"/>
  <c r="B6" i="18"/>
  <c r="B6" i="4"/>
  <c r="B4" i="18"/>
  <c r="G30" i="8"/>
  <c r="I4" i="1"/>
  <c r="B84" i="18"/>
  <c r="B84" i="4"/>
  <c r="A84" i="4"/>
  <c r="A84" i="18"/>
  <c r="H43" i="2"/>
  <c r="H43" i="1"/>
  <c r="H30" i="8"/>
  <c r="A6" i="4" l="1"/>
  <c r="A6" i="18"/>
  <c r="I4" i="2"/>
  <c r="C84" i="18"/>
  <c r="C84" i="4"/>
  <c r="I43" i="2"/>
  <c r="K75" i="1"/>
  <c r="K61" i="1"/>
  <c r="I98" i="1"/>
  <c r="K174" i="1"/>
  <c r="I125" i="1"/>
  <c r="K125" i="1"/>
  <c r="I208" i="1"/>
  <c r="I75" i="1"/>
  <c r="A148" i="4" s="1"/>
  <c r="I61" i="1"/>
  <c r="H61" i="2" s="1"/>
  <c r="K98" i="1"/>
  <c r="I174" i="1"/>
  <c r="K208" i="1"/>
  <c r="A414" i="18" l="1"/>
  <c r="H208" i="2"/>
  <c r="A414" i="4"/>
  <c r="B120" i="4"/>
  <c r="B120" i="18"/>
  <c r="A194" i="18"/>
  <c r="A194" i="4"/>
  <c r="H98" i="2"/>
  <c r="H125" i="2"/>
  <c r="A248" i="18"/>
  <c r="A248" i="4"/>
  <c r="B248" i="18"/>
  <c r="B248" i="4"/>
  <c r="B414" i="4"/>
  <c r="B414" i="18"/>
  <c r="B148" i="4"/>
  <c r="B148" i="18"/>
  <c r="B346" i="18"/>
  <c r="B346" i="4"/>
  <c r="A148" i="18"/>
  <c r="H75" i="2"/>
  <c r="A120" i="4"/>
  <c r="A120" i="18"/>
  <c r="B194" i="4"/>
  <c r="B194" i="18"/>
  <c r="A346" i="18"/>
  <c r="A346" i="4"/>
  <c r="H174" i="2"/>
  <c r="G280" i="8"/>
  <c r="G85" i="8"/>
  <c r="G112" i="8"/>
  <c r="G62" i="8"/>
  <c r="G48" i="8"/>
  <c r="G246" i="8"/>
  <c r="K74" i="1"/>
  <c r="I74" i="1"/>
  <c r="K124" i="1"/>
  <c r="K207" i="1"/>
  <c r="I207" i="1"/>
  <c r="K97" i="1"/>
  <c r="K173" i="1"/>
  <c r="I124" i="1"/>
  <c r="H124" i="2" s="1"/>
  <c r="I173" i="1"/>
  <c r="I97" i="1"/>
  <c r="H207" i="2" l="1"/>
  <c r="A412" i="4"/>
  <c r="A412" i="18"/>
  <c r="B146" i="4"/>
  <c r="B146" i="18"/>
  <c r="H97" i="2"/>
  <c r="A192" i="4"/>
  <c r="A192" i="18"/>
  <c r="H74" i="2"/>
  <c r="A146" i="18"/>
  <c r="A146" i="4"/>
  <c r="B246" i="18"/>
  <c r="B246" i="4"/>
  <c r="B412" i="18"/>
  <c r="B412" i="4"/>
  <c r="B192" i="18"/>
  <c r="B192" i="4"/>
  <c r="B344" i="4"/>
  <c r="B344" i="18"/>
  <c r="A246" i="4"/>
  <c r="A246" i="18"/>
  <c r="H173" i="2"/>
  <c r="A344" i="18"/>
  <c r="A344" i="4"/>
  <c r="G245" i="8"/>
  <c r="G279" i="8"/>
  <c r="G111" i="8"/>
  <c r="G84" i="8"/>
  <c r="G61" i="8"/>
  <c r="K96" i="1"/>
  <c r="K172" i="1"/>
  <c r="I206" i="1"/>
  <c r="I96" i="1"/>
  <c r="H96" i="2" s="1"/>
  <c r="K206" i="1"/>
  <c r="I172" i="1"/>
  <c r="A342" i="4" s="1"/>
  <c r="I123" i="1"/>
  <c r="K123" i="1"/>
  <c r="B190" i="18" l="1"/>
  <c r="B190" i="4"/>
  <c r="B342" i="4"/>
  <c r="B342" i="18"/>
  <c r="H206" i="2"/>
  <c r="A410" i="18"/>
  <c r="A410" i="4"/>
  <c r="A190" i="18"/>
  <c r="A190" i="4"/>
  <c r="B410" i="4"/>
  <c r="B410" i="18"/>
  <c r="A342" i="18"/>
  <c r="H172" i="2"/>
  <c r="A244" i="4"/>
  <c r="H123" i="2"/>
  <c r="A244" i="18"/>
  <c r="B244" i="4"/>
  <c r="B244" i="18"/>
  <c r="G244" i="8"/>
  <c r="G83" i="8"/>
  <c r="G110" i="8"/>
  <c r="G278" i="8"/>
  <c r="K122" i="1"/>
  <c r="I122" i="1"/>
  <c r="I205" i="1"/>
  <c r="K205" i="1"/>
  <c r="I171" i="1"/>
  <c r="K171" i="1"/>
  <c r="B242" i="4" l="1"/>
  <c r="B242" i="18"/>
  <c r="A242" i="18"/>
  <c r="A242" i="4"/>
  <c r="H122" i="2"/>
  <c r="B408" i="18"/>
  <c r="B408" i="4"/>
  <c r="H205" i="2"/>
  <c r="A408" i="18"/>
  <c r="A408" i="4"/>
  <c r="A340" i="18"/>
  <c r="H171" i="2"/>
  <c r="A340" i="4"/>
  <c r="B340" i="4"/>
  <c r="B340" i="18"/>
  <c r="G243" i="8"/>
  <c r="G277" i="8"/>
  <c r="G109" i="8"/>
  <c r="I204" i="1"/>
  <c r="A406" i="4" s="1"/>
  <c r="K204" i="1"/>
  <c r="K170" i="1"/>
  <c r="I170" i="1"/>
  <c r="H204" i="2" l="1"/>
  <c r="A406" i="18"/>
  <c r="B406" i="18"/>
  <c r="B406" i="4"/>
  <c r="B338" i="4"/>
  <c r="B338" i="18"/>
  <c r="H170" i="2"/>
  <c r="A338" i="18"/>
  <c r="A338" i="4"/>
  <c r="G276" i="8"/>
  <c r="G242" i="8"/>
  <c r="I203" i="1"/>
  <c r="K203" i="1"/>
  <c r="K169" i="1"/>
  <c r="I169" i="1"/>
  <c r="H169" i="2" l="1"/>
  <c r="A336" i="18"/>
  <c r="A336" i="4"/>
  <c r="A404" i="18"/>
  <c r="A404" i="4"/>
  <c r="H203" i="2"/>
  <c r="B404" i="4"/>
  <c r="B404" i="18"/>
  <c r="B336" i="4"/>
  <c r="B336" i="18"/>
  <c r="G241" i="8"/>
  <c r="G275" i="8"/>
  <c r="C161" i="11"/>
  <c r="D161" i="11"/>
  <c r="D161" i="3" s="1"/>
  <c r="C161" i="3" l="1"/>
  <c r="E161" i="11"/>
  <c r="E161" i="3" s="1"/>
  <c r="C162" i="11"/>
  <c r="D162" i="11"/>
  <c r="D162" i="3" s="1"/>
  <c r="C162" i="3" l="1"/>
  <c r="E162" i="11"/>
  <c r="E162" i="3" s="1"/>
  <c r="I202" i="1"/>
  <c r="H202" i="2" s="1"/>
  <c r="K202" i="1"/>
  <c r="A402" i="18" l="1"/>
  <c r="A402" i="4"/>
  <c r="B402" i="18"/>
  <c r="B402" i="4"/>
  <c r="G274" i="8"/>
  <c r="C196" i="11"/>
  <c r="D196" i="11"/>
  <c r="D196" i="3" s="1"/>
  <c r="K201" i="1" s="1"/>
  <c r="I201" i="1"/>
  <c r="E196" i="11" l="1"/>
  <c r="E196" i="3" s="1"/>
  <c r="C196" i="3"/>
  <c r="G273" i="8" s="1"/>
  <c r="H201" i="1"/>
  <c r="H273" i="8"/>
  <c r="B400" i="4"/>
  <c r="B400" i="18"/>
  <c r="H201" i="2"/>
  <c r="A400" i="18"/>
  <c r="A400" i="4"/>
  <c r="C400" i="4" l="1"/>
  <c r="I201" i="2"/>
  <c r="C400" i="18"/>
  <c r="I274" i="1" l="1"/>
  <c r="C49" i="11"/>
  <c r="C63" i="11"/>
  <c r="C35" i="11"/>
  <c r="D35" i="11"/>
  <c r="C86" i="11"/>
  <c r="C86" i="3"/>
  <c r="D63" i="11"/>
  <c r="D63" i="3"/>
  <c r="C113" i="11"/>
  <c r="C63" i="3"/>
  <c r="D49" i="11"/>
  <c r="D113" i="11"/>
  <c r="D49" i="3"/>
  <c r="D113" i="3"/>
  <c r="C35" i="3"/>
  <c r="C113" i="3"/>
  <c r="D35" i="3"/>
  <c r="C49" i="3"/>
  <c r="D86" i="11"/>
  <c r="D8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<sst xmlns="http://schemas.openxmlformats.org/spreadsheetml/2006/main" count="3978" uniqueCount="482">
  <si>
    <t>DIRECTIONS FOR SPREADSHEET USE</t>
  </si>
  <si>
    <t>MAKE SURE TO SAVE THIS SPREADSHEET AS A DIFFERENT NAME.</t>
  </si>
  <si>
    <t>This spreadsheet can handle up to 416 students.</t>
  </si>
  <si>
    <t>Cell E22 must be filled out with the number of students walking on Class Day</t>
  </si>
  <si>
    <t>Eliminate all rows after the last name.</t>
  </si>
  <si>
    <t>Notes:</t>
  </si>
  <si>
    <t xml:space="preserve">New for 2015 </t>
  </si>
  <si>
    <t>NO ROOM FOR BAND</t>
  </si>
  <si>
    <t xml:space="preserve">Copy the names into the Raw Name Splitter Worksheet </t>
  </si>
  <si>
    <t>MARHALS SIT ROW B</t>
  </si>
  <si>
    <t>Fill out cell E22 DO NOT Count class officers</t>
  </si>
  <si>
    <t xml:space="preserve">Officers sit in row A </t>
  </si>
  <si>
    <t>Follow the steps on the next pages</t>
  </si>
  <si>
    <t>Band sits behind the seniors in remainder of Lower Sections</t>
  </si>
  <si>
    <t>The spreadsheet is now ready for merging with the instruction sheet.</t>
  </si>
  <si>
    <t>This is designed for the band to sit on the stage.</t>
  </si>
  <si>
    <t>Number of students walking on Class Day:</t>
  </si>
  <si>
    <t>Raw Names From Office</t>
  </si>
  <si>
    <t>First Name</t>
  </si>
  <si>
    <t>Middle Name</t>
  </si>
  <si>
    <t>Last Name</t>
  </si>
  <si>
    <t xml:space="preserve">STEP 1: </t>
  </si>
  <si>
    <t>Paste Name List Into Column A</t>
  </si>
  <si>
    <t xml:space="preserve">STEP 2: </t>
  </si>
  <si>
    <t>If there are spaces between the names in Column A, then Highlight all of the names and spaces, and click HOME, FIND&amp;SELECT, GOTO, SPECIAL, BLANKS, and then Click DELETE or use CTRL+G, SPECIAL, BLANKS, then right click DELETE</t>
  </si>
  <si>
    <t>STEP 3:</t>
  </si>
  <si>
    <t>Fix Miss Spaced Names</t>
  </si>
  <si>
    <t>Grad Code</t>
  </si>
  <si>
    <t>CD Code</t>
  </si>
  <si>
    <t>Middle</t>
  </si>
  <si>
    <t>val</t>
  </si>
  <si>
    <t>sal</t>
  </si>
  <si>
    <t>scp</t>
  </si>
  <si>
    <t>cp</t>
  </si>
  <si>
    <t>c1</t>
  </si>
  <si>
    <t>c2</t>
  </si>
  <si>
    <t>c3</t>
  </si>
  <si>
    <t>c4</t>
  </si>
  <si>
    <t>c5</t>
  </si>
  <si>
    <t>c6</t>
  </si>
  <si>
    <t>c7</t>
  </si>
  <si>
    <t>c8</t>
  </si>
  <si>
    <t>x</t>
  </si>
  <si>
    <t>SECTION</t>
  </si>
  <si>
    <t>ROW</t>
  </si>
  <si>
    <t>SEAT NUMBER</t>
  </si>
  <si>
    <t>SIDE</t>
  </si>
  <si>
    <t>STAGE</t>
  </si>
  <si>
    <t>LOWER</t>
  </si>
  <si>
    <t>A</t>
  </si>
  <si>
    <t>RIGHT</t>
  </si>
  <si>
    <t>UPPER</t>
  </si>
  <si>
    <t>O</t>
  </si>
  <si>
    <t>LEFT</t>
  </si>
  <si>
    <t>B</t>
  </si>
  <si>
    <t>C</t>
  </si>
  <si>
    <t>P</t>
  </si>
  <si>
    <t>D</t>
  </si>
  <si>
    <t>E</t>
  </si>
  <si>
    <t>Q</t>
  </si>
  <si>
    <t>F</t>
  </si>
  <si>
    <t>G</t>
  </si>
  <si>
    <t>R</t>
  </si>
  <si>
    <t>H</t>
  </si>
  <si>
    <t>J</t>
  </si>
  <si>
    <t>S</t>
  </si>
  <si>
    <t>K</t>
  </si>
  <si>
    <t>L</t>
  </si>
  <si>
    <t>T</t>
  </si>
  <si>
    <t>M</t>
  </si>
  <si>
    <t>N</t>
  </si>
  <si>
    <t>LINE NUMBER</t>
  </si>
  <si>
    <t>Leader</t>
  </si>
  <si>
    <t>First</t>
  </si>
  <si>
    <t>Last</t>
  </si>
  <si>
    <t>Side</t>
  </si>
  <si>
    <t>Row</t>
  </si>
  <si>
    <t>Lane</t>
  </si>
  <si>
    <t>Number</t>
  </si>
  <si>
    <t>Turn</t>
  </si>
  <si>
    <t>Section</t>
  </si>
  <si>
    <t>Seat</t>
  </si>
  <si>
    <t>Right Lane</t>
  </si>
  <si>
    <t>Turn Right</t>
  </si>
  <si>
    <t>Turn Left</t>
  </si>
  <si>
    <t>CENTER</t>
  </si>
  <si>
    <t>Left Lane</t>
  </si>
  <si>
    <t>v2</t>
  </si>
  <si>
    <t>1a</t>
  </si>
  <si>
    <t>v1</t>
  </si>
  <si>
    <t>1b</t>
  </si>
  <si>
    <t>Jack Murphy</t>
  </si>
  <si>
    <t>Formal Name</t>
  </si>
  <si>
    <t>Honor</t>
  </si>
  <si>
    <t>Pronouncation</t>
  </si>
  <si>
    <t xml:space="preserve">Jillian Kate Abate </t>
  </si>
  <si>
    <t>Logan Ford Abrams</t>
  </si>
  <si>
    <t>Raniya Abubakar</t>
  </si>
  <si>
    <t>Luis Aburto Campos</t>
  </si>
  <si>
    <t>Devyn Ahlert</t>
  </si>
  <si>
    <t>Alexander Aiello</t>
  </si>
  <si>
    <t>Reese Allen</t>
  </si>
  <si>
    <t>Fabricio Amado</t>
  </si>
  <si>
    <t>Joseph Amirault</t>
  </si>
  <si>
    <t>Brady Anderson</t>
  </si>
  <si>
    <t>Barrington Anderson</t>
  </si>
  <si>
    <t>Isabella Aquino</t>
  </si>
  <si>
    <t>Lucas Aquino</t>
  </si>
  <si>
    <t>Tiago Araujo</t>
  </si>
  <si>
    <t>Chloe Aretusi</t>
  </si>
  <si>
    <t>Evan Audley</t>
  </si>
  <si>
    <t>Natalie Austin</t>
  </si>
  <si>
    <t>Vivian Balas</t>
  </si>
  <si>
    <t>Kaua Batista</t>
  </si>
  <si>
    <t>Carson Beaulieu</t>
  </si>
  <si>
    <t>Jahnai Belfon</t>
  </si>
  <si>
    <t>Amelia Benedict</t>
  </si>
  <si>
    <t>Jamison Bentley</t>
  </si>
  <si>
    <t>Dhanya Bhola</t>
  </si>
  <si>
    <t xml:space="preserve">Amelia Jane Borawski </t>
  </si>
  <si>
    <t>Elizabeth Boucher</t>
  </si>
  <si>
    <t>Danielle Bowers</t>
  </si>
  <si>
    <t>Lucas Bowlin</t>
  </si>
  <si>
    <t>Kaleb Brady</t>
  </si>
  <si>
    <t>A.J. Bramante</t>
  </si>
  <si>
    <t>Ashley Brown</t>
  </si>
  <si>
    <t>Elijah Brown</t>
  </si>
  <si>
    <t>Luke Anthony Bunker (not eligible not walking, not in program)</t>
  </si>
  <si>
    <t>Braeden Callan</t>
  </si>
  <si>
    <t>Nilton Campos</t>
  </si>
  <si>
    <t>Ethan Cannon</t>
  </si>
  <si>
    <t>Lucas Carcione</t>
  </si>
  <si>
    <t>Nicholas Joseph Casarano</t>
  </si>
  <si>
    <t>Maggie Champlin-Scharff</t>
  </si>
  <si>
    <t>Elsa Chow</t>
  </si>
  <si>
    <t>Max Cinelli</t>
  </si>
  <si>
    <t>Olivia Marie Cirrone</t>
  </si>
  <si>
    <t>Chadley Civil</t>
  </si>
  <si>
    <t>Sam Clark</t>
  </si>
  <si>
    <t>Thomas Cockrell</t>
  </si>
  <si>
    <t>Rosie Columb (not eligible, not walking, not in program)</t>
  </si>
  <si>
    <t>Brady Comenos</t>
  </si>
  <si>
    <t xml:space="preserve">Landen connelly </t>
  </si>
  <si>
    <t>Tim Connolly</t>
  </si>
  <si>
    <t>Derek Connor</t>
  </si>
  <si>
    <t>Kayla Cox</t>
  </si>
  <si>
    <t>John Coyne</t>
  </si>
  <si>
    <t>Lily Crosby</t>
  </si>
  <si>
    <t>Molly Crowley</t>
  </si>
  <si>
    <t>Shea Cullen</t>
  </si>
  <si>
    <t xml:space="preserve">Jacklyn Cusolito </t>
  </si>
  <si>
    <t>Paige Cusolito</t>
  </si>
  <si>
    <t>Walick Da Silva</t>
  </si>
  <si>
    <t>Hadley Davis (program only, not walking)</t>
  </si>
  <si>
    <t>Cooper Joseph Dean</t>
  </si>
  <si>
    <t>Jack Denmark</t>
  </si>
  <si>
    <t>Julie DiDonato</t>
  </si>
  <si>
    <t>Dante DiSerio</t>
  </si>
  <si>
    <t>Antonio Joseph DiSerio</t>
  </si>
  <si>
    <t>Caitlin Anne Donaghey</t>
  </si>
  <si>
    <t>Quinn Kendall Donahue</t>
  </si>
  <si>
    <t>Alana Mei-Lin Yamaki Doroquez</t>
  </si>
  <si>
    <t>Cassidy Duca</t>
  </si>
  <si>
    <t>Kyle DuRoss</t>
  </si>
  <si>
    <t>Sean DuRoss</t>
  </si>
  <si>
    <t>William Dyment</t>
  </si>
  <si>
    <t>Luca Eliet</t>
  </si>
  <si>
    <t>Levi Emmanuel</t>
  </si>
  <si>
    <t>Kamryn Encarnacao</t>
  </si>
  <si>
    <t>Samuel Ewald</t>
  </si>
  <si>
    <t>Kaylie Fantasia</t>
  </si>
  <si>
    <t>Vince Farnham</t>
  </si>
  <si>
    <t>Colby Farris</t>
  </si>
  <si>
    <t>Bryan Fernandez</t>
  </si>
  <si>
    <t>Ravi Finberg (not walking, program only)</t>
  </si>
  <si>
    <t>Finn Patrick Flaherty</t>
  </si>
  <si>
    <t>Matthew Forse</t>
  </si>
  <si>
    <t>Jacob Frank</t>
  </si>
  <si>
    <t>Anthony Fratto</t>
  </si>
  <si>
    <t>Gavin Fucarile</t>
  </si>
  <si>
    <t>Cole Fusco</t>
  </si>
  <si>
    <t>Paul Richard Gaeta</t>
  </si>
  <si>
    <t>Lucas Gager</t>
  </si>
  <si>
    <t xml:space="preserve">Nevaeh Galindo </t>
  </si>
  <si>
    <t>Joseph Gallagher</t>
  </si>
  <si>
    <t>Brendan Gauvin</t>
  </si>
  <si>
    <t>Bereket Gebeyaw</t>
  </si>
  <si>
    <t>Alix Gellot</t>
  </si>
  <si>
    <t>Cameron Gigler</t>
  </si>
  <si>
    <t>Alex Gisetto</t>
  </si>
  <si>
    <t>Benjamin Goldlust</t>
  </si>
  <si>
    <t>Jack Goodfellow</t>
  </si>
  <si>
    <t>Drew Gorski</t>
  </si>
  <si>
    <t>Lila Gosdanian</t>
  </si>
  <si>
    <t>Cole Sebastian Grant</t>
  </si>
  <si>
    <t xml:space="preserve">Kendall Graves </t>
  </si>
  <si>
    <t>Griffin James Haggerty</t>
  </si>
  <si>
    <t>Andrea Hall</t>
  </si>
  <si>
    <t>Sarah Hamilton</t>
  </si>
  <si>
    <t>Margaret Hanifan</t>
  </si>
  <si>
    <t>Lilly Hardy (not walkiing, program only)</t>
  </si>
  <si>
    <t>Cameron Harrigan</t>
  </si>
  <si>
    <t>Clara Healy</t>
  </si>
  <si>
    <t>Victoria Henri</t>
  </si>
  <si>
    <t xml:space="preserve">Kayke Henrique </t>
  </si>
  <si>
    <t>Samuel Hillery</t>
  </si>
  <si>
    <t>Jahkye Hobson</t>
  </si>
  <si>
    <t>Sam Holt</t>
  </si>
  <si>
    <t>Benjamin Houle</t>
  </si>
  <si>
    <t>Evin Howell</t>
  </si>
  <si>
    <t>Paul Joseph Iosua</t>
  </si>
  <si>
    <t xml:space="preserve">Leah Jackvony </t>
  </si>
  <si>
    <t>Wayne Jankun</t>
  </si>
  <si>
    <t>Tristan Jenkins</t>
  </si>
  <si>
    <t>Evan Jenney</t>
  </si>
  <si>
    <t>Michael Jenney</t>
  </si>
  <si>
    <t>Luke Johnson</t>
  </si>
  <si>
    <t>Maeve Jones</t>
  </si>
  <si>
    <t>Nolan Jordan</t>
  </si>
  <si>
    <t xml:space="preserve">Emma Kaberle </t>
  </si>
  <si>
    <t xml:space="preserve">Azra Kadric </t>
  </si>
  <si>
    <t>Brady Keaveney</t>
  </si>
  <si>
    <t>Hannah Kenton</t>
  </si>
  <si>
    <t>Aiden Kiley</t>
  </si>
  <si>
    <t xml:space="preserve">Kyle Koster </t>
  </si>
  <si>
    <t>Enzo George Lalicata</t>
  </si>
  <si>
    <t>Matthew Laurino</t>
  </si>
  <si>
    <t>Jonathan Laurino</t>
  </si>
  <si>
    <t>Asad Layne</t>
  </si>
  <si>
    <t>Jonathan Lee</t>
  </si>
  <si>
    <t>Austin James Lee</t>
  </si>
  <si>
    <t>Desmond Lethin</t>
  </si>
  <si>
    <t>Katie Lewis</t>
  </si>
  <si>
    <t>Isabelle Lightbody</t>
  </si>
  <si>
    <t>Steven Lin</t>
  </si>
  <si>
    <t>Zackary Lizotte</t>
  </si>
  <si>
    <t>Isla Lusk</t>
  </si>
  <si>
    <t>Lilyana Madden</t>
  </si>
  <si>
    <t xml:space="preserve">Rosalia Maganzini </t>
  </si>
  <si>
    <t>Trent Joseph Maganzini</t>
  </si>
  <si>
    <t>Emma Mahoney</t>
  </si>
  <si>
    <t>Charles Maness</t>
  </si>
  <si>
    <t>Evan Manfredi</t>
  </si>
  <si>
    <t>Syler Manning</t>
  </si>
  <si>
    <t>Tyler Marchlik</t>
  </si>
  <si>
    <t>NA</t>
  </si>
  <si>
    <t>Piper Martin</t>
  </si>
  <si>
    <t xml:space="preserve">Addyson Collette Mathews </t>
  </si>
  <si>
    <t>Charlie May</t>
  </si>
  <si>
    <t>Caleb McGonagle</t>
  </si>
  <si>
    <t>Makenna McGrath</t>
  </si>
  <si>
    <t>Zoe McLaughlin-Shostak</t>
  </si>
  <si>
    <t>Ella McMenimen</t>
  </si>
  <si>
    <t>Jack Melly</t>
  </si>
  <si>
    <t>Alex Merkle</t>
  </si>
  <si>
    <t>Will Merkle</t>
  </si>
  <si>
    <t>Gianna Miceli</t>
  </si>
  <si>
    <t>Karmani Isaiah Mirville</t>
  </si>
  <si>
    <t>Marcus Moller</t>
  </si>
  <si>
    <t>Evangeline Moreira</t>
  </si>
  <si>
    <t xml:space="preserve">Bobby Morris </t>
  </si>
  <si>
    <t>Kaiden Morrison</t>
  </si>
  <si>
    <t>Abdul Raheem Mughal</t>
  </si>
  <si>
    <t>William Muller</t>
  </si>
  <si>
    <t>Aidan Mullin</t>
  </si>
  <si>
    <t xml:space="preserve">Emma Elizabeth Nelson </t>
  </si>
  <si>
    <t xml:space="preserve">Abigail Nelson </t>
  </si>
  <si>
    <t>Patience Nguyen</t>
  </si>
  <si>
    <t>Charlotte Nolty</t>
  </si>
  <si>
    <t>Mackenzie Norris</t>
  </si>
  <si>
    <t>Michelle Ohlson</t>
  </si>
  <si>
    <t>Natalie Ortins</t>
  </si>
  <si>
    <t>Franklin Ortiz</t>
  </si>
  <si>
    <t>Isabelle Grace Parent</t>
  </si>
  <si>
    <t>Saloni Patel</t>
  </si>
  <si>
    <t>Lerika Peat</t>
  </si>
  <si>
    <t>Jacob Petrin</t>
  </si>
  <si>
    <t>Wyatt Picard</t>
  </si>
  <si>
    <t xml:space="preserve">Samantha Pomerantz </t>
  </si>
  <si>
    <t xml:space="preserve">Shivani Poudyal </t>
  </si>
  <si>
    <t>Ryan pulpi</t>
  </si>
  <si>
    <t>Jessica Rai</t>
  </si>
  <si>
    <t>Ted Ravens</t>
  </si>
  <si>
    <t>Lucas Reis</t>
  </si>
  <si>
    <t>Olivia Renda</t>
  </si>
  <si>
    <t>Jessica Richter</t>
  </si>
  <si>
    <t>Charlotte Robichaud</t>
  </si>
  <si>
    <t>Derek Robillard</t>
  </si>
  <si>
    <t>Isaac Robinson</t>
  </si>
  <si>
    <t>Teresa Rock</t>
  </si>
  <si>
    <t>James Rodrigues</t>
  </si>
  <si>
    <t>Luke Rogerson</t>
  </si>
  <si>
    <t>Javian Rojas</t>
  </si>
  <si>
    <t>Ellie Russo</t>
  </si>
  <si>
    <t>ray-john  R-eye-land</t>
  </si>
  <si>
    <t>Lorenzo Sardinha</t>
  </si>
  <si>
    <t>Noah Sarre</t>
  </si>
  <si>
    <t>Katherine Savio</t>
  </si>
  <si>
    <t>Megan Scales</t>
  </si>
  <si>
    <t>Sophie Schrager</t>
  </si>
  <si>
    <t>Rylie Schultz</t>
  </si>
  <si>
    <t xml:space="preserve">Madeline Scully </t>
  </si>
  <si>
    <t xml:space="preserve">Sachi Selvakumar </t>
  </si>
  <si>
    <t>Annabelle Shanley</t>
  </si>
  <si>
    <t>Emme Shediac</t>
  </si>
  <si>
    <t>Allison Claire Shindelman</t>
  </si>
  <si>
    <t>John Paul Siciliano</t>
  </si>
  <si>
    <t>Owen Sinclair</t>
  </si>
  <si>
    <t xml:space="preserve">Sierra Skenderian </t>
  </si>
  <si>
    <t>John Slinn</t>
  </si>
  <si>
    <t>Julia Smith</t>
  </si>
  <si>
    <t>Noah Snyder</t>
  </si>
  <si>
    <t>Aaron Sylvan Soto</t>
  </si>
  <si>
    <t>Andrew Spencer</t>
  </si>
  <si>
    <t>Elias Speros</t>
  </si>
  <si>
    <t>Ava Spinazzola</t>
  </si>
  <si>
    <t>Ava Staffier</t>
  </si>
  <si>
    <t xml:space="preserve">Thomas Stathoulopoulos </t>
  </si>
  <si>
    <t>Charlie Studley</t>
  </si>
  <si>
    <t>Nolan Sullivan</t>
  </si>
  <si>
    <t>Sabrina Sweat</t>
  </si>
  <si>
    <t>Brooklynne Tartarini</t>
  </si>
  <si>
    <t>Nina Taubman</t>
  </si>
  <si>
    <t>Natalie Tawadros</t>
  </si>
  <si>
    <t xml:space="preserve">Samantha Toomey </t>
  </si>
  <si>
    <t>Alyson Torrens</t>
  </si>
  <si>
    <t>Franklin Travassos</t>
  </si>
  <si>
    <t>Meredith Lynne Upton</t>
  </si>
  <si>
    <t>Andrew Jacob Valentin</t>
  </si>
  <si>
    <t>Colby Van Horn</t>
  </si>
  <si>
    <t xml:space="preserve">Katherine Anne Van Magness </t>
  </si>
  <si>
    <t>Justin Thomas Ventura</t>
  </si>
  <si>
    <t>Dario Viliott</t>
  </si>
  <si>
    <t>Nathan Vitarisi</t>
  </si>
  <si>
    <t>Cara Vitarisi</t>
  </si>
  <si>
    <t>Jason Walsh</t>
  </si>
  <si>
    <t>Jacob Michael Ward</t>
  </si>
  <si>
    <t>Kyle Weaver</t>
  </si>
  <si>
    <t>Leah Weber</t>
  </si>
  <si>
    <t>Emma White</t>
  </si>
  <si>
    <t>John Wiggins</t>
  </si>
  <si>
    <t xml:space="preserve">Angela Wilder </t>
  </si>
  <si>
    <t>Jessica Wong</t>
  </si>
  <si>
    <t xml:space="preserve">Jamari Wright </t>
  </si>
  <si>
    <t>Quinn Yandle</t>
  </si>
  <si>
    <t>John Zani</t>
  </si>
  <si>
    <t>Jiayu Zheng</t>
  </si>
  <si>
    <t>a-bod-ee</t>
  </si>
  <si>
    <t>Raw-knee-yuh Uh-boo-buh-ker</t>
  </si>
  <si>
    <t>Lou eese Aburto Campos</t>
  </si>
  <si>
    <t xml:space="preserve">Dev-in AL-ert </t>
  </si>
  <si>
    <t>Aiello (I-L-O)</t>
  </si>
  <si>
    <t>Fah-bree-cee-oh Ah-mod-oh</t>
  </si>
  <si>
    <t>Isabell-uh Ah-kee-no</t>
  </si>
  <si>
    <t>TEE-ah-go AH-ra-joe</t>
  </si>
  <si>
    <t>ah-reh-toozy</t>
  </si>
  <si>
    <t xml:space="preserve">Quan </t>
  </si>
  <si>
    <t>Bowl-ee-oh</t>
  </si>
  <si>
    <t>Jah-nye</t>
  </si>
  <si>
    <t xml:space="preserve">D- anya </t>
  </si>
  <si>
    <t>BOO-SHAY</t>
  </si>
  <si>
    <t>bohl-in</t>
  </si>
  <si>
    <t>Car-See-O-Nee</t>
  </si>
  <si>
    <t xml:space="preserve">Suh-row-nee </t>
  </si>
  <si>
    <t>Brady Com-e-nose</t>
  </si>
  <si>
    <t>Wall-lick Duh Silva</t>
  </si>
  <si>
    <t>(Coo-pur) (Joe-Sef) (Deen)</t>
  </si>
  <si>
    <t xml:space="preserve">o sa ru gue </t>
  </si>
  <si>
    <t>Dee-doe-na-to</t>
  </si>
  <si>
    <t>Dis-ear-e-o</t>
  </si>
  <si>
    <t>Don-a-hee</t>
  </si>
  <si>
    <t>Ah-lah-na May-Lynn Yah-mah-key Door-o-kez</t>
  </si>
  <si>
    <t>Dew-Ross</t>
  </si>
  <si>
    <t>In - car - naw - see - oh</t>
  </si>
  <si>
    <t xml:space="preserve">Eee-wald </t>
  </si>
  <si>
    <t>kay-lee</t>
  </si>
  <si>
    <t xml:space="preserve">"Force",   rhymes with HORSE </t>
  </si>
  <si>
    <t>Fuke-ah-rill</t>
  </si>
  <si>
    <t>Gay-jer</t>
  </si>
  <si>
    <t>Gau-vin</t>
  </si>
  <si>
    <t>Drew</t>
  </si>
  <si>
    <t>Lylah Gosdainian</t>
  </si>
  <si>
    <t>Alpha, November, Delta, Romeo, Echo, alpha</t>
  </si>
  <si>
    <t>Vic-tor-ee-a Hen-ree</t>
  </si>
  <si>
    <t>H-oo-l</t>
  </si>
  <si>
    <t>I-osh-u-ah</t>
  </si>
  <si>
    <t xml:space="preserve">K-ber-le </t>
  </si>
  <si>
    <t>Key van e</t>
  </si>
  <si>
    <t xml:space="preserve">Ken-tin </t>
  </si>
  <si>
    <t>Aiden Liley</t>
  </si>
  <si>
    <t>Enzo George Lahlicatah</t>
  </si>
  <si>
    <t>Matthew La-Ree-No</t>
  </si>
  <si>
    <t>Uh-Sod</t>
  </si>
  <si>
    <t>Liz-ought</t>
  </si>
  <si>
    <t>eye-la</t>
  </si>
  <si>
    <t>Rose uh Leah - Mag An Zee Knee</t>
  </si>
  <si>
    <t>May-ness</t>
  </si>
  <si>
    <t>Zo-Ee Mick-Glock-Linn Show-Stack</t>
  </si>
  <si>
    <t xml:space="preserve">mick - men - o - men </t>
  </si>
  <si>
    <t>Mi-tch-elli</t>
  </si>
  <si>
    <t>Mole - er</t>
  </si>
  <si>
    <t>Eh-van-jeh-lean More-air-ah</t>
  </si>
  <si>
    <t>William Mull-er (rhymes with color)</t>
  </si>
  <si>
    <t xml:space="preserve">Patience Nuh-win </t>
  </si>
  <si>
    <t>Ma - ken - zee  Nor - is</t>
  </si>
  <si>
    <t>Please don't say Orteens; It is OrtINs and the i is like the i in it</t>
  </si>
  <si>
    <t>Sa-low-knee Pa-tel</t>
  </si>
  <si>
    <t>pee-trin</t>
  </si>
  <si>
    <t>Pom er antz</t>
  </si>
  <si>
    <t>shiv-ah-knee POW-Dell</t>
  </si>
  <si>
    <t>Jessica r-eye</t>
  </si>
  <si>
    <t>Rick-ter or /ˈrɪktər/</t>
  </si>
  <si>
    <t>Shar-lit Row-bih-shawd</t>
  </si>
  <si>
    <t>Jay-vi-en Ro-haws</t>
  </si>
  <si>
    <t>loh-REN-zoh sar-DEEN-yah (the nh sounds like “ny”)</t>
  </si>
  <si>
    <t>Sarre (rhymes with car)</t>
  </si>
  <si>
    <t>Soh-fee Shray-ger</t>
  </si>
  <si>
    <t>Sachi (Sa-Chee) Selvakumar (Selva-koomar)</t>
  </si>
  <si>
    <t>Em-ee Shed-ee-ack</t>
  </si>
  <si>
    <t xml:space="preserve">Sih silly ano </t>
  </si>
  <si>
    <t>Skin-dare-eee-n</t>
  </si>
  <si>
    <t>For middle name: Sill-ven</t>
  </si>
  <si>
    <t>Ay-va Staff-ee-r</t>
  </si>
  <si>
    <t>Thomas Stath-oh-lop-oh-lus</t>
  </si>
  <si>
    <t>Ta-ow-b-man</t>
  </si>
  <si>
    <t>na-tah-lee ta-wa-dros</t>
  </si>
  <si>
    <t>Tra va sos</t>
  </si>
  <si>
    <t>Mare-uh-dith UP-Tin</t>
  </si>
  <si>
    <t>Dario Vil-e-ott</t>
  </si>
  <si>
    <t>Vit-er-eesee</t>
  </si>
  <si>
    <t>Auddie(Awd-ie)</t>
  </si>
  <si>
    <t>John ZAH-nee</t>
  </si>
  <si>
    <t>jah-yoo Jung</t>
  </si>
  <si>
    <t>Ryan Pulpi</t>
  </si>
  <si>
    <t>JAH-KIA</t>
  </si>
  <si>
    <t>Directions</t>
  </si>
  <si>
    <t>2. Shift H and I up/down to match the names in C to F</t>
  </si>
  <si>
    <t>1. Paste Formal Name and honor in columns H amd I</t>
  </si>
  <si>
    <t>Indigo Boyko</t>
  </si>
  <si>
    <t>Aidan Auddie Williams</t>
  </si>
  <si>
    <t xml:space="preserve">Landen Connelly </t>
  </si>
  <si>
    <t>Hans Dankers</t>
  </si>
  <si>
    <t>Josten Martin not walking program only</t>
  </si>
  <si>
    <t>Ella Martinelle not walkin program only</t>
  </si>
  <si>
    <t>Gabrielle Poirier not walking program only</t>
  </si>
  <si>
    <t>Finn Ellis</t>
  </si>
  <si>
    <t xml:space="preserve">Clinton King </t>
  </si>
  <si>
    <t>Codes</t>
  </si>
  <si>
    <t>valedictorian</t>
  </si>
  <si>
    <t>salutorian</t>
  </si>
  <si>
    <t>student council president</t>
  </si>
  <si>
    <t>class president</t>
  </si>
  <si>
    <t>class officer 1 - usual vp</t>
  </si>
  <si>
    <t>class officer 2 - usual treasurer</t>
  </si>
  <si>
    <t>class officer 3 - usually secretary</t>
  </si>
  <si>
    <t>class officer</t>
  </si>
  <si>
    <t>c9</t>
  </si>
  <si>
    <t>c10</t>
  </si>
  <si>
    <t>c11</t>
  </si>
  <si>
    <t>student is not walking</t>
  </si>
  <si>
    <t>3. Add codes</t>
  </si>
  <si>
    <t>-</t>
  </si>
  <si>
    <t>use in case of tie for val or sal</t>
  </si>
  <si>
    <t>Thomas Fiore</t>
  </si>
  <si>
    <t xml:space="preserve">Katie Severance </t>
  </si>
  <si>
    <t>Anne</t>
  </si>
  <si>
    <t>Van Magness</t>
  </si>
  <si>
    <t>Mei-Lin Yamaki</t>
  </si>
  <si>
    <t>Doroquez</t>
  </si>
  <si>
    <t>Rejon Ryland</t>
  </si>
  <si>
    <t>Aburto Campos</t>
  </si>
  <si>
    <t xml:space="preserve"> </t>
  </si>
  <si>
    <t>Van Horn</t>
  </si>
  <si>
    <t>Ewald</t>
  </si>
  <si>
    <t>Mason Buddy Moll</t>
  </si>
  <si>
    <t/>
  </si>
  <si>
    <t>Da Silva</t>
  </si>
  <si>
    <t xml:space="preserve">Happiness Osarugue  Deji </t>
  </si>
  <si>
    <t>Uh-zra - the "Uh" part is slower than "zra" and roll the r. "Kud-reech" - roll the r</t>
  </si>
  <si>
    <t>Will Chute</t>
  </si>
  <si>
    <t xml:space="preserve">Jared Wright </t>
  </si>
  <si>
    <t>Tess Weaver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</si>
</sst>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4"/>
      <name val="Century"/>
      <family val="1"/>
    </font>
    <font>
      <sz val="8"/>
      <name val="Arial"/>
      <family val="2"/>
    </font>
    <font>
      <sz val="14"/>
      <name val="Century Schoolbook"/>
      <family val="1"/>
    </font>
    <font>
      <sz val="12"/>
      <name val="Arial"/>
      <family val="2"/>
    </font>
    <font>
      <u/>
      <sz val="10"/>
      <name val="Arial"/>
      <family val="2"/>
    </font>
    <font>
      <sz val="14"/>
      <name val="Courier"/>
      <family val="3"/>
    </font>
    <font>
      <sz val="10"/>
      <name val="Arial"/>
      <family val="2"/>
    </font>
    <font>
      <u/>
      <sz val="15"/>
      <name val="Courier"/>
      <family val="3"/>
    </font>
    <font>
      <sz val="15"/>
      <name val="Courier"/>
      <family val="3"/>
    </font>
    <font>
      <sz val="10"/>
      <name val="Arial"/>
      <family val="2"/>
    </font>
    <font>
      <sz val="12"/>
      <name val="Source Code Pro Light"/>
      <family val="3"/>
    </font>
    <font>
      <sz val="11"/>
      <color rgb="FF000000"/>
      <name val="Calibri"/>
      <family val="2"/>
    </font>
    <font>
      <u/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00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8" fillId="0" borderId="0"/>
    <xf numFmtId="0" fontId="1" fillId="0" borderId="0"/>
  </cellStyleXfs>
  <cellXfs count="52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6" xfId="0" applyBorder="1"/>
    <xf numFmtId="0" fontId="4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8" fillId="0" borderId="0" xfId="0" applyFont="1"/>
    <xf numFmtId="0" fontId="4" fillId="0" borderId="9" xfId="0" applyFont="1" applyBorder="1"/>
    <xf numFmtId="0" fontId="8" fillId="0" borderId="0" xfId="2"/>
    <xf numFmtId="0" fontId="4" fillId="0" borderId="0" xfId="2" applyFont="1"/>
    <xf numFmtId="0" fontId="4" fillId="0" borderId="0" xfId="2" applyFont="1" applyAlignment="1">
      <alignment horizontal="center"/>
    </xf>
    <xf numFmtId="0" fontId="4" fillId="0" borderId="9" xfId="2" applyFont="1" applyBorder="1" applyAlignment="1">
      <alignment horizontal="center"/>
    </xf>
    <xf numFmtId="0" fontId="4" fillId="0" borderId="9" xfId="2" applyFont="1" applyBorder="1"/>
    <xf numFmtId="0" fontId="4" fillId="0" borderId="10" xfId="2" applyFont="1" applyBorder="1"/>
    <xf numFmtId="0" fontId="4" fillId="0" borderId="11" xfId="2" applyFont="1" applyBorder="1"/>
    <xf numFmtId="0" fontId="4" fillId="0" borderId="12" xfId="2" applyFont="1" applyBorder="1"/>
    <xf numFmtId="0" fontId="4" fillId="0" borderId="12" xfId="2" applyFont="1" applyBorder="1" applyAlignment="1">
      <alignment horizontal="center"/>
    </xf>
    <xf numFmtId="0" fontId="8" fillId="0" borderId="1" xfId="2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0" borderId="1" xfId="2" applyFont="1" applyBorder="1"/>
    <xf numFmtId="0" fontId="4" fillId="0" borderId="1" xfId="2" applyFont="1" applyBorder="1" applyAlignment="1">
      <alignment horizontal="left"/>
    </xf>
    <xf numFmtId="0" fontId="2" fillId="0" borderId="5" xfId="0" applyFont="1" applyBorder="1"/>
    <xf numFmtId="0" fontId="8" fillId="0" borderId="1" xfId="0" applyFont="1" applyBorder="1"/>
    <xf numFmtId="0" fontId="12" fillId="0" borderId="0" xfId="0" applyFont="1"/>
    <xf numFmtId="0" fontId="11" fillId="0" borderId="0" xfId="1"/>
    <xf numFmtId="0" fontId="13" fillId="0" borderId="0" xfId="0" applyFont="1"/>
    <xf numFmtId="0" fontId="1" fillId="0" borderId="0" xfId="3"/>
    <xf numFmtId="0" fontId="14" fillId="0" borderId="0" xfId="0" applyFont="1" applyAlignment="1">
      <alignment horizontal="center"/>
    </xf>
    <xf numFmtId="0" fontId="15" fillId="0" borderId="0" xfId="0" applyFont="1"/>
    <xf numFmtId="0" fontId="13" fillId="2" borderId="0" xfId="0" applyFont="1" applyFill="1"/>
    <xf numFmtId="0" fontId="13" fillId="3" borderId="0" xfId="0" applyFont="1" applyFill="1"/>
    <xf numFmtId="0" fontId="16" fillId="0" borderId="0" xfId="0" applyFont="1"/>
    <xf numFmtId="0" fontId="16" fillId="2" borderId="0" xfId="0" applyFont="1" applyFill="1"/>
    <xf numFmtId="0" fontId="8" fillId="0" borderId="0" xfId="1" applyFont="1"/>
    <xf numFmtId="49" fontId="10" fillId="0" borderId="0" xfId="0" applyNumberFormat="1" applyFont="1"/>
    <xf numFmtId="0" fontId="5" fillId="0" borderId="0" xfId="0" quotePrefix="1" applyFon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EE51A91E-24B8-40C3-9CC3-12604E5A32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workbookViewId="0">
      <selection activeCell="F28" sqref="F28"/>
    </sheetView>
  </sheetViews>
  <sheetFormatPr defaultRowHeight="12.75" x14ac:dyDescent="0.2"/>
  <cols>
    <col min="1" max="16384" width="9.140625" style="24"/>
  </cols>
  <sheetData>
    <row r="1" spans="1:15" x14ac:dyDescent="0.2">
      <c r="A1" s="24" t="s">
        <v>0</v>
      </c>
    </row>
    <row r="2" spans="1:15" x14ac:dyDescent="0.2">
      <c r="A2" s="24" t="s">
        <v>1</v>
      </c>
      <c r="N2" s="24" t="s">
        <v>447</v>
      </c>
    </row>
    <row r="3" spans="1:15" x14ac:dyDescent="0.2">
      <c r="N3" s="24" t="s">
        <v>30</v>
      </c>
      <c r="O3" s="24" t="s">
        <v>448</v>
      </c>
    </row>
    <row r="4" spans="1:15" x14ac:dyDescent="0.2">
      <c r="A4" s="24" t="s">
        <v>2</v>
      </c>
      <c r="N4" s="24" t="s">
        <v>31</v>
      </c>
      <c r="O4" s="24" t="s">
        <v>449</v>
      </c>
    </row>
    <row r="5" spans="1:15" x14ac:dyDescent="0.2">
      <c r="A5" s="24" t="s">
        <v>3</v>
      </c>
      <c r="N5" s="24" t="s">
        <v>32</v>
      </c>
      <c r="O5" s="24" t="s">
        <v>450</v>
      </c>
    </row>
    <row r="6" spans="1:15" x14ac:dyDescent="0.2">
      <c r="N6" s="24" t="s">
        <v>33</v>
      </c>
      <c r="O6" s="24" t="s">
        <v>451</v>
      </c>
    </row>
    <row r="7" spans="1:15" x14ac:dyDescent="0.2">
      <c r="N7" s="24" t="s">
        <v>34</v>
      </c>
      <c r="O7" s="24" t="s">
        <v>452</v>
      </c>
    </row>
    <row r="8" spans="1:15" x14ac:dyDescent="0.2">
      <c r="A8" s="24" t="s">
        <v>4</v>
      </c>
      <c r="N8" s="24" t="s">
        <v>35</v>
      </c>
      <c r="O8" s="24" t="s">
        <v>453</v>
      </c>
    </row>
    <row r="9" spans="1:15" x14ac:dyDescent="0.2">
      <c r="N9" s="24" t="s">
        <v>36</v>
      </c>
      <c r="O9" s="24" t="s">
        <v>454</v>
      </c>
    </row>
    <row r="10" spans="1:15" x14ac:dyDescent="0.2">
      <c r="N10" s="24" t="s">
        <v>37</v>
      </c>
      <c r="O10" s="24" t="s">
        <v>455</v>
      </c>
    </row>
    <row r="11" spans="1:15" x14ac:dyDescent="0.2">
      <c r="N11" s="24" t="s">
        <v>38</v>
      </c>
      <c r="O11" s="24" t="s">
        <v>455</v>
      </c>
    </row>
    <row r="12" spans="1:15" x14ac:dyDescent="0.2">
      <c r="N12" s="24" t="s">
        <v>39</v>
      </c>
      <c r="O12" s="24" t="s">
        <v>455</v>
      </c>
    </row>
    <row r="13" spans="1:15" x14ac:dyDescent="0.2">
      <c r="A13" s="24" t="s">
        <v>5</v>
      </c>
      <c r="G13" s="24" t="s">
        <v>6</v>
      </c>
      <c r="N13" s="24" t="s">
        <v>40</v>
      </c>
      <c r="O13" s="24" t="s">
        <v>455</v>
      </c>
    </row>
    <row r="14" spans="1:15" x14ac:dyDescent="0.2">
      <c r="A14" s="24" t="s">
        <v>7</v>
      </c>
      <c r="G14" s="24" t="s">
        <v>8</v>
      </c>
      <c r="N14" s="24" t="s">
        <v>41</v>
      </c>
      <c r="O14" s="24" t="s">
        <v>455</v>
      </c>
    </row>
    <row r="15" spans="1:15" x14ac:dyDescent="0.2">
      <c r="A15" s="24" t="s">
        <v>9</v>
      </c>
      <c r="G15" s="24" t="s">
        <v>10</v>
      </c>
      <c r="N15" s="24" t="s">
        <v>456</v>
      </c>
      <c r="O15" s="24" t="s">
        <v>455</v>
      </c>
    </row>
    <row r="16" spans="1:15" x14ac:dyDescent="0.2">
      <c r="A16" s="24" t="s">
        <v>11</v>
      </c>
      <c r="G16" s="24" t="s">
        <v>12</v>
      </c>
      <c r="N16" s="24" t="s">
        <v>457</v>
      </c>
      <c r="O16" s="24" t="s">
        <v>455</v>
      </c>
    </row>
    <row r="17" spans="1:15" x14ac:dyDescent="0.2">
      <c r="A17" s="24" t="s">
        <v>13</v>
      </c>
      <c r="G17" s="24" t="s">
        <v>14</v>
      </c>
      <c r="N17" s="24" t="s">
        <v>458</v>
      </c>
      <c r="O17" s="24" t="s">
        <v>455</v>
      </c>
    </row>
    <row r="18" spans="1:15" x14ac:dyDescent="0.2">
      <c r="A18" s="24" t="s">
        <v>15</v>
      </c>
      <c r="N18" s="24" t="s">
        <v>42</v>
      </c>
      <c r="O18" s="24" t="s">
        <v>459</v>
      </c>
    </row>
    <row r="22" spans="1:15" x14ac:dyDescent="0.2">
      <c r="A22" s="24" t="s">
        <v>16</v>
      </c>
      <c r="E22" s="24">
        <v>263</v>
      </c>
    </row>
    <row r="23" spans="1:15" x14ac:dyDescent="0.2">
      <c r="E23" s="24">
        <f>ROUND(E22/2,0)-1</f>
        <v>131</v>
      </c>
    </row>
    <row r="24" spans="1:15" x14ac:dyDescent="0.2">
      <c r="E24" s="24">
        <f>E22-E23</f>
        <v>132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0"/>
  <sheetViews>
    <sheetView topLeftCell="A222" workbookViewId="0">
      <selection activeCell="A35" sqref="A35"/>
    </sheetView>
  </sheetViews>
  <sheetFormatPr defaultRowHeight="12.75" x14ac:dyDescent="0.2"/>
  <cols>
    <col min="1" max="2" width="27.7109375" customWidth="1"/>
    <col min="3" max="3" width="14" customWidth="1"/>
    <col min="4" max="4" width="17.5703125" customWidth="1"/>
    <col min="5" max="5" width="25.28515625" customWidth="1"/>
    <col min="6" max="6" width="27.42578125" customWidth="1"/>
  </cols>
  <sheetData>
    <row r="1" spans="1:9" x14ac:dyDescent="0.2">
      <c r="A1" s="22" t="s">
        <v>17</v>
      </c>
      <c r="B1" s="22"/>
      <c r="C1" t="s">
        <v>18</v>
      </c>
      <c r="D1" t="s">
        <v>19</v>
      </c>
      <c r="E1" t="s">
        <v>20</v>
      </c>
      <c r="F1" t="s">
        <v>94</v>
      </c>
    </row>
    <row r="2" spans="1:9" ht="15" x14ac:dyDescent="0.25">
      <c r="A2" s="45" t="s">
        <v>95</v>
      </c>
      <c r="B2" s="41"/>
      <c r="C2" s="40" t="str">
        <f>IF(ISERROR( FIND(",",TRIM(A2))),LEFT(TRIM(A2), FIND(" ",TRIM(A2))-1),MID(TRIM(A2),LEN(C2)+3,FIND(" ",TRIM(A2)&amp;" ",LEN(C2)+3)-LEN(C2)-2))</f>
        <v>Jillian</v>
      </c>
      <c r="D2" s="40" t="str">
        <f>IF(ISERROR(FIND(",",TRIM(A2))),IF(LEN(TRIM(A2))-LEN(SUBSTITUTE(TRIM(A2)," ",""))=2,MID(TRIM(A2),LEN(C2)+2,FIND(" ",TRIM(A2),LEN(C2)+2)-LEN(C2)-2),""),MID(TRIM(A2),3+LEN(C2)+LEN(E2),30))</f>
        <v>Kate</v>
      </c>
      <c r="E2" s="40" t="str">
        <f>IF(ISERROR(FIND(",",TRIM(A2))),MID(TRIM(A2),1+LEN(TRIM(A2))-LEN(SUBSTITUTE(TRIM(A2)," ",""))+LEN(C2)+LEN(D2),30),LEFT(TRIM(A2), FIND(",",TRIM(A2))-1))</f>
        <v>Abate</v>
      </c>
      <c r="F2" s="45" t="s">
        <v>347</v>
      </c>
      <c r="H2" t="s">
        <v>21</v>
      </c>
      <c r="I2" t="s">
        <v>22</v>
      </c>
    </row>
    <row r="3" spans="1:9" ht="15" x14ac:dyDescent="0.25">
      <c r="A3" s="41" t="s">
        <v>96</v>
      </c>
      <c r="B3" s="41"/>
      <c r="C3" s="40" t="str">
        <f t="shared" ref="C3:C30" si="0">IF(ISERROR( FIND(",",TRIM(A3))),LEFT(TRIM(A3), FIND(" ",TRIM(A3))-1),MID(TRIM(A3),LEN(C3)+3,FIND(" ",TRIM(A3)&amp;" ",LEN(C3)+3)-LEN(C3)-2))</f>
        <v>Logan</v>
      </c>
      <c r="D3" s="40" t="str">
        <f t="shared" ref="D3:D30" si="1">IF(ISERROR(FIND(",",TRIM(A3))),IF(LEN(TRIM(A3))-LEN(SUBSTITUTE(TRIM(A3)," ",""))=2,MID(TRIM(A3),LEN(C3)+2,FIND(" ",TRIM(A3),LEN(C3)+2)-LEN(C3)-2),""),MID(TRIM(A3),3+LEN(C3)+LEN(E3),30))</f>
        <v>Ford</v>
      </c>
      <c r="E3" s="40" t="str">
        <f t="shared" ref="E3:E30" si="2">IF(ISERROR(FIND(",",TRIM(A3))),MID(TRIM(A3),1+LEN(TRIM(A3))-LEN(SUBSTITUTE(TRIM(A3)," ",""))+LEN(C3)+LEN(D3),30),LEFT(TRIM(A3), FIND(",",TRIM(A3))-1))</f>
        <v>Abrams</v>
      </c>
      <c r="F3" s="41"/>
      <c r="H3" t="s">
        <v>23</v>
      </c>
      <c r="I3" t="s">
        <v>24</v>
      </c>
    </row>
    <row r="4" spans="1:9" ht="15" x14ac:dyDescent="0.25">
      <c r="A4" s="45" t="s">
        <v>97</v>
      </c>
      <c r="B4" s="41"/>
      <c r="C4" s="40" t="str">
        <f t="shared" si="0"/>
        <v>Raniya</v>
      </c>
      <c r="D4" s="40" t="str">
        <f t="shared" si="1"/>
        <v/>
      </c>
      <c r="E4" s="40" t="str">
        <f t="shared" si="2"/>
        <v>Abubakar</v>
      </c>
      <c r="F4" s="45" t="s">
        <v>348</v>
      </c>
    </row>
    <row r="5" spans="1:9" ht="15" x14ac:dyDescent="0.25">
      <c r="A5" s="41" t="s">
        <v>98</v>
      </c>
      <c r="B5" s="41"/>
      <c r="C5" s="40" t="str">
        <f t="shared" si="0"/>
        <v>Luis</v>
      </c>
      <c r="D5" s="49" t="s">
        <v>471</v>
      </c>
      <c r="E5" s="49" t="s">
        <v>470</v>
      </c>
      <c r="F5" s="41" t="s">
        <v>349</v>
      </c>
      <c r="H5" t="s">
        <v>25</v>
      </c>
      <c r="I5" t="s">
        <v>26</v>
      </c>
    </row>
    <row r="6" spans="1:9" ht="15" x14ac:dyDescent="0.25">
      <c r="A6" s="46" t="s">
        <v>99</v>
      </c>
      <c r="B6" s="41"/>
      <c r="C6" s="40" t="str">
        <f t="shared" si="0"/>
        <v>Devyn</v>
      </c>
      <c r="D6" s="40" t="str">
        <f t="shared" si="1"/>
        <v/>
      </c>
      <c r="E6" s="40" t="str">
        <f t="shared" si="2"/>
        <v>Ahlert</v>
      </c>
      <c r="F6" s="46" t="s">
        <v>350</v>
      </c>
    </row>
    <row r="7" spans="1:9" ht="15" x14ac:dyDescent="0.25">
      <c r="A7" s="41" t="s">
        <v>100</v>
      </c>
      <c r="B7" s="41"/>
      <c r="C7" s="40" t="str">
        <f t="shared" si="0"/>
        <v>Alexander</v>
      </c>
      <c r="D7" s="40" t="str">
        <f t="shared" si="1"/>
        <v/>
      </c>
      <c r="E7" s="40" t="str">
        <f t="shared" si="2"/>
        <v>Aiello</v>
      </c>
      <c r="F7" s="41" t="s">
        <v>351</v>
      </c>
    </row>
    <row r="8" spans="1:9" ht="15" x14ac:dyDescent="0.25">
      <c r="A8" s="45" t="s">
        <v>101</v>
      </c>
      <c r="B8" s="41"/>
      <c r="C8" s="40" t="str">
        <f t="shared" si="0"/>
        <v>Reese</v>
      </c>
      <c r="D8" s="40" t="str">
        <f t="shared" si="1"/>
        <v/>
      </c>
      <c r="E8" s="40" t="str">
        <f t="shared" si="2"/>
        <v>Allen</v>
      </c>
      <c r="F8" s="45" t="s">
        <v>101</v>
      </c>
    </row>
    <row r="9" spans="1:9" ht="15" x14ac:dyDescent="0.25">
      <c r="A9" s="41" t="s">
        <v>102</v>
      </c>
      <c r="B9" s="41"/>
      <c r="C9" s="40" t="str">
        <f t="shared" si="0"/>
        <v>Fabricio</v>
      </c>
      <c r="D9" s="40" t="str">
        <f t="shared" si="1"/>
        <v/>
      </c>
      <c r="E9" s="40" t="str">
        <f t="shared" si="2"/>
        <v>Amado</v>
      </c>
      <c r="F9" s="41" t="s">
        <v>352</v>
      </c>
    </row>
    <row r="10" spans="1:9" ht="15" x14ac:dyDescent="0.25">
      <c r="A10" s="45" t="s">
        <v>103</v>
      </c>
      <c r="B10" s="41"/>
      <c r="C10" s="40" t="str">
        <f t="shared" si="0"/>
        <v>Joseph</v>
      </c>
      <c r="D10" s="40" t="str">
        <f t="shared" si="1"/>
        <v/>
      </c>
      <c r="E10" s="40" t="str">
        <f t="shared" si="2"/>
        <v>Amirault</v>
      </c>
      <c r="F10" s="45"/>
    </row>
    <row r="11" spans="1:9" ht="15" x14ac:dyDescent="0.25">
      <c r="A11" s="41" t="s">
        <v>104</v>
      </c>
      <c r="B11" s="41"/>
      <c r="C11" s="40" t="str">
        <f t="shared" si="0"/>
        <v>Brady</v>
      </c>
      <c r="D11" s="40" t="str">
        <f t="shared" si="1"/>
        <v/>
      </c>
      <c r="E11" s="40" t="str">
        <f t="shared" si="2"/>
        <v>Anderson</v>
      </c>
      <c r="F11" s="41"/>
    </row>
    <row r="12" spans="1:9" ht="15" x14ac:dyDescent="0.25">
      <c r="A12" s="45" t="s">
        <v>105</v>
      </c>
      <c r="B12" s="41"/>
      <c r="C12" s="40" t="str">
        <f t="shared" si="0"/>
        <v>Barrington</v>
      </c>
      <c r="D12" s="40" t="str">
        <f t="shared" si="1"/>
        <v/>
      </c>
      <c r="E12" s="40" t="str">
        <f t="shared" si="2"/>
        <v>Anderson</v>
      </c>
      <c r="F12" s="45"/>
    </row>
    <row r="13" spans="1:9" ht="15" x14ac:dyDescent="0.25">
      <c r="A13" s="41" t="s">
        <v>106</v>
      </c>
      <c r="B13" s="41"/>
      <c r="C13" s="40" t="str">
        <f t="shared" si="0"/>
        <v>Isabella</v>
      </c>
      <c r="D13" s="40" t="str">
        <f t="shared" si="1"/>
        <v/>
      </c>
      <c r="E13" s="40" t="str">
        <f t="shared" si="2"/>
        <v>Aquino</v>
      </c>
      <c r="F13" s="41" t="s">
        <v>353</v>
      </c>
    </row>
    <row r="14" spans="1:9" ht="15" x14ac:dyDescent="0.25">
      <c r="A14" s="45" t="s">
        <v>107</v>
      </c>
      <c r="B14" s="41"/>
      <c r="C14" s="40" t="str">
        <f t="shared" si="0"/>
        <v>Lucas</v>
      </c>
      <c r="D14" s="40" t="str">
        <f t="shared" si="1"/>
        <v/>
      </c>
      <c r="E14" s="40" t="str">
        <f t="shared" si="2"/>
        <v>Aquino</v>
      </c>
      <c r="F14" s="45"/>
    </row>
    <row r="15" spans="1:9" ht="15" x14ac:dyDescent="0.25">
      <c r="A15" s="41" t="s">
        <v>108</v>
      </c>
      <c r="B15" s="41"/>
      <c r="C15" s="40" t="str">
        <f t="shared" si="0"/>
        <v>Tiago</v>
      </c>
      <c r="D15" s="40" t="str">
        <f t="shared" si="1"/>
        <v/>
      </c>
      <c r="E15" s="40" t="str">
        <f t="shared" si="2"/>
        <v>Araujo</v>
      </c>
      <c r="F15" s="41" t="s">
        <v>354</v>
      </c>
    </row>
    <row r="16" spans="1:9" ht="15" x14ac:dyDescent="0.25">
      <c r="A16" s="46" t="s">
        <v>109</v>
      </c>
      <c r="B16" s="41"/>
      <c r="C16" s="40" t="str">
        <f t="shared" si="0"/>
        <v>Chloe</v>
      </c>
      <c r="D16" s="40" t="str">
        <f t="shared" si="1"/>
        <v/>
      </c>
      <c r="E16" s="40" t="str">
        <f t="shared" si="2"/>
        <v>Aretusi</v>
      </c>
      <c r="F16" s="46" t="s">
        <v>355</v>
      </c>
    </row>
    <row r="17" spans="1:6" ht="15" x14ac:dyDescent="0.25">
      <c r="A17" s="46" t="s">
        <v>110</v>
      </c>
      <c r="B17" s="41"/>
      <c r="C17" s="40" t="str">
        <f t="shared" si="0"/>
        <v>Evan</v>
      </c>
      <c r="D17" s="40" t="str">
        <f t="shared" si="1"/>
        <v/>
      </c>
      <c r="E17" s="40" t="str">
        <f t="shared" si="2"/>
        <v>Audley</v>
      </c>
      <c r="F17" s="46"/>
    </row>
    <row r="18" spans="1:6" ht="15" x14ac:dyDescent="0.25">
      <c r="A18" s="46" t="s">
        <v>111</v>
      </c>
      <c r="B18" s="41"/>
      <c r="C18" s="40" t="str">
        <f t="shared" si="0"/>
        <v>Natalie</v>
      </c>
      <c r="D18" s="40" t="str">
        <f t="shared" si="1"/>
        <v/>
      </c>
      <c r="E18" s="40" t="str">
        <f t="shared" si="2"/>
        <v>Austin</v>
      </c>
      <c r="F18" s="46"/>
    </row>
    <row r="19" spans="1:6" ht="15" x14ac:dyDescent="0.25">
      <c r="A19" s="41" t="s">
        <v>112</v>
      </c>
      <c r="B19" s="41"/>
      <c r="C19" s="40" t="str">
        <f t="shared" si="0"/>
        <v>Vivian</v>
      </c>
      <c r="D19" s="40" t="str">
        <f t="shared" si="1"/>
        <v/>
      </c>
      <c r="E19" s="40" t="str">
        <f t="shared" si="2"/>
        <v>Balas</v>
      </c>
      <c r="F19" s="41"/>
    </row>
    <row r="20" spans="1:6" ht="15" x14ac:dyDescent="0.25">
      <c r="A20" s="45" t="s">
        <v>113</v>
      </c>
      <c r="B20" s="41"/>
      <c r="C20" s="40" t="str">
        <f t="shared" si="0"/>
        <v>Kaua</v>
      </c>
      <c r="D20" s="40" t="str">
        <f t="shared" si="1"/>
        <v/>
      </c>
      <c r="E20" s="40" t="str">
        <f t="shared" si="2"/>
        <v>Batista</v>
      </c>
      <c r="F20" s="45" t="s">
        <v>356</v>
      </c>
    </row>
    <row r="21" spans="1:6" ht="15" x14ac:dyDescent="0.25">
      <c r="A21" s="41" t="s">
        <v>114</v>
      </c>
      <c r="B21" s="41"/>
      <c r="C21" s="40" t="str">
        <f t="shared" si="0"/>
        <v>Carson</v>
      </c>
      <c r="D21" s="40" t="str">
        <f t="shared" si="1"/>
        <v/>
      </c>
      <c r="E21" s="40" t="str">
        <f t="shared" si="2"/>
        <v>Beaulieu</v>
      </c>
      <c r="F21" s="41" t="s">
        <v>357</v>
      </c>
    </row>
    <row r="22" spans="1:6" ht="15" x14ac:dyDescent="0.25">
      <c r="A22" s="45" t="s">
        <v>115</v>
      </c>
      <c r="B22" s="41"/>
      <c r="C22" s="40" t="str">
        <f t="shared" si="0"/>
        <v>Jahnai</v>
      </c>
      <c r="D22" s="40" t="str">
        <f t="shared" si="1"/>
        <v/>
      </c>
      <c r="E22" s="40" t="str">
        <f t="shared" si="2"/>
        <v>Belfon</v>
      </c>
      <c r="F22" s="45" t="s">
        <v>358</v>
      </c>
    </row>
    <row r="23" spans="1:6" ht="15" x14ac:dyDescent="0.25">
      <c r="A23" s="46" t="s">
        <v>116</v>
      </c>
      <c r="B23" s="41"/>
      <c r="C23" s="40" t="str">
        <f t="shared" si="0"/>
        <v>Amelia</v>
      </c>
      <c r="D23" s="40" t="str">
        <f t="shared" si="1"/>
        <v/>
      </c>
      <c r="E23" s="40" t="str">
        <f t="shared" si="2"/>
        <v>Benedict</v>
      </c>
      <c r="F23" s="46"/>
    </row>
    <row r="24" spans="1:6" ht="15" x14ac:dyDescent="0.25">
      <c r="A24" s="45" t="s">
        <v>117</v>
      </c>
      <c r="B24" s="41"/>
      <c r="C24" s="40" t="str">
        <f t="shared" si="0"/>
        <v>Jamison</v>
      </c>
      <c r="D24" s="40" t="str">
        <f t="shared" si="1"/>
        <v/>
      </c>
      <c r="E24" s="40" t="str">
        <f t="shared" si="2"/>
        <v>Bentley</v>
      </c>
      <c r="F24" s="45"/>
    </row>
    <row r="25" spans="1:6" ht="15" x14ac:dyDescent="0.25">
      <c r="A25" s="46" t="s">
        <v>118</v>
      </c>
      <c r="B25" s="41"/>
      <c r="C25" s="40" t="str">
        <f t="shared" si="0"/>
        <v>Dhanya</v>
      </c>
      <c r="D25" s="40" t="str">
        <f t="shared" si="1"/>
        <v/>
      </c>
      <c r="E25" s="40" t="str">
        <f t="shared" si="2"/>
        <v>Bhola</v>
      </c>
      <c r="F25" s="46" t="s">
        <v>359</v>
      </c>
    </row>
    <row r="26" spans="1:6" ht="15" x14ac:dyDescent="0.25">
      <c r="A26" s="46" t="s">
        <v>119</v>
      </c>
      <c r="B26" s="41"/>
      <c r="C26" s="40" t="str">
        <f t="shared" si="0"/>
        <v>Amelia</v>
      </c>
      <c r="D26" s="40" t="str">
        <f t="shared" si="1"/>
        <v>Jane</v>
      </c>
      <c r="E26" s="40" t="str">
        <f t="shared" si="2"/>
        <v>Borawski</v>
      </c>
      <c r="F26" s="46"/>
    </row>
    <row r="27" spans="1:6" ht="15" x14ac:dyDescent="0.25">
      <c r="A27" s="41" t="s">
        <v>120</v>
      </c>
      <c r="B27" s="41"/>
      <c r="C27" s="40" t="str">
        <f t="shared" si="0"/>
        <v>Elizabeth</v>
      </c>
      <c r="D27" s="40" t="str">
        <f t="shared" si="1"/>
        <v/>
      </c>
      <c r="E27" s="40" t="str">
        <f t="shared" si="2"/>
        <v>Boucher</v>
      </c>
      <c r="F27" s="41" t="s">
        <v>360</v>
      </c>
    </row>
    <row r="28" spans="1:6" ht="15" x14ac:dyDescent="0.25">
      <c r="A28" s="46" t="s">
        <v>121</v>
      </c>
      <c r="B28" s="41"/>
      <c r="C28" s="40" t="str">
        <f t="shared" si="0"/>
        <v>Danielle</v>
      </c>
      <c r="D28" s="40" t="str">
        <f t="shared" si="1"/>
        <v/>
      </c>
      <c r="E28" s="40" t="str">
        <f t="shared" si="2"/>
        <v>Bowers</v>
      </c>
      <c r="F28" s="46"/>
    </row>
    <row r="29" spans="1:6" ht="15" x14ac:dyDescent="0.25">
      <c r="A29" s="41" t="s">
        <v>122</v>
      </c>
      <c r="B29" s="41"/>
      <c r="C29" s="40" t="str">
        <f t="shared" si="0"/>
        <v>Lucas</v>
      </c>
      <c r="D29" s="40" t="str">
        <f t="shared" si="1"/>
        <v/>
      </c>
      <c r="E29" s="40" t="str">
        <f t="shared" si="2"/>
        <v>Bowlin</v>
      </c>
      <c r="F29" s="41" t="s">
        <v>361</v>
      </c>
    </row>
    <row r="30" spans="1:6" ht="15" x14ac:dyDescent="0.25">
      <c r="A30" s="45" t="s">
        <v>438</v>
      </c>
      <c r="B30" s="41"/>
      <c r="C30" s="40" t="str">
        <f t="shared" si="0"/>
        <v>Indigo</v>
      </c>
      <c r="D30" s="40" t="str">
        <f t="shared" si="1"/>
        <v/>
      </c>
      <c r="E30" s="40" t="str">
        <f t="shared" si="2"/>
        <v>Boyko</v>
      </c>
      <c r="F30" s="45"/>
    </row>
    <row r="31" spans="1:6" ht="15" x14ac:dyDescent="0.25">
      <c r="A31" s="41" t="s">
        <v>123</v>
      </c>
      <c r="B31" s="41"/>
      <c r="C31" s="40" t="str">
        <f>IF(ISERROR( FIND(",",TRIM(A31))),LEFT(TRIM(A31), FIND(" ",TRIM(A31))-1),MID(TRIM(A31),LEN(C31)+3,FIND(" ",TRIM(A31)&amp;" ",LEN(C31)+3)-LEN(C31)-2))</f>
        <v>Kaleb</v>
      </c>
      <c r="D31" s="40" t="str">
        <f>IF(ISERROR(FIND(",",TRIM(A31))),IF(LEN(TRIM(A31))-LEN(SUBSTITUTE(TRIM(A31)," ",""))=2,MID(TRIM(A31),LEN(C31)+2,FIND(" ",TRIM(A31),LEN(C31)+2)-LEN(C31)-2),""),MID(TRIM(A31),3+LEN(C31)+LEN(E31),30))</f>
        <v/>
      </c>
      <c r="E31" s="40" t="str">
        <f>IF(ISERROR(FIND(",",TRIM(A31))),MID(TRIM(A31),1+LEN(TRIM(A31))-LEN(SUBSTITUTE(TRIM(A31)," ",""))+LEN(C31)+LEN(D31),30),LEFT(TRIM(A31), FIND(",",TRIM(A31))-1))</f>
        <v>Brady</v>
      </c>
      <c r="F31" s="41"/>
    </row>
    <row r="32" spans="1:6" ht="15" x14ac:dyDescent="0.25">
      <c r="A32" s="45" t="s">
        <v>124</v>
      </c>
      <c r="B32" s="41"/>
      <c r="C32" s="40" t="str">
        <f t="shared" ref="C32:C68" si="3">IF(ISERROR( FIND(",",TRIM(A32))),LEFT(TRIM(A32), FIND(" ",TRIM(A32))-1),MID(TRIM(A32),LEN(C32)+3,FIND(" ",TRIM(A32)&amp;" ",LEN(C32)+3)-LEN(C32)-2))</f>
        <v>A.J.</v>
      </c>
      <c r="D32" s="40" t="str">
        <f t="shared" ref="D32:D68" si="4">IF(ISERROR(FIND(",",TRIM(A32))),IF(LEN(TRIM(A32))-LEN(SUBSTITUTE(TRIM(A32)," ",""))=2,MID(TRIM(A32),LEN(C32)+2,FIND(" ",TRIM(A32),LEN(C32)+2)-LEN(C32)-2),""),MID(TRIM(A32),3+LEN(C32)+LEN(E32),30))</f>
        <v/>
      </c>
      <c r="E32" s="40" t="str">
        <f t="shared" ref="E32:E68" si="5">IF(ISERROR(FIND(",",TRIM(A32))),MID(TRIM(A32),1+LEN(TRIM(A32))-LEN(SUBSTITUTE(TRIM(A32)," ",""))+LEN(C32)+LEN(D32),30),LEFT(TRIM(A32), FIND(",",TRIM(A32))-1))</f>
        <v>Bramante</v>
      </c>
      <c r="F32" s="45"/>
    </row>
    <row r="33" spans="1:6" ht="15" x14ac:dyDescent="0.25">
      <c r="A33" s="46" t="s">
        <v>125</v>
      </c>
      <c r="B33" s="41"/>
      <c r="C33" s="40" t="str">
        <f t="shared" si="3"/>
        <v>Ashley</v>
      </c>
      <c r="D33" s="40" t="str">
        <f t="shared" si="4"/>
        <v/>
      </c>
      <c r="E33" s="40" t="str">
        <f t="shared" si="5"/>
        <v>Brown</v>
      </c>
      <c r="F33" s="46"/>
    </row>
    <row r="34" spans="1:6" ht="15" x14ac:dyDescent="0.25">
      <c r="A34" s="46" t="s">
        <v>126</v>
      </c>
      <c r="B34" s="41"/>
      <c r="C34" s="40" t="str">
        <f t="shared" si="3"/>
        <v>Elijah</v>
      </c>
      <c r="D34" s="40" t="str">
        <f t="shared" si="4"/>
        <v/>
      </c>
      <c r="E34" s="40" t="str">
        <f t="shared" si="5"/>
        <v>Brown</v>
      </c>
      <c r="F34" s="46"/>
    </row>
    <row r="35" spans="1:6" ht="15" x14ac:dyDescent="0.25">
      <c r="A35" s="47" t="s">
        <v>127</v>
      </c>
      <c r="B35" s="41"/>
      <c r="C35" s="40" t="str">
        <f t="shared" ca="1" si="3"/>
        <v>Devyn</v>
      </c>
      <c r="D35" s="40" t="str">
        <f t="shared" ca="1" si="4"/>
        <v/>
      </c>
      <c r="E35" s="40" t="str">
        <f t="shared" si="5"/>
        <v>Luke Anthony Bunker (not eligible not walking</v>
      </c>
      <c r="F35" s="47"/>
    </row>
    <row r="36" spans="1:6" ht="15" x14ac:dyDescent="0.25">
      <c r="A36" s="45" t="s">
        <v>128</v>
      </c>
      <c r="B36" s="41"/>
      <c r="C36" s="40" t="str">
        <f t="shared" si="3"/>
        <v>Braeden</v>
      </c>
      <c r="D36" s="40" t="str">
        <f t="shared" si="4"/>
        <v/>
      </c>
      <c r="E36" s="40" t="str">
        <f t="shared" si="5"/>
        <v>Callan</v>
      </c>
      <c r="F36" s="45"/>
    </row>
    <row r="37" spans="1:6" ht="15" x14ac:dyDescent="0.25">
      <c r="A37" s="41" t="s">
        <v>129</v>
      </c>
      <c r="B37" s="41"/>
      <c r="C37" s="40" t="str">
        <f t="shared" si="3"/>
        <v>Nilton</v>
      </c>
      <c r="D37" s="40" t="str">
        <f t="shared" si="4"/>
        <v/>
      </c>
      <c r="E37" s="40" t="str">
        <f t="shared" si="5"/>
        <v>Campos</v>
      </c>
      <c r="F37" s="41"/>
    </row>
    <row r="38" spans="1:6" ht="15" x14ac:dyDescent="0.25">
      <c r="A38" s="45" t="s">
        <v>130</v>
      </c>
      <c r="B38" s="41"/>
      <c r="C38" s="40" t="str">
        <f t="shared" si="3"/>
        <v>Ethan</v>
      </c>
      <c r="D38" s="40" t="str">
        <f t="shared" si="4"/>
        <v/>
      </c>
      <c r="E38" s="40" t="str">
        <f t="shared" si="5"/>
        <v>Cannon</v>
      </c>
      <c r="F38" s="45"/>
    </row>
    <row r="39" spans="1:6" ht="15" x14ac:dyDescent="0.25">
      <c r="A39" s="41" t="s">
        <v>131</v>
      </c>
      <c r="B39" s="41"/>
      <c r="C39" s="40" t="str">
        <f t="shared" si="3"/>
        <v>Lucas</v>
      </c>
      <c r="D39" s="40" t="str">
        <f t="shared" si="4"/>
        <v/>
      </c>
      <c r="E39" s="40" t="str">
        <f t="shared" si="5"/>
        <v>Carcione</v>
      </c>
      <c r="F39" s="41" t="s">
        <v>362</v>
      </c>
    </row>
    <row r="40" spans="1:6" ht="15" x14ac:dyDescent="0.25">
      <c r="A40" s="46" t="s">
        <v>132</v>
      </c>
      <c r="B40" s="41"/>
      <c r="C40" s="40" t="str">
        <f t="shared" si="3"/>
        <v>Nicholas</v>
      </c>
      <c r="D40" s="40" t="str">
        <f t="shared" si="4"/>
        <v>Joseph</v>
      </c>
      <c r="E40" s="40" t="str">
        <f t="shared" si="5"/>
        <v>Casarano</v>
      </c>
      <c r="F40" s="46"/>
    </row>
    <row r="41" spans="1:6" ht="15" x14ac:dyDescent="0.25">
      <c r="A41" s="41" t="s">
        <v>133</v>
      </c>
      <c r="B41" s="41"/>
      <c r="C41" s="40" t="str">
        <f t="shared" si="3"/>
        <v>Maggie</v>
      </c>
      <c r="D41" s="40" t="str">
        <f t="shared" si="4"/>
        <v/>
      </c>
      <c r="E41" s="40" t="str">
        <f t="shared" si="5"/>
        <v>Champlin-Scharff</v>
      </c>
      <c r="F41" s="41"/>
    </row>
    <row r="42" spans="1:6" ht="15" x14ac:dyDescent="0.25">
      <c r="A42" s="45" t="s">
        <v>134</v>
      </c>
      <c r="B42" s="41"/>
      <c r="C42" s="40" t="str">
        <f t="shared" si="3"/>
        <v>Elsa</v>
      </c>
      <c r="D42" s="40" t="str">
        <f t="shared" si="4"/>
        <v/>
      </c>
      <c r="E42" s="40" t="str">
        <f t="shared" si="5"/>
        <v>Chow</v>
      </c>
      <c r="F42" s="45"/>
    </row>
    <row r="43" spans="1:6" ht="15" x14ac:dyDescent="0.25">
      <c r="A43" s="41" t="s">
        <v>479</v>
      </c>
      <c r="B43" s="41"/>
      <c r="C43" s="40" t="str">
        <f t="shared" si="3"/>
        <v>Will</v>
      </c>
      <c r="D43" s="40" t="str">
        <f t="shared" si="4"/>
        <v/>
      </c>
      <c r="E43" s="40" t="str">
        <f t="shared" si="5"/>
        <v>Chute</v>
      </c>
      <c r="F43" s="41"/>
    </row>
    <row r="44" spans="1:6" ht="15" x14ac:dyDescent="0.25">
      <c r="A44" s="46" t="s">
        <v>135</v>
      </c>
      <c r="B44" s="41"/>
      <c r="C44" s="40" t="str">
        <f t="shared" si="3"/>
        <v>Max</v>
      </c>
      <c r="D44" s="40" t="str">
        <f t="shared" si="4"/>
        <v/>
      </c>
      <c r="E44" s="40" t="str">
        <f t="shared" si="5"/>
        <v>Cinelli</v>
      </c>
      <c r="F44" s="46"/>
    </row>
    <row r="45" spans="1:6" ht="15" x14ac:dyDescent="0.25">
      <c r="A45" s="46" t="s">
        <v>136</v>
      </c>
      <c r="B45" s="41"/>
      <c r="C45" s="40" t="str">
        <f t="shared" si="3"/>
        <v>Olivia</v>
      </c>
      <c r="D45" s="40" t="str">
        <f t="shared" si="4"/>
        <v>Marie</v>
      </c>
      <c r="E45" s="40" t="str">
        <f t="shared" si="5"/>
        <v>Cirrone</v>
      </c>
      <c r="F45" s="46" t="s">
        <v>363</v>
      </c>
    </row>
    <row r="46" spans="1:6" ht="15" x14ac:dyDescent="0.25">
      <c r="A46" s="45" t="s">
        <v>137</v>
      </c>
      <c r="B46" s="41"/>
      <c r="C46" s="40" t="str">
        <f t="shared" si="3"/>
        <v>Chadley</v>
      </c>
      <c r="D46" s="40" t="str">
        <f t="shared" si="4"/>
        <v/>
      </c>
      <c r="E46" s="40" t="str">
        <f t="shared" si="5"/>
        <v>Civil</v>
      </c>
      <c r="F46" s="45"/>
    </row>
    <row r="47" spans="1:6" ht="15" x14ac:dyDescent="0.25">
      <c r="A47" s="41" t="s">
        <v>138</v>
      </c>
      <c r="B47" s="41"/>
      <c r="C47" s="40" t="str">
        <f t="shared" si="3"/>
        <v>Sam</v>
      </c>
      <c r="D47" s="40" t="str">
        <f t="shared" si="4"/>
        <v/>
      </c>
      <c r="E47" s="40" t="str">
        <f t="shared" si="5"/>
        <v>Clark</v>
      </c>
      <c r="F47" s="41"/>
    </row>
    <row r="48" spans="1:6" ht="15" x14ac:dyDescent="0.25">
      <c r="A48" s="46" t="s">
        <v>139</v>
      </c>
      <c r="B48" s="41"/>
      <c r="C48" s="40" t="str">
        <f t="shared" si="3"/>
        <v>Thomas</v>
      </c>
      <c r="D48" s="40" t="str">
        <f t="shared" si="4"/>
        <v/>
      </c>
      <c r="E48" s="40" t="str">
        <f t="shared" si="5"/>
        <v>Cockrell</v>
      </c>
      <c r="F48" s="46"/>
    </row>
    <row r="49" spans="1:6" ht="15" x14ac:dyDescent="0.25">
      <c r="A49" s="47" t="s">
        <v>140</v>
      </c>
      <c r="B49" s="41"/>
      <c r="C49" s="40" t="str">
        <f t="shared" ca="1" si="3"/>
        <v>Barrington</v>
      </c>
      <c r="D49" s="40" t="str">
        <f t="shared" ca="1" si="4"/>
        <v/>
      </c>
      <c r="E49" s="40" t="str">
        <f t="shared" si="5"/>
        <v>Rosie Columb (not eligible</v>
      </c>
      <c r="F49" s="47"/>
    </row>
    <row r="50" spans="1:6" ht="15" x14ac:dyDescent="0.25">
      <c r="A50" s="45" t="s">
        <v>141</v>
      </c>
      <c r="B50" s="41"/>
      <c r="C50" s="40" t="str">
        <f t="shared" si="3"/>
        <v>Brady</v>
      </c>
      <c r="D50" s="40" t="str">
        <f t="shared" si="4"/>
        <v/>
      </c>
      <c r="E50" s="40" t="str">
        <f t="shared" si="5"/>
        <v>Comenos</v>
      </c>
      <c r="F50" s="45" t="s">
        <v>364</v>
      </c>
    </row>
    <row r="51" spans="1:6" ht="15" x14ac:dyDescent="0.25">
      <c r="A51" s="41" t="s">
        <v>440</v>
      </c>
      <c r="B51" s="41"/>
      <c r="C51" s="40" t="str">
        <f t="shared" si="3"/>
        <v>Landen</v>
      </c>
      <c r="D51" s="40" t="str">
        <f t="shared" si="4"/>
        <v/>
      </c>
      <c r="E51" s="40" t="str">
        <f t="shared" si="5"/>
        <v>Connelly</v>
      </c>
      <c r="F51" s="41" t="s">
        <v>142</v>
      </c>
    </row>
    <row r="52" spans="1:6" ht="15" x14ac:dyDescent="0.25">
      <c r="A52" s="45" t="s">
        <v>143</v>
      </c>
      <c r="B52" s="41"/>
      <c r="C52" s="40" t="str">
        <f t="shared" si="3"/>
        <v>Tim</v>
      </c>
      <c r="D52" s="40" t="str">
        <f t="shared" si="4"/>
        <v/>
      </c>
      <c r="E52" s="40" t="str">
        <f t="shared" si="5"/>
        <v>Connolly</v>
      </c>
      <c r="F52" s="45"/>
    </row>
    <row r="53" spans="1:6" ht="15" x14ac:dyDescent="0.25">
      <c r="A53" s="46" t="s">
        <v>144</v>
      </c>
      <c r="B53" s="41"/>
      <c r="C53" s="40" t="str">
        <f t="shared" si="3"/>
        <v>Derek</v>
      </c>
      <c r="D53" s="40" t="str">
        <f t="shared" si="4"/>
        <v/>
      </c>
      <c r="E53" s="40" t="str">
        <f t="shared" si="5"/>
        <v>Connor</v>
      </c>
      <c r="F53" s="46" t="s">
        <v>144</v>
      </c>
    </row>
    <row r="54" spans="1:6" ht="15" x14ac:dyDescent="0.25">
      <c r="A54" s="45" t="s">
        <v>145</v>
      </c>
      <c r="B54" s="41"/>
      <c r="C54" s="40" t="str">
        <f t="shared" si="3"/>
        <v>Kayla</v>
      </c>
      <c r="D54" s="40" t="str">
        <f t="shared" si="4"/>
        <v/>
      </c>
      <c r="E54" s="40" t="str">
        <f t="shared" si="5"/>
        <v>Cox</v>
      </c>
      <c r="F54" s="45"/>
    </row>
    <row r="55" spans="1:6" ht="15" x14ac:dyDescent="0.25">
      <c r="A55" s="41" t="s">
        <v>146</v>
      </c>
      <c r="B55" s="41"/>
      <c r="C55" s="40" t="str">
        <f t="shared" si="3"/>
        <v>John</v>
      </c>
      <c r="D55" s="40" t="str">
        <f t="shared" si="4"/>
        <v/>
      </c>
      <c r="E55" s="40" t="str">
        <f t="shared" si="5"/>
        <v>Coyne</v>
      </c>
      <c r="F55" s="41"/>
    </row>
    <row r="56" spans="1:6" ht="15" x14ac:dyDescent="0.25">
      <c r="A56" s="45" t="s">
        <v>147</v>
      </c>
      <c r="B56" s="41"/>
      <c r="C56" s="40" t="str">
        <f t="shared" si="3"/>
        <v>Lily</v>
      </c>
      <c r="D56" s="40" t="str">
        <f t="shared" si="4"/>
        <v/>
      </c>
      <c r="E56" s="40" t="str">
        <f t="shared" si="5"/>
        <v>Crosby</v>
      </c>
      <c r="F56" s="45"/>
    </row>
    <row r="57" spans="1:6" ht="15" x14ac:dyDescent="0.25">
      <c r="A57" s="46" t="s">
        <v>148</v>
      </c>
      <c r="B57" s="41"/>
      <c r="C57" s="40" t="str">
        <f t="shared" si="3"/>
        <v>Molly</v>
      </c>
      <c r="D57" s="40" t="str">
        <f t="shared" si="4"/>
        <v/>
      </c>
      <c r="E57" s="40" t="str">
        <f t="shared" si="5"/>
        <v>Crowley</v>
      </c>
      <c r="F57" s="46"/>
    </row>
    <row r="58" spans="1:6" ht="15" x14ac:dyDescent="0.25">
      <c r="A58" s="45" t="s">
        <v>149</v>
      </c>
      <c r="B58" s="41"/>
      <c r="C58" s="40" t="str">
        <f t="shared" si="3"/>
        <v>Shea</v>
      </c>
      <c r="D58" s="40" t="str">
        <f t="shared" si="4"/>
        <v/>
      </c>
      <c r="E58" s="40" t="str">
        <f t="shared" si="5"/>
        <v>Cullen</v>
      </c>
      <c r="F58" s="45"/>
    </row>
    <row r="59" spans="1:6" ht="15" x14ac:dyDescent="0.25">
      <c r="A59" s="46" t="s">
        <v>150</v>
      </c>
      <c r="B59" s="41"/>
      <c r="C59" s="40" t="str">
        <f t="shared" si="3"/>
        <v>Jacklyn</v>
      </c>
      <c r="D59" s="40" t="str">
        <f t="shared" si="4"/>
        <v/>
      </c>
      <c r="E59" s="40" t="str">
        <f t="shared" si="5"/>
        <v>Cusolito</v>
      </c>
      <c r="F59" s="46"/>
    </row>
    <row r="60" spans="1:6" ht="15" x14ac:dyDescent="0.25">
      <c r="A60" s="46" t="s">
        <v>151</v>
      </c>
      <c r="B60" s="41"/>
      <c r="C60" s="40" t="str">
        <f t="shared" si="3"/>
        <v>Paige</v>
      </c>
      <c r="D60" s="40" t="str">
        <f t="shared" si="4"/>
        <v/>
      </c>
      <c r="E60" s="40" t="str">
        <f t="shared" si="5"/>
        <v>Cusolito</v>
      </c>
      <c r="F60" s="46"/>
    </row>
    <row r="61" spans="1:6" ht="15" x14ac:dyDescent="0.25">
      <c r="A61" s="47" t="s">
        <v>441</v>
      </c>
      <c r="B61" s="41"/>
      <c r="C61" s="40" t="str">
        <f t="shared" si="3"/>
        <v>Hans</v>
      </c>
      <c r="D61" s="40" t="str">
        <f t="shared" si="4"/>
        <v/>
      </c>
      <c r="E61" s="40" t="str">
        <f t="shared" si="5"/>
        <v>Dankers</v>
      </c>
      <c r="F61" s="47"/>
    </row>
    <row r="62" spans="1:6" ht="15" x14ac:dyDescent="0.25">
      <c r="A62" s="45" t="s">
        <v>152</v>
      </c>
      <c r="B62" s="41"/>
      <c r="C62" s="40" t="str">
        <f t="shared" si="3"/>
        <v>Walick</v>
      </c>
      <c r="D62" s="40"/>
      <c r="E62" s="49" t="s">
        <v>476</v>
      </c>
      <c r="F62" s="45" t="s">
        <v>365</v>
      </c>
    </row>
    <row r="63" spans="1:6" ht="15" x14ac:dyDescent="0.25">
      <c r="A63" s="47" t="s">
        <v>153</v>
      </c>
      <c r="B63" s="41"/>
      <c r="C63" s="40" t="str">
        <f t="shared" ca="1" si="3"/>
        <v>Amelia</v>
      </c>
      <c r="D63" s="40" t="str">
        <f t="shared" ca="1" si="4"/>
        <v>Jane</v>
      </c>
      <c r="E63" s="40" t="str">
        <f t="shared" si="5"/>
        <v>Hadley Davis (program only</v>
      </c>
      <c r="F63" s="47"/>
    </row>
    <row r="64" spans="1:6" ht="15" x14ac:dyDescent="0.25">
      <c r="A64" s="45" t="s">
        <v>154</v>
      </c>
      <c r="B64" s="41"/>
      <c r="C64" s="40" t="str">
        <f t="shared" si="3"/>
        <v>Cooper</v>
      </c>
      <c r="D64" s="40" t="str">
        <f t="shared" si="4"/>
        <v>Joseph</v>
      </c>
      <c r="E64" s="40" t="str">
        <f t="shared" si="5"/>
        <v>Dean</v>
      </c>
      <c r="F64" s="45" t="s">
        <v>366</v>
      </c>
    </row>
    <row r="65" spans="1:6" ht="15" x14ac:dyDescent="0.25">
      <c r="A65" s="41" t="s">
        <v>477</v>
      </c>
      <c r="B65" s="41"/>
      <c r="C65" s="40" t="str">
        <f t="shared" si="3"/>
        <v>Happiness</v>
      </c>
      <c r="D65" s="40" t="str">
        <f t="shared" si="4"/>
        <v>Osarugue</v>
      </c>
      <c r="E65" s="40" t="str">
        <f t="shared" si="5"/>
        <v>Deji</v>
      </c>
      <c r="F65" s="41" t="s">
        <v>367</v>
      </c>
    </row>
    <row r="66" spans="1:6" ht="15" x14ac:dyDescent="0.25">
      <c r="A66" s="45" t="s">
        <v>155</v>
      </c>
      <c r="B66" s="41"/>
      <c r="C66" s="40" t="str">
        <f t="shared" si="3"/>
        <v>Jack</v>
      </c>
      <c r="D66" s="40" t="str">
        <f t="shared" si="4"/>
        <v/>
      </c>
      <c r="E66" s="40" t="str">
        <f t="shared" si="5"/>
        <v>Denmark</v>
      </c>
      <c r="F66" s="45"/>
    </row>
    <row r="67" spans="1:6" ht="15" x14ac:dyDescent="0.25">
      <c r="A67" s="41" t="s">
        <v>156</v>
      </c>
      <c r="B67" s="41"/>
      <c r="C67" s="40" t="str">
        <f t="shared" si="3"/>
        <v>Julie</v>
      </c>
      <c r="D67" s="40" t="str">
        <f t="shared" si="4"/>
        <v/>
      </c>
      <c r="E67" s="40" t="str">
        <f t="shared" si="5"/>
        <v>DiDonato</v>
      </c>
      <c r="F67" s="41" t="s">
        <v>368</v>
      </c>
    </row>
    <row r="68" spans="1:6" ht="15" x14ac:dyDescent="0.25">
      <c r="A68" s="46" t="s">
        <v>158</v>
      </c>
      <c r="B68" s="41"/>
      <c r="C68" s="40" t="str">
        <f t="shared" si="3"/>
        <v>Antonio</v>
      </c>
      <c r="D68" s="40" t="str">
        <f t="shared" si="4"/>
        <v>Joseph</v>
      </c>
      <c r="E68" s="40" t="str">
        <f t="shared" si="5"/>
        <v>DiSerio</v>
      </c>
      <c r="F68" s="46"/>
    </row>
    <row r="69" spans="1:6" ht="15" x14ac:dyDescent="0.25">
      <c r="A69" s="41" t="s">
        <v>157</v>
      </c>
      <c r="B69" s="41"/>
      <c r="C69" s="40" t="str">
        <f t="shared" ref="C69:C132" si="6">IF(ISERROR( FIND(",",TRIM(A69))),LEFT(TRIM(A69), FIND(" ",TRIM(A69))-1),MID(TRIM(A69),LEN(C69)+3,FIND(" ",TRIM(A69)&amp;" ",LEN(C69)+3)-LEN(C69)-2))</f>
        <v>Dante</v>
      </c>
      <c r="D69" s="40" t="str">
        <f t="shared" ref="D69:D132" si="7">IF(ISERROR(FIND(",",TRIM(A69))),IF(LEN(TRIM(A69))-LEN(SUBSTITUTE(TRIM(A69)," ",""))=2,MID(TRIM(A69),LEN(C69)+2,FIND(" ",TRIM(A69),LEN(C69)+2)-LEN(C69)-2),""),MID(TRIM(A69),3+LEN(C69)+LEN(E69),30))</f>
        <v/>
      </c>
      <c r="E69" s="40" t="str">
        <f t="shared" ref="E69:E132" si="8">IF(ISERROR(FIND(",",TRIM(A69))),MID(TRIM(A69),1+LEN(TRIM(A69))-LEN(SUBSTITUTE(TRIM(A69)," ",""))+LEN(C69)+LEN(D69),30),LEFT(TRIM(A69), FIND(",",TRIM(A69))-1))</f>
        <v>DiSerio</v>
      </c>
      <c r="F69" s="41" t="s">
        <v>369</v>
      </c>
    </row>
    <row r="70" spans="1:6" ht="15" x14ac:dyDescent="0.25">
      <c r="A70" s="45" t="s">
        <v>159</v>
      </c>
      <c r="B70" s="41"/>
      <c r="C70" s="40" t="str">
        <f t="shared" si="6"/>
        <v>Caitlin</v>
      </c>
      <c r="D70" s="40" t="str">
        <f t="shared" si="7"/>
        <v>Anne</v>
      </c>
      <c r="E70" s="40" t="str">
        <f t="shared" si="8"/>
        <v>Donaghey</v>
      </c>
      <c r="F70" s="45" t="s">
        <v>370</v>
      </c>
    </row>
    <row r="71" spans="1:6" ht="15" x14ac:dyDescent="0.25">
      <c r="A71" s="46" t="s">
        <v>160</v>
      </c>
      <c r="B71" s="41"/>
      <c r="C71" s="40" t="str">
        <f t="shared" si="6"/>
        <v>Quinn</v>
      </c>
      <c r="D71" s="40" t="str">
        <f t="shared" si="7"/>
        <v>Kendall</v>
      </c>
      <c r="E71" s="40" t="str">
        <f t="shared" si="8"/>
        <v>Donahue</v>
      </c>
      <c r="F71" s="46"/>
    </row>
    <row r="72" spans="1:6" ht="15" x14ac:dyDescent="0.25">
      <c r="A72" s="46" t="s">
        <v>161</v>
      </c>
      <c r="B72" s="41"/>
      <c r="C72" s="40" t="str">
        <f t="shared" si="6"/>
        <v>Alana</v>
      </c>
      <c r="D72" s="49" t="s">
        <v>467</v>
      </c>
      <c r="E72" s="49" t="s">
        <v>468</v>
      </c>
      <c r="F72" s="46" t="s">
        <v>371</v>
      </c>
    </row>
    <row r="73" spans="1:6" ht="15" x14ac:dyDescent="0.25">
      <c r="A73" s="41" t="s">
        <v>162</v>
      </c>
      <c r="B73" s="41"/>
      <c r="C73" s="40" t="str">
        <f t="shared" si="6"/>
        <v>Cassidy</v>
      </c>
      <c r="D73" s="40" t="str">
        <f t="shared" si="7"/>
        <v/>
      </c>
      <c r="E73" s="40" t="str">
        <f t="shared" si="8"/>
        <v>Duca</v>
      </c>
      <c r="F73" s="41"/>
    </row>
    <row r="74" spans="1:6" ht="15" x14ac:dyDescent="0.25">
      <c r="A74" s="46" t="s">
        <v>163</v>
      </c>
      <c r="B74" s="41"/>
      <c r="C74" s="40" t="str">
        <f t="shared" si="6"/>
        <v>Kyle</v>
      </c>
      <c r="D74" s="40" t="str">
        <f t="shared" si="7"/>
        <v/>
      </c>
      <c r="E74" s="40" t="str">
        <f t="shared" si="8"/>
        <v>DuRoss</v>
      </c>
      <c r="F74" s="46" t="s">
        <v>372</v>
      </c>
    </row>
    <row r="75" spans="1:6" ht="15" x14ac:dyDescent="0.25">
      <c r="A75" s="46" t="s">
        <v>164</v>
      </c>
      <c r="B75" s="41"/>
      <c r="C75" s="40" t="str">
        <f t="shared" si="6"/>
        <v>Sean</v>
      </c>
      <c r="D75" s="40" t="str">
        <f t="shared" si="7"/>
        <v/>
      </c>
      <c r="E75" s="40" t="str">
        <f t="shared" si="8"/>
        <v>DuRoss</v>
      </c>
      <c r="F75" s="46"/>
    </row>
    <row r="76" spans="1:6" ht="15" x14ac:dyDescent="0.25">
      <c r="A76" s="45" t="s">
        <v>165</v>
      </c>
      <c r="B76" s="41"/>
      <c r="C76" s="40" t="str">
        <f t="shared" si="6"/>
        <v>William</v>
      </c>
      <c r="D76" s="40" t="str">
        <f t="shared" si="7"/>
        <v/>
      </c>
      <c r="E76" s="40" t="str">
        <f t="shared" si="8"/>
        <v>Dyment</v>
      </c>
      <c r="F76" s="45"/>
    </row>
    <row r="77" spans="1:6" ht="15" x14ac:dyDescent="0.25">
      <c r="A77" s="41" t="s">
        <v>166</v>
      </c>
      <c r="B77" s="41"/>
      <c r="C77" s="40" t="str">
        <f t="shared" si="6"/>
        <v>Luca</v>
      </c>
      <c r="D77" s="40" t="str">
        <f t="shared" si="7"/>
        <v/>
      </c>
      <c r="E77" s="40" t="str">
        <f t="shared" si="8"/>
        <v>Eliet</v>
      </c>
      <c r="F77" s="41"/>
    </row>
    <row r="78" spans="1:6" ht="15" x14ac:dyDescent="0.25">
      <c r="A78" s="45" t="s">
        <v>445</v>
      </c>
      <c r="B78" s="41"/>
      <c r="C78" s="40" t="str">
        <f t="shared" si="6"/>
        <v>Finn</v>
      </c>
      <c r="D78" s="40" t="str">
        <f t="shared" si="7"/>
        <v/>
      </c>
      <c r="E78" s="40" t="str">
        <f t="shared" si="8"/>
        <v>Ellis</v>
      </c>
      <c r="F78" s="45"/>
    </row>
    <row r="79" spans="1:6" ht="15" x14ac:dyDescent="0.25">
      <c r="A79" s="41" t="s">
        <v>167</v>
      </c>
      <c r="B79" s="41"/>
      <c r="C79" s="40" t="str">
        <f t="shared" si="6"/>
        <v>Levi</v>
      </c>
      <c r="D79" s="40" t="str">
        <f t="shared" si="7"/>
        <v/>
      </c>
      <c r="E79" s="40" t="str">
        <f t="shared" si="8"/>
        <v>Emmanuel</v>
      </c>
      <c r="F79" s="41"/>
    </row>
    <row r="80" spans="1:6" ht="15" x14ac:dyDescent="0.25">
      <c r="A80" s="46" t="s">
        <v>168</v>
      </c>
      <c r="B80" s="41"/>
      <c r="C80" s="40" t="str">
        <f t="shared" si="6"/>
        <v>Kamryn</v>
      </c>
      <c r="D80" s="40" t="str">
        <f t="shared" si="7"/>
        <v/>
      </c>
      <c r="E80" s="40" t="str">
        <f t="shared" si="8"/>
        <v>Encarnacao</v>
      </c>
      <c r="F80" s="46" t="s">
        <v>373</v>
      </c>
    </row>
    <row r="81" spans="1:6" ht="15" x14ac:dyDescent="0.25">
      <c r="A81" s="46" t="s">
        <v>169</v>
      </c>
      <c r="B81" s="41"/>
      <c r="C81" s="40" t="str">
        <f t="shared" si="6"/>
        <v>Samuel</v>
      </c>
      <c r="D81" s="40" t="str">
        <f t="shared" si="7"/>
        <v/>
      </c>
      <c r="E81" s="40" t="str">
        <f t="shared" si="8"/>
        <v>Ewald</v>
      </c>
      <c r="F81" s="46" t="s">
        <v>374</v>
      </c>
    </row>
    <row r="82" spans="1:6" ht="15" x14ac:dyDescent="0.25">
      <c r="A82" s="45" t="s">
        <v>170</v>
      </c>
      <c r="B82" s="41"/>
      <c r="C82" s="40" t="str">
        <f t="shared" si="6"/>
        <v>Kaylie</v>
      </c>
      <c r="D82" s="40" t="str">
        <f t="shared" si="7"/>
        <v/>
      </c>
      <c r="E82" s="40" t="str">
        <f t="shared" si="8"/>
        <v>Fantasia</v>
      </c>
      <c r="F82" s="45" t="s">
        <v>375</v>
      </c>
    </row>
    <row r="83" spans="1:6" ht="15" x14ac:dyDescent="0.25">
      <c r="A83" s="41" t="s">
        <v>171</v>
      </c>
      <c r="B83" s="41"/>
      <c r="C83" s="40" t="str">
        <f t="shared" si="6"/>
        <v>Vince</v>
      </c>
      <c r="D83" s="40" t="str">
        <f t="shared" si="7"/>
        <v/>
      </c>
      <c r="E83" s="40" t="str">
        <f t="shared" si="8"/>
        <v>Farnham</v>
      </c>
      <c r="F83" s="41"/>
    </row>
    <row r="84" spans="1:6" ht="15" x14ac:dyDescent="0.25">
      <c r="A84" s="45" t="s">
        <v>172</v>
      </c>
      <c r="B84" s="41"/>
      <c r="C84" s="40" t="str">
        <f t="shared" si="6"/>
        <v>Colby</v>
      </c>
      <c r="D84" s="40" t="str">
        <f t="shared" si="7"/>
        <v/>
      </c>
      <c r="E84" s="40" t="str">
        <f t="shared" si="8"/>
        <v>Farris</v>
      </c>
      <c r="F84" s="45"/>
    </row>
    <row r="85" spans="1:6" ht="15" x14ac:dyDescent="0.25">
      <c r="A85" s="41" t="s">
        <v>173</v>
      </c>
      <c r="B85" s="41"/>
      <c r="C85" s="40" t="str">
        <f t="shared" si="6"/>
        <v>Bryan</v>
      </c>
      <c r="D85" s="40" t="str">
        <f t="shared" si="7"/>
        <v/>
      </c>
      <c r="E85" s="40" t="str">
        <f t="shared" si="8"/>
        <v>Fernandez</v>
      </c>
      <c r="F85" s="41"/>
    </row>
    <row r="86" spans="1:6" ht="15" x14ac:dyDescent="0.25">
      <c r="A86" s="48" t="s">
        <v>174</v>
      </c>
      <c r="B86" s="41"/>
      <c r="C86" s="40" t="str">
        <f t="shared" ca="1" si="6"/>
        <v>Barrington</v>
      </c>
      <c r="D86" s="40" t="str">
        <f t="shared" ca="1" si="7"/>
        <v/>
      </c>
      <c r="E86" s="40" t="str">
        <f t="shared" si="8"/>
        <v>Ravi Finberg (not walking</v>
      </c>
      <c r="F86" s="48"/>
    </row>
    <row r="87" spans="1:6" ht="15" x14ac:dyDescent="0.25">
      <c r="A87" s="41" t="s">
        <v>463</v>
      </c>
      <c r="B87" s="41"/>
      <c r="C87" s="40" t="str">
        <f t="shared" si="6"/>
        <v>Thomas</v>
      </c>
      <c r="D87" s="40" t="str">
        <f t="shared" si="7"/>
        <v/>
      </c>
      <c r="E87" s="40" t="str">
        <f t="shared" si="8"/>
        <v>Fiore</v>
      </c>
      <c r="F87" s="41"/>
    </row>
    <row r="88" spans="1:6" ht="15" x14ac:dyDescent="0.25">
      <c r="A88" s="46" t="s">
        <v>175</v>
      </c>
      <c r="B88" s="41"/>
      <c r="C88" s="40" t="str">
        <f t="shared" si="6"/>
        <v>Finn</v>
      </c>
      <c r="D88" s="40" t="str">
        <f t="shared" si="7"/>
        <v>Patrick</v>
      </c>
      <c r="E88" s="40" t="str">
        <f t="shared" si="8"/>
        <v>Flaherty</v>
      </c>
      <c r="F88" s="46"/>
    </row>
    <row r="89" spans="1:6" ht="15" x14ac:dyDescent="0.25">
      <c r="A89" s="46" t="s">
        <v>176</v>
      </c>
      <c r="B89" s="41"/>
      <c r="C89" s="40" t="str">
        <f t="shared" si="6"/>
        <v>Matthew</v>
      </c>
      <c r="D89" s="40" t="str">
        <f t="shared" si="7"/>
        <v/>
      </c>
      <c r="E89" s="40" t="str">
        <f t="shared" si="8"/>
        <v>Forse</v>
      </c>
      <c r="F89" s="46" t="s">
        <v>376</v>
      </c>
    </row>
    <row r="90" spans="1:6" ht="15" x14ac:dyDescent="0.25">
      <c r="A90" s="45" t="s">
        <v>177</v>
      </c>
      <c r="B90" s="41"/>
      <c r="C90" s="40" t="str">
        <f t="shared" si="6"/>
        <v>Jacob</v>
      </c>
      <c r="D90" s="40" t="str">
        <f t="shared" si="7"/>
        <v/>
      </c>
      <c r="E90" s="40" t="str">
        <f t="shared" si="8"/>
        <v>Frank</v>
      </c>
      <c r="F90" s="45"/>
    </row>
    <row r="91" spans="1:6" ht="15" x14ac:dyDescent="0.25">
      <c r="A91" s="41" t="s">
        <v>178</v>
      </c>
      <c r="B91" s="41"/>
      <c r="C91" s="40" t="str">
        <f t="shared" si="6"/>
        <v>Anthony</v>
      </c>
      <c r="D91" s="40" t="str">
        <f t="shared" si="7"/>
        <v/>
      </c>
      <c r="E91" s="40" t="str">
        <f t="shared" si="8"/>
        <v>Fratto</v>
      </c>
      <c r="F91" s="41"/>
    </row>
    <row r="92" spans="1:6" ht="15" x14ac:dyDescent="0.25">
      <c r="A92" s="45" t="s">
        <v>179</v>
      </c>
      <c r="B92" s="41"/>
      <c r="C92" s="40" t="str">
        <f t="shared" si="6"/>
        <v>Gavin</v>
      </c>
      <c r="D92" s="40" t="str">
        <f t="shared" si="7"/>
        <v/>
      </c>
      <c r="E92" s="40" t="str">
        <f t="shared" si="8"/>
        <v>Fucarile</v>
      </c>
      <c r="F92" s="45" t="s">
        <v>377</v>
      </c>
    </row>
    <row r="93" spans="1:6" ht="15" x14ac:dyDescent="0.25">
      <c r="A93" s="41" t="s">
        <v>180</v>
      </c>
      <c r="B93" s="41"/>
      <c r="C93" s="40" t="str">
        <f t="shared" si="6"/>
        <v>Cole</v>
      </c>
      <c r="D93" s="40" t="str">
        <f t="shared" si="7"/>
        <v/>
      </c>
      <c r="E93" s="40" t="str">
        <f t="shared" si="8"/>
        <v>Fusco</v>
      </c>
      <c r="F93" s="41"/>
    </row>
    <row r="94" spans="1:6" ht="15" x14ac:dyDescent="0.25">
      <c r="A94" s="45" t="s">
        <v>181</v>
      </c>
      <c r="B94" s="41"/>
      <c r="C94" s="40" t="str">
        <f t="shared" si="6"/>
        <v>Paul</v>
      </c>
      <c r="D94" s="40" t="str">
        <f t="shared" si="7"/>
        <v>Richard</v>
      </c>
      <c r="E94" s="40" t="str">
        <f t="shared" si="8"/>
        <v>Gaeta</v>
      </c>
      <c r="F94" s="45"/>
    </row>
    <row r="95" spans="1:6" ht="15" x14ac:dyDescent="0.25">
      <c r="A95" s="41" t="s">
        <v>182</v>
      </c>
      <c r="B95" s="41"/>
      <c r="C95" s="40" t="str">
        <f t="shared" si="6"/>
        <v>Lucas</v>
      </c>
      <c r="D95" s="40" t="str">
        <f t="shared" si="7"/>
        <v/>
      </c>
      <c r="E95" s="40" t="str">
        <f t="shared" si="8"/>
        <v>Gager</v>
      </c>
      <c r="F95" s="41" t="s">
        <v>378</v>
      </c>
    </row>
    <row r="96" spans="1:6" ht="15" x14ac:dyDescent="0.25">
      <c r="A96" s="45" t="s">
        <v>183</v>
      </c>
      <c r="B96" s="41"/>
      <c r="C96" s="40" t="str">
        <f t="shared" si="6"/>
        <v>Nevaeh</v>
      </c>
      <c r="D96" s="40" t="str">
        <f t="shared" si="7"/>
        <v/>
      </c>
      <c r="E96" s="40" t="str">
        <f t="shared" si="8"/>
        <v>Galindo</v>
      </c>
      <c r="F96" s="45"/>
    </row>
    <row r="97" spans="1:6" ht="15" x14ac:dyDescent="0.25">
      <c r="A97" s="41" t="s">
        <v>184</v>
      </c>
      <c r="B97" s="41"/>
      <c r="C97" s="40" t="str">
        <f t="shared" si="6"/>
        <v>Joseph</v>
      </c>
      <c r="D97" s="40" t="str">
        <f t="shared" si="7"/>
        <v/>
      </c>
      <c r="E97" s="40" t="str">
        <f t="shared" si="8"/>
        <v>Gallagher</v>
      </c>
      <c r="F97" s="41" t="s">
        <v>184</v>
      </c>
    </row>
    <row r="98" spans="1:6" ht="15" x14ac:dyDescent="0.25">
      <c r="A98" s="45" t="s">
        <v>185</v>
      </c>
      <c r="B98" s="41"/>
      <c r="C98" s="40" t="str">
        <f t="shared" si="6"/>
        <v>Brendan</v>
      </c>
      <c r="D98" s="40" t="str">
        <f t="shared" si="7"/>
        <v/>
      </c>
      <c r="E98" s="40" t="str">
        <f t="shared" si="8"/>
        <v>Gauvin</v>
      </c>
      <c r="F98" s="45" t="s">
        <v>379</v>
      </c>
    </row>
    <row r="99" spans="1:6" ht="15" x14ac:dyDescent="0.25">
      <c r="A99" s="41" t="s">
        <v>186</v>
      </c>
      <c r="B99" s="41"/>
      <c r="C99" s="40" t="str">
        <f t="shared" si="6"/>
        <v>Bereket</v>
      </c>
      <c r="D99" s="40" t="str">
        <f t="shared" si="7"/>
        <v/>
      </c>
      <c r="E99" s="40" t="str">
        <f t="shared" si="8"/>
        <v>Gebeyaw</v>
      </c>
      <c r="F99" s="41"/>
    </row>
    <row r="100" spans="1:6" ht="15" x14ac:dyDescent="0.25">
      <c r="A100" s="46" t="s">
        <v>187</v>
      </c>
      <c r="B100" s="41"/>
      <c r="C100" s="40" t="str">
        <f t="shared" si="6"/>
        <v>Alix</v>
      </c>
      <c r="D100" s="40" t="str">
        <f t="shared" si="7"/>
        <v/>
      </c>
      <c r="E100" s="40" t="str">
        <f t="shared" si="8"/>
        <v>Gellot</v>
      </c>
      <c r="F100" s="46"/>
    </row>
    <row r="101" spans="1:6" ht="15" x14ac:dyDescent="0.25">
      <c r="A101" s="41" t="s">
        <v>188</v>
      </c>
      <c r="B101" s="41"/>
      <c r="C101" s="40" t="str">
        <f t="shared" si="6"/>
        <v>Cameron</v>
      </c>
      <c r="D101" s="40" t="str">
        <f t="shared" si="7"/>
        <v/>
      </c>
      <c r="E101" s="40" t="str">
        <f t="shared" si="8"/>
        <v>Gigler</v>
      </c>
      <c r="F101" s="41"/>
    </row>
    <row r="102" spans="1:6" ht="15" x14ac:dyDescent="0.25">
      <c r="A102" s="45" t="s">
        <v>189</v>
      </c>
      <c r="B102" s="41"/>
      <c r="C102" s="40" t="str">
        <f t="shared" si="6"/>
        <v>Alex</v>
      </c>
      <c r="D102" s="40" t="str">
        <f t="shared" si="7"/>
        <v/>
      </c>
      <c r="E102" s="40" t="str">
        <f t="shared" si="8"/>
        <v>Gisetto</v>
      </c>
      <c r="F102" s="45"/>
    </row>
    <row r="103" spans="1:6" ht="15" x14ac:dyDescent="0.25">
      <c r="A103" s="46" t="s">
        <v>190</v>
      </c>
      <c r="B103" s="41"/>
      <c r="C103" s="40" t="str">
        <f t="shared" si="6"/>
        <v>Benjamin</v>
      </c>
      <c r="D103" s="40" t="str">
        <f t="shared" si="7"/>
        <v/>
      </c>
      <c r="E103" s="40" t="str">
        <f t="shared" si="8"/>
        <v>Goldlust</v>
      </c>
      <c r="F103" s="46"/>
    </row>
    <row r="104" spans="1:6" ht="15" x14ac:dyDescent="0.25">
      <c r="A104" s="46" t="s">
        <v>191</v>
      </c>
      <c r="B104" s="41"/>
      <c r="C104" s="40" t="str">
        <f t="shared" si="6"/>
        <v>Jack</v>
      </c>
      <c r="D104" s="40" t="str">
        <f t="shared" si="7"/>
        <v/>
      </c>
      <c r="E104" s="40" t="str">
        <f t="shared" si="8"/>
        <v>Goodfellow</v>
      </c>
      <c r="F104" s="46"/>
    </row>
    <row r="105" spans="1:6" ht="15" x14ac:dyDescent="0.25">
      <c r="A105" s="41" t="s">
        <v>192</v>
      </c>
      <c r="B105" s="41"/>
      <c r="C105" s="40" t="str">
        <f t="shared" si="6"/>
        <v>Drew</v>
      </c>
      <c r="D105" s="40" t="str">
        <f t="shared" si="7"/>
        <v/>
      </c>
      <c r="E105" s="40" t="str">
        <f t="shared" si="8"/>
        <v>Gorski</v>
      </c>
      <c r="F105" s="41" t="s">
        <v>380</v>
      </c>
    </row>
    <row r="106" spans="1:6" ht="15" x14ac:dyDescent="0.25">
      <c r="A106" s="45" t="s">
        <v>193</v>
      </c>
      <c r="B106" s="41"/>
      <c r="C106" s="40" t="str">
        <f t="shared" si="6"/>
        <v>Lila</v>
      </c>
      <c r="D106" s="40" t="str">
        <f t="shared" si="7"/>
        <v/>
      </c>
      <c r="E106" s="40" t="str">
        <f t="shared" si="8"/>
        <v>Gosdanian</v>
      </c>
      <c r="F106" s="45" t="s">
        <v>381</v>
      </c>
    </row>
    <row r="107" spans="1:6" ht="15" x14ac:dyDescent="0.25">
      <c r="A107" s="46" t="s">
        <v>194</v>
      </c>
      <c r="B107" s="41"/>
      <c r="C107" s="40" t="str">
        <f t="shared" si="6"/>
        <v>Cole</v>
      </c>
      <c r="D107" s="40" t="str">
        <f t="shared" si="7"/>
        <v>Sebastian</v>
      </c>
      <c r="E107" s="40" t="str">
        <f t="shared" si="8"/>
        <v>Grant</v>
      </c>
      <c r="F107" s="46"/>
    </row>
    <row r="108" spans="1:6" ht="15" x14ac:dyDescent="0.25">
      <c r="A108" s="46" t="s">
        <v>195</v>
      </c>
      <c r="B108" s="41"/>
      <c r="C108" s="40" t="str">
        <f t="shared" si="6"/>
        <v>Kendall</v>
      </c>
      <c r="D108" s="40" t="str">
        <f t="shared" si="7"/>
        <v/>
      </c>
      <c r="E108" s="40" t="str">
        <f t="shared" si="8"/>
        <v>Graves</v>
      </c>
      <c r="F108" s="46"/>
    </row>
    <row r="109" spans="1:6" ht="15" x14ac:dyDescent="0.25">
      <c r="A109" s="41" t="s">
        <v>196</v>
      </c>
      <c r="B109" s="41"/>
      <c r="C109" s="40" t="str">
        <f t="shared" si="6"/>
        <v>Griffin</v>
      </c>
      <c r="D109" s="40" t="str">
        <f t="shared" si="7"/>
        <v>James</v>
      </c>
      <c r="E109" s="40" t="str">
        <f t="shared" si="8"/>
        <v>Haggerty</v>
      </c>
      <c r="F109" s="41"/>
    </row>
    <row r="110" spans="1:6" ht="15" x14ac:dyDescent="0.25">
      <c r="A110" s="45" t="s">
        <v>197</v>
      </c>
      <c r="B110" s="41"/>
      <c r="C110" s="40" t="str">
        <f t="shared" si="6"/>
        <v>Andrea</v>
      </c>
      <c r="D110" s="40" t="str">
        <f t="shared" si="7"/>
        <v/>
      </c>
      <c r="E110" s="40" t="str">
        <f t="shared" si="8"/>
        <v>Hall</v>
      </c>
      <c r="F110" s="45" t="s">
        <v>382</v>
      </c>
    </row>
    <row r="111" spans="1:6" ht="15" x14ac:dyDescent="0.25">
      <c r="A111" s="41" t="s">
        <v>198</v>
      </c>
      <c r="B111" s="41"/>
      <c r="C111" s="40" t="str">
        <f t="shared" si="6"/>
        <v>Sarah</v>
      </c>
      <c r="D111" s="40" t="str">
        <f t="shared" si="7"/>
        <v/>
      </c>
      <c r="E111" s="40" t="str">
        <f t="shared" si="8"/>
        <v>Hamilton</v>
      </c>
      <c r="F111" s="41"/>
    </row>
    <row r="112" spans="1:6" ht="15" x14ac:dyDescent="0.25">
      <c r="A112" s="45" t="s">
        <v>199</v>
      </c>
      <c r="B112" s="41"/>
      <c r="C112" s="40" t="str">
        <f t="shared" si="6"/>
        <v>Margaret</v>
      </c>
      <c r="D112" s="40" t="str">
        <f t="shared" si="7"/>
        <v/>
      </c>
      <c r="E112" s="40" t="str">
        <f t="shared" si="8"/>
        <v>Hanifan</v>
      </c>
      <c r="F112" s="45"/>
    </row>
    <row r="113" spans="1:6" ht="15" x14ac:dyDescent="0.25">
      <c r="A113" s="47" t="s">
        <v>200</v>
      </c>
      <c r="B113" s="41"/>
      <c r="C113" s="40" t="str">
        <f t="shared" ca="1" si="6"/>
        <v>Jillian</v>
      </c>
      <c r="D113" s="40" t="str">
        <f t="shared" ca="1" si="7"/>
        <v>Kate</v>
      </c>
      <c r="E113" s="40" t="str">
        <f t="shared" si="8"/>
        <v>Lilly Hardy (not walkiing</v>
      </c>
      <c r="F113" s="47"/>
    </row>
    <row r="114" spans="1:6" ht="15" x14ac:dyDescent="0.25">
      <c r="A114" s="45" t="s">
        <v>201</v>
      </c>
      <c r="B114" s="41"/>
      <c r="C114" s="40" t="str">
        <f t="shared" si="6"/>
        <v>Cameron</v>
      </c>
      <c r="D114" s="40" t="str">
        <f t="shared" si="7"/>
        <v/>
      </c>
      <c r="E114" s="40" t="str">
        <f t="shared" si="8"/>
        <v>Harrigan</v>
      </c>
      <c r="F114" s="45"/>
    </row>
    <row r="115" spans="1:6" ht="15" x14ac:dyDescent="0.25">
      <c r="A115" s="46" t="s">
        <v>202</v>
      </c>
      <c r="B115" s="41"/>
      <c r="C115" s="40" t="str">
        <f t="shared" si="6"/>
        <v>Clara</v>
      </c>
      <c r="D115" s="40" t="str">
        <f t="shared" si="7"/>
        <v/>
      </c>
      <c r="E115" s="40" t="str">
        <f t="shared" si="8"/>
        <v>Healy</v>
      </c>
      <c r="F115" s="46"/>
    </row>
    <row r="116" spans="1:6" ht="15" x14ac:dyDescent="0.25">
      <c r="A116" s="46" t="s">
        <v>203</v>
      </c>
      <c r="B116" s="41"/>
      <c r="C116" s="40" t="str">
        <f t="shared" si="6"/>
        <v>Victoria</v>
      </c>
      <c r="D116" s="40" t="str">
        <f t="shared" si="7"/>
        <v/>
      </c>
      <c r="E116" s="40" t="str">
        <f t="shared" si="8"/>
        <v>Henri</v>
      </c>
      <c r="F116" s="46" t="s">
        <v>383</v>
      </c>
    </row>
    <row r="117" spans="1:6" ht="15" x14ac:dyDescent="0.25">
      <c r="A117" s="41" t="s">
        <v>204</v>
      </c>
      <c r="B117" s="41"/>
      <c r="C117" s="40" t="str">
        <f t="shared" si="6"/>
        <v>Kayke</v>
      </c>
      <c r="D117" s="40" t="str">
        <f t="shared" si="7"/>
        <v/>
      </c>
      <c r="E117" s="40" t="str">
        <f t="shared" si="8"/>
        <v>Henrique</v>
      </c>
      <c r="F117" s="41"/>
    </row>
    <row r="118" spans="1:6" ht="15" x14ac:dyDescent="0.25">
      <c r="A118" s="46" t="s">
        <v>205</v>
      </c>
      <c r="B118" s="41"/>
      <c r="C118" s="40" t="str">
        <f t="shared" si="6"/>
        <v>Samuel</v>
      </c>
      <c r="D118" s="40" t="str">
        <f t="shared" si="7"/>
        <v/>
      </c>
      <c r="E118" s="40" t="str">
        <f t="shared" si="8"/>
        <v>Hillery</v>
      </c>
      <c r="F118" s="46"/>
    </row>
    <row r="119" spans="1:6" ht="15" x14ac:dyDescent="0.25">
      <c r="A119" s="41" t="s">
        <v>206</v>
      </c>
      <c r="B119" s="41"/>
      <c r="C119" s="40" t="str">
        <f t="shared" si="6"/>
        <v>Jahkye</v>
      </c>
      <c r="D119" s="40" t="str">
        <f t="shared" si="7"/>
        <v/>
      </c>
      <c r="E119" s="40" t="str">
        <f t="shared" si="8"/>
        <v>Hobson</v>
      </c>
      <c r="F119" s="41" t="s">
        <v>434</v>
      </c>
    </row>
    <row r="120" spans="1:6" ht="15" x14ac:dyDescent="0.25">
      <c r="A120" s="45" t="s">
        <v>207</v>
      </c>
      <c r="B120" s="41"/>
      <c r="C120" s="40" t="str">
        <f t="shared" si="6"/>
        <v>Sam</v>
      </c>
      <c r="D120" s="40" t="str">
        <f t="shared" si="7"/>
        <v/>
      </c>
      <c r="E120" s="40" t="str">
        <f t="shared" si="8"/>
        <v>Holt</v>
      </c>
      <c r="F120" s="45"/>
    </row>
    <row r="121" spans="1:6" ht="15" x14ac:dyDescent="0.25">
      <c r="A121" s="46" t="s">
        <v>208</v>
      </c>
      <c r="B121" s="41"/>
      <c r="C121" s="40" t="str">
        <f t="shared" si="6"/>
        <v>Benjamin</v>
      </c>
      <c r="D121" s="40" t="str">
        <f t="shared" si="7"/>
        <v/>
      </c>
      <c r="E121" s="40" t="str">
        <f t="shared" si="8"/>
        <v>Houle</v>
      </c>
      <c r="F121" s="46" t="s">
        <v>384</v>
      </c>
    </row>
    <row r="122" spans="1:6" ht="15" x14ac:dyDescent="0.25">
      <c r="A122" s="45" t="s">
        <v>209</v>
      </c>
      <c r="B122" s="41"/>
      <c r="C122" s="40" t="str">
        <f t="shared" si="6"/>
        <v>Evin</v>
      </c>
      <c r="D122" s="40" t="str">
        <f t="shared" si="7"/>
        <v/>
      </c>
      <c r="E122" s="40" t="str">
        <f t="shared" si="8"/>
        <v>Howell</v>
      </c>
      <c r="F122" s="45"/>
    </row>
    <row r="123" spans="1:6" ht="15" x14ac:dyDescent="0.25">
      <c r="A123" s="41" t="s">
        <v>210</v>
      </c>
      <c r="B123" s="41"/>
      <c r="C123" s="40" t="str">
        <f t="shared" si="6"/>
        <v>Paul</v>
      </c>
      <c r="D123" s="40" t="str">
        <f t="shared" si="7"/>
        <v>Joseph</v>
      </c>
      <c r="E123" s="40" t="str">
        <f t="shared" si="8"/>
        <v>Iosua</v>
      </c>
      <c r="F123" s="41" t="s">
        <v>385</v>
      </c>
    </row>
    <row r="124" spans="1:6" ht="15" x14ac:dyDescent="0.25">
      <c r="A124" s="46" t="s">
        <v>211</v>
      </c>
      <c r="B124" s="41"/>
      <c r="C124" s="40" t="str">
        <f t="shared" si="6"/>
        <v>Leah</v>
      </c>
      <c r="D124" s="40" t="str">
        <f t="shared" si="7"/>
        <v/>
      </c>
      <c r="E124" s="40" t="str">
        <f t="shared" si="8"/>
        <v>Jackvony</v>
      </c>
      <c r="F124" s="46"/>
    </row>
    <row r="125" spans="1:6" ht="15" x14ac:dyDescent="0.25">
      <c r="A125" s="41" t="s">
        <v>212</v>
      </c>
      <c r="B125" s="41"/>
      <c r="C125" s="40" t="str">
        <f t="shared" si="6"/>
        <v>Wayne</v>
      </c>
      <c r="D125" s="40" t="str">
        <f t="shared" si="7"/>
        <v/>
      </c>
      <c r="E125" s="40" t="str">
        <f t="shared" si="8"/>
        <v>Jankun</v>
      </c>
      <c r="F125" s="41"/>
    </row>
    <row r="126" spans="1:6" ht="15" x14ac:dyDescent="0.25">
      <c r="A126" s="45" t="s">
        <v>213</v>
      </c>
      <c r="B126" s="41"/>
      <c r="C126" s="40" t="str">
        <f t="shared" si="6"/>
        <v>Tristan</v>
      </c>
      <c r="D126" s="40" t="str">
        <f t="shared" si="7"/>
        <v/>
      </c>
      <c r="E126" s="40" t="str">
        <f t="shared" si="8"/>
        <v>Jenkins</v>
      </c>
      <c r="F126" s="45"/>
    </row>
    <row r="127" spans="1:6" ht="15" x14ac:dyDescent="0.25">
      <c r="A127" s="41" t="s">
        <v>214</v>
      </c>
      <c r="B127" s="41"/>
      <c r="C127" s="40" t="str">
        <f t="shared" si="6"/>
        <v>Evan</v>
      </c>
      <c r="D127" s="40" t="str">
        <f t="shared" si="7"/>
        <v/>
      </c>
      <c r="E127" s="40" t="str">
        <f t="shared" si="8"/>
        <v>Jenney</v>
      </c>
      <c r="F127" s="41"/>
    </row>
    <row r="128" spans="1:6" ht="15" x14ac:dyDescent="0.25">
      <c r="A128" s="46" t="s">
        <v>215</v>
      </c>
      <c r="B128" s="41"/>
      <c r="C128" s="40" t="str">
        <f t="shared" si="6"/>
        <v>Michael</v>
      </c>
      <c r="D128" s="40" t="str">
        <f t="shared" si="7"/>
        <v/>
      </c>
      <c r="E128" s="40" t="str">
        <f t="shared" si="8"/>
        <v>Jenney</v>
      </c>
      <c r="F128" s="46"/>
    </row>
    <row r="129" spans="1:6" ht="15" x14ac:dyDescent="0.25">
      <c r="A129" s="41" t="s">
        <v>216</v>
      </c>
      <c r="B129" s="41"/>
      <c r="C129" s="40" t="str">
        <f t="shared" si="6"/>
        <v>Luke</v>
      </c>
      <c r="D129" s="40" t="str">
        <f t="shared" si="7"/>
        <v/>
      </c>
      <c r="E129" s="40" t="str">
        <f t="shared" si="8"/>
        <v>Johnson</v>
      </c>
      <c r="F129" s="41"/>
    </row>
    <row r="130" spans="1:6" ht="15" x14ac:dyDescent="0.25">
      <c r="A130" s="46" t="s">
        <v>217</v>
      </c>
      <c r="B130" s="41"/>
      <c r="C130" s="40" t="str">
        <f t="shared" si="6"/>
        <v>Maeve</v>
      </c>
      <c r="D130" s="40" t="str">
        <f t="shared" si="7"/>
        <v/>
      </c>
      <c r="E130" s="40" t="str">
        <f t="shared" si="8"/>
        <v>Jones</v>
      </c>
      <c r="F130" s="46"/>
    </row>
    <row r="131" spans="1:6" ht="15" x14ac:dyDescent="0.25">
      <c r="A131" s="41" t="s">
        <v>218</v>
      </c>
      <c r="B131" s="41"/>
      <c r="C131" s="40" t="str">
        <f t="shared" si="6"/>
        <v>Nolan</v>
      </c>
      <c r="D131" s="40" t="str">
        <f t="shared" si="7"/>
        <v/>
      </c>
      <c r="E131" s="40" t="str">
        <f t="shared" si="8"/>
        <v>Jordan</v>
      </c>
      <c r="F131" s="41"/>
    </row>
    <row r="132" spans="1:6" ht="15" x14ac:dyDescent="0.25">
      <c r="A132" s="46" t="s">
        <v>219</v>
      </c>
      <c r="B132" s="41"/>
      <c r="C132" s="40" t="str">
        <f t="shared" si="6"/>
        <v>Emma</v>
      </c>
      <c r="D132" s="40" t="str">
        <f t="shared" si="7"/>
        <v/>
      </c>
      <c r="E132" s="40" t="str">
        <f t="shared" si="8"/>
        <v>Kaberle</v>
      </c>
      <c r="F132" s="46" t="s">
        <v>386</v>
      </c>
    </row>
    <row r="133" spans="1:6" ht="15" x14ac:dyDescent="0.25">
      <c r="A133" s="46" t="s">
        <v>220</v>
      </c>
      <c r="B133" s="41"/>
      <c r="C133" s="40" t="str">
        <f t="shared" ref="C133:C196" si="9">IF(ISERROR( FIND(",",TRIM(A133))),LEFT(TRIM(A133), FIND(" ",TRIM(A133))-1),MID(TRIM(A133),LEN(C133)+3,FIND(" ",TRIM(A133)&amp;" ",LEN(C133)+3)-LEN(C133)-2))</f>
        <v>Azra</v>
      </c>
      <c r="D133" s="40" t="str">
        <f t="shared" ref="D133:D196" si="10">IF(ISERROR(FIND(",",TRIM(A133))),IF(LEN(TRIM(A133))-LEN(SUBSTITUTE(TRIM(A133)," ",""))=2,MID(TRIM(A133),LEN(C133)+2,FIND(" ",TRIM(A133),LEN(C133)+2)-LEN(C133)-2),""),MID(TRIM(A133),3+LEN(C133)+LEN(E133),30))</f>
        <v/>
      </c>
      <c r="E133" s="40" t="str">
        <f t="shared" ref="E133:E196" si="11">IF(ISERROR(FIND(",",TRIM(A133))),MID(TRIM(A133),1+LEN(TRIM(A133))-LEN(SUBSTITUTE(TRIM(A133)," ",""))+LEN(C133)+LEN(D133),30),LEFT(TRIM(A133), FIND(",",TRIM(A133))-1))</f>
        <v>Kadric</v>
      </c>
      <c r="F133" s="46" t="s">
        <v>478</v>
      </c>
    </row>
    <row r="134" spans="1:6" ht="15" x14ac:dyDescent="0.25">
      <c r="A134" s="45" t="s">
        <v>221</v>
      </c>
      <c r="B134" s="41"/>
      <c r="C134" s="40" t="str">
        <f t="shared" si="9"/>
        <v>Brady</v>
      </c>
      <c r="D134" s="40" t="str">
        <f t="shared" si="10"/>
        <v/>
      </c>
      <c r="E134" s="40" t="str">
        <f t="shared" si="11"/>
        <v>Keaveney</v>
      </c>
      <c r="F134" s="45" t="s">
        <v>387</v>
      </c>
    </row>
    <row r="135" spans="1:6" ht="15" x14ac:dyDescent="0.25">
      <c r="A135" s="46" t="s">
        <v>222</v>
      </c>
      <c r="B135" s="41"/>
      <c r="C135" s="40" t="str">
        <f t="shared" si="9"/>
        <v>Hannah</v>
      </c>
      <c r="D135" s="40" t="str">
        <f t="shared" si="10"/>
        <v/>
      </c>
      <c r="E135" s="40" t="str">
        <f t="shared" si="11"/>
        <v>Kenton</v>
      </c>
      <c r="F135" s="46" t="s">
        <v>388</v>
      </c>
    </row>
    <row r="136" spans="1:6" ht="15" x14ac:dyDescent="0.25">
      <c r="A136" s="46" t="s">
        <v>223</v>
      </c>
      <c r="B136" s="41"/>
      <c r="C136" s="40" t="str">
        <f t="shared" si="9"/>
        <v>Aiden</v>
      </c>
      <c r="D136" s="40" t="str">
        <f t="shared" si="10"/>
        <v/>
      </c>
      <c r="E136" s="40" t="str">
        <f t="shared" si="11"/>
        <v>Kiley</v>
      </c>
      <c r="F136" s="46" t="s">
        <v>389</v>
      </c>
    </row>
    <row r="137" spans="1:6" ht="15" x14ac:dyDescent="0.25">
      <c r="A137" s="41" t="s">
        <v>446</v>
      </c>
      <c r="B137" s="41"/>
      <c r="C137" s="40" t="str">
        <f t="shared" si="9"/>
        <v>Clinton</v>
      </c>
      <c r="D137" s="40" t="str">
        <f t="shared" si="10"/>
        <v/>
      </c>
      <c r="E137" s="40" t="str">
        <f t="shared" si="11"/>
        <v>King</v>
      </c>
      <c r="F137" s="41"/>
    </row>
    <row r="138" spans="1:6" ht="15" x14ac:dyDescent="0.25">
      <c r="A138" s="45" t="s">
        <v>224</v>
      </c>
      <c r="B138" s="41"/>
      <c r="C138" s="40" t="str">
        <f t="shared" si="9"/>
        <v>Kyle</v>
      </c>
      <c r="D138" s="40" t="str">
        <f t="shared" si="10"/>
        <v/>
      </c>
      <c r="E138" s="40" t="str">
        <f t="shared" si="11"/>
        <v>Koster</v>
      </c>
      <c r="F138" s="45"/>
    </row>
    <row r="139" spans="1:6" ht="15" x14ac:dyDescent="0.25">
      <c r="A139" s="41" t="s">
        <v>225</v>
      </c>
      <c r="B139" s="41"/>
      <c r="C139" s="40" t="str">
        <f t="shared" si="9"/>
        <v>Enzo</v>
      </c>
      <c r="D139" s="40" t="str">
        <f t="shared" si="10"/>
        <v>George</v>
      </c>
      <c r="E139" s="40" t="str">
        <f t="shared" si="11"/>
        <v>Lalicata</v>
      </c>
      <c r="F139" s="41" t="s">
        <v>390</v>
      </c>
    </row>
    <row r="140" spans="1:6" ht="15" x14ac:dyDescent="0.25">
      <c r="A140" s="41" t="s">
        <v>227</v>
      </c>
      <c r="B140" s="41"/>
      <c r="C140" s="40" t="str">
        <f t="shared" si="9"/>
        <v>Jonathan</v>
      </c>
      <c r="D140" s="40" t="str">
        <f t="shared" si="10"/>
        <v/>
      </c>
      <c r="E140" s="40" t="str">
        <f t="shared" si="11"/>
        <v>Laurino</v>
      </c>
    </row>
    <row r="141" spans="1:6" ht="15" x14ac:dyDescent="0.25">
      <c r="A141" s="41" t="s">
        <v>226</v>
      </c>
      <c r="B141" s="41"/>
      <c r="C141" s="40" t="str">
        <f t="shared" si="9"/>
        <v>Matthew</v>
      </c>
      <c r="D141" s="40" t="str">
        <f t="shared" si="10"/>
        <v/>
      </c>
      <c r="E141" s="40" t="str">
        <f t="shared" si="11"/>
        <v>Laurino</v>
      </c>
      <c r="F141" s="45" t="s">
        <v>391</v>
      </c>
    </row>
    <row r="142" spans="1:6" ht="15" x14ac:dyDescent="0.25">
      <c r="A142" s="45" t="s">
        <v>228</v>
      </c>
      <c r="B142" s="41"/>
      <c r="C142" s="40" t="str">
        <f t="shared" si="9"/>
        <v>Asad</v>
      </c>
      <c r="D142" s="40" t="str">
        <f t="shared" si="10"/>
        <v/>
      </c>
      <c r="E142" s="40" t="str">
        <f t="shared" si="11"/>
        <v>Layne</v>
      </c>
      <c r="F142" s="45" t="s">
        <v>392</v>
      </c>
    </row>
    <row r="143" spans="1:6" ht="15" x14ac:dyDescent="0.25">
      <c r="A143" s="45" t="s">
        <v>230</v>
      </c>
      <c r="B143" s="41"/>
      <c r="C143" s="40" t="str">
        <f t="shared" si="9"/>
        <v>Austin</v>
      </c>
      <c r="D143" s="40" t="str">
        <f t="shared" si="10"/>
        <v>James</v>
      </c>
      <c r="E143" s="40" t="str">
        <f t="shared" si="11"/>
        <v>Lee</v>
      </c>
      <c r="F143" s="41"/>
    </row>
    <row r="144" spans="1:6" ht="15" x14ac:dyDescent="0.25">
      <c r="A144" s="45" t="s">
        <v>229</v>
      </c>
      <c r="B144" s="41"/>
      <c r="C144" s="40" t="str">
        <f t="shared" si="9"/>
        <v>Jonathan</v>
      </c>
      <c r="D144" s="40" t="str">
        <f t="shared" si="10"/>
        <v/>
      </c>
      <c r="E144" s="40" t="str">
        <f t="shared" si="11"/>
        <v>Lee</v>
      </c>
      <c r="F144" s="45"/>
    </row>
    <row r="145" spans="1:6" ht="15" x14ac:dyDescent="0.25">
      <c r="A145" s="41" t="s">
        <v>231</v>
      </c>
      <c r="B145" s="41"/>
      <c r="C145" s="40" t="str">
        <f t="shared" si="9"/>
        <v>Desmond</v>
      </c>
      <c r="D145" s="40" t="str">
        <f t="shared" si="10"/>
        <v/>
      </c>
      <c r="E145" s="40" t="str">
        <f t="shared" si="11"/>
        <v>Lethin</v>
      </c>
      <c r="F145" s="41"/>
    </row>
    <row r="146" spans="1:6" ht="15" x14ac:dyDescent="0.25">
      <c r="A146" s="45" t="s">
        <v>232</v>
      </c>
      <c r="B146" s="41"/>
      <c r="C146" s="40" t="str">
        <f t="shared" si="9"/>
        <v>Katie</v>
      </c>
      <c r="D146" s="40" t="str">
        <f t="shared" si="10"/>
        <v/>
      </c>
      <c r="E146" s="40" t="str">
        <f t="shared" si="11"/>
        <v>Lewis</v>
      </c>
      <c r="F146" s="45"/>
    </row>
    <row r="147" spans="1:6" ht="15" x14ac:dyDescent="0.25">
      <c r="A147" s="41" t="s">
        <v>233</v>
      </c>
      <c r="B147" s="41"/>
      <c r="C147" s="40" t="str">
        <f t="shared" si="9"/>
        <v>Isabelle</v>
      </c>
      <c r="D147" s="40" t="str">
        <f t="shared" si="10"/>
        <v/>
      </c>
      <c r="E147" s="40" t="str">
        <f t="shared" si="11"/>
        <v>Lightbody</v>
      </c>
      <c r="F147" s="41"/>
    </row>
    <row r="148" spans="1:6" ht="15" x14ac:dyDescent="0.25">
      <c r="A148" s="45" t="s">
        <v>234</v>
      </c>
      <c r="B148" s="41"/>
      <c r="C148" s="40" t="str">
        <f t="shared" si="9"/>
        <v>Steven</v>
      </c>
      <c r="D148" s="40" t="str">
        <f t="shared" si="10"/>
        <v/>
      </c>
      <c r="E148" s="40" t="str">
        <f t="shared" si="11"/>
        <v>Lin</v>
      </c>
      <c r="F148" s="45"/>
    </row>
    <row r="149" spans="1:6" ht="15" x14ac:dyDescent="0.25">
      <c r="A149" s="46" t="s">
        <v>235</v>
      </c>
      <c r="B149" s="41"/>
      <c r="C149" s="40" t="str">
        <f t="shared" si="9"/>
        <v>Zackary</v>
      </c>
      <c r="D149" s="40" t="str">
        <f t="shared" si="10"/>
        <v/>
      </c>
      <c r="E149" s="40" t="str">
        <f t="shared" si="11"/>
        <v>Lizotte</v>
      </c>
      <c r="F149" s="46" t="s">
        <v>393</v>
      </c>
    </row>
    <row r="150" spans="1:6" ht="15" x14ac:dyDescent="0.25">
      <c r="A150" s="46" t="s">
        <v>236</v>
      </c>
      <c r="B150" s="41"/>
      <c r="C150" s="40" t="str">
        <f t="shared" si="9"/>
        <v>Isla</v>
      </c>
      <c r="D150" s="40" t="str">
        <f t="shared" si="10"/>
        <v/>
      </c>
      <c r="E150" s="40" t="str">
        <f t="shared" si="11"/>
        <v>Lusk</v>
      </c>
      <c r="F150" s="46" t="s">
        <v>394</v>
      </c>
    </row>
    <row r="151" spans="1:6" ht="15" x14ac:dyDescent="0.25">
      <c r="A151" s="46" t="s">
        <v>237</v>
      </c>
      <c r="B151" s="41"/>
      <c r="C151" s="40" t="str">
        <f t="shared" si="9"/>
        <v>Lilyana</v>
      </c>
      <c r="D151" s="40" t="str">
        <f t="shared" si="10"/>
        <v/>
      </c>
      <c r="E151" s="40" t="str">
        <f t="shared" si="11"/>
        <v>Madden</v>
      </c>
      <c r="F151" s="46"/>
    </row>
    <row r="152" spans="1:6" ht="15" x14ac:dyDescent="0.25">
      <c r="A152" s="45" t="s">
        <v>238</v>
      </c>
      <c r="B152" s="41"/>
      <c r="C152" s="40" t="str">
        <f t="shared" si="9"/>
        <v>Rosalia</v>
      </c>
      <c r="D152" s="40" t="str">
        <f t="shared" si="10"/>
        <v/>
      </c>
      <c r="E152" s="40" t="str">
        <f t="shared" si="11"/>
        <v>Maganzini</v>
      </c>
      <c r="F152" s="45" t="s">
        <v>395</v>
      </c>
    </row>
    <row r="153" spans="1:6" ht="15" x14ac:dyDescent="0.25">
      <c r="A153" s="41" t="s">
        <v>239</v>
      </c>
      <c r="B153" s="41"/>
      <c r="C153" s="40" t="str">
        <f t="shared" si="9"/>
        <v>Trent</v>
      </c>
      <c r="D153" s="40" t="str">
        <f t="shared" si="10"/>
        <v>Joseph</v>
      </c>
      <c r="E153" s="40" t="str">
        <f t="shared" si="11"/>
        <v>Maganzini</v>
      </c>
      <c r="F153" s="41"/>
    </row>
    <row r="154" spans="1:6" ht="15" x14ac:dyDescent="0.25">
      <c r="A154" s="45" t="s">
        <v>240</v>
      </c>
      <c r="B154" s="41"/>
      <c r="C154" s="40" t="str">
        <f t="shared" si="9"/>
        <v>Emma</v>
      </c>
      <c r="D154" s="40" t="str">
        <f t="shared" si="10"/>
        <v/>
      </c>
      <c r="E154" s="40" t="str">
        <f t="shared" si="11"/>
        <v>Mahoney</v>
      </c>
      <c r="F154" s="45"/>
    </row>
    <row r="155" spans="1:6" ht="15" x14ac:dyDescent="0.25">
      <c r="A155" s="41" t="s">
        <v>241</v>
      </c>
      <c r="B155" s="41"/>
      <c r="C155" s="40" t="str">
        <f t="shared" si="9"/>
        <v>Charles</v>
      </c>
      <c r="D155" s="40" t="str">
        <f t="shared" si="10"/>
        <v/>
      </c>
      <c r="E155" s="40" t="str">
        <f t="shared" si="11"/>
        <v>Maness</v>
      </c>
      <c r="F155" s="41" t="s">
        <v>396</v>
      </c>
    </row>
    <row r="156" spans="1:6" ht="15" x14ac:dyDescent="0.25">
      <c r="A156" s="45" t="s">
        <v>242</v>
      </c>
      <c r="B156" s="41"/>
      <c r="C156" s="40" t="str">
        <f t="shared" si="9"/>
        <v>Evan</v>
      </c>
      <c r="D156" s="40" t="str">
        <f t="shared" si="10"/>
        <v/>
      </c>
      <c r="E156" s="40" t="str">
        <f t="shared" si="11"/>
        <v>Manfredi</v>
      </c>
      <c r="F156" s="45"/>
    </row>
    <row r="157" spans="1:6" ht="15" x14ac:dyDescent="0.25">
      <c r="A157" s="41" t="s">
        <v>243</v>
      </c>
      <c r="B157" s="41"/>
      <c r="C157" s="40" t="str">
        <f t="shared" si="9"/>
        <v>Syler</v>
      </c>
      <c r="D157" s="40" t="str">
        <f t="shared" si="10"/>
        <v/>
      </c>
      <c r="E157" s="40" t="str">
        <f t="shared" si="11"/>
        <v>Manning</v>
      </c>
      <c r="F157" s="41"/>
    </row>
    <row r="158" spans="1:6" ht="15" x14ac:dyDescent="0.25">
      <c r="A158" s="46" t="s">
        <v>244</v>
      </c>
      <c r="B158" s="41"/>
      <c r="C158" s="40" t="str">
        <f t="shared" si="9"/>
        <v>Tyler</v>
      </c>
      <c r="D158" s="40" t="str">
        <f t="shared" si="10"/>
        <v/>
      </c>
      <c r="E158" s="40" t="str">
        <f t="shared" si="11"/>
        <v>Marchlik</v>
      </c>
      <c r="F158" s="46" t="s">
        <v>244</v>
      </c>
    </row>
    <row r="159" spans="1:6" ht="15" x14ac:dyDescent="0.25">
      <c r="A159" s="41" t="s">
        <v>245</v>
      </c>
      <c r="B159" s="41"/>
      <c r="C159" s="40" t="e">
        <f t="shared" si="9"/>
        <v>#VALUE!</v>
      </c>
      <c r="D159" s="40" t="str">
        <f t="shared" si="10"/>
        <v/>
      </c>
      <c r="E159" s="40" t="e">
        <f t="shared" si="11"/>
        <v>#VALUE!</v>
      </c>
      <c r="F159" s="41" t="s">
        <v>245</v>
      </c>
    </row>
    <row r="160" spans="1:6" ht="15" x14ac:dyDescent="0.25">
      <c r="A160" s="46" t="s">
        <v>246</v>
      </c>
      <c r="B160" s="41"/>
      <c r="C160" s="40" t="str">
        <f t="shared" si="9"/>
        <v>Piper</v>
      </c>
      <c r="D160" s="40" t="str">
        <f t="shared" si="10"/>
        <v/>
      </c>
      <c r="E160" s="40" t="str">
        <f t="shared" si="11"/>
        <v>Martin</v>
      </c>
      <c r="F160" s="46"/>
    </row>
    <row r="161" spans="1:6" ht="15" x14ac:dyDescent="0.25">
      <c r="A161" s="47" t="s">
        <v>442</v>
      </c>
      <c r="B161" s="41"/>
      <c r="C161" s="40" t="str">
        <f t="shared" si="9"/>
        <v>Josten</v>
      </c>
      <c r="D161" s="40" t="str">
        <f t="shared" si="10"/>
        <v/>
      </c>
      <c r="E161" s="40" t="str">
        <f t="shared" si="11"/>
        <v>in not walking program only</v>
      </c>
      <c r="F161" s="47"/>
    </row>
    <row r="162" spans="1:6" ht="15" x14ac:dyDescent="0.25">
      <c r="A162" s="48" t="s">
        <v>443</v>
      </c>
      <c r="B162" s="41"/>
      <c r="C162" s="40" t="str">
        <f t="shared" si="9"/>
        <v>Ella</v>
      </c>
      <c r="D162" s="40" t="str">
        <f t="shared" si="10"/>
        <v/>
      </c>
      <c r="E162" s="40" t="str">
        <f t="shared" si="11"/>
        <v>inelle not walkin program only</v>
      </c>
      <c r="F162" s="48"/>
    </row>
    <row r="163" spans="1:6" ht="15" x14ac:dyDescent="0.25">
      <c r="A163" s="46" t="s">
        <v>247</v>
      </c>
      <c r="B163" s="41"/>
      <c r="C163" s="40" t="str">
        <f t="shared" si="9"/>
        <v>Addyson</v>
      </c>
      <c r="D163" s="40" t="str">
        <f t="shared" si="10"/>
        <v>Collette</v>
      </c>
      <c r="E163" s="40" t="str">
        <f t="shared" si="11"/>
        <v>Mathews</v>
      </c>
      <c r="F163" s="46"/>
    </row>
    <row r="164" spans="1:6" ht="15" x14ac:dyDescent="0.25">
      <c r="A164" s="46" t="s">
        <v>248</v>
      </c>
      <c r="B164" s="41"/>
      <c r="C164" s="40" t="str">
        <f t="shared" si="9"/>
        <v>Charlie</v>
      </c>
      <c r="D164" s="40" t="str">
        <f t="shared" si="10"/>
        <v/>
      </c>
      <c r="E164" s="40" t="str">
        <f t="shared" si="11"/>
        <v>May</v>
      </c>
      <c r="F164" s="46"/>
    </row>
    <row r="165" spans="1:6" ht="15" x14ac:dyDescent="0.25">
      <c r="A165" s="46" t="s">
        <v>249</v>
      </c>
      <c r="B165" s="41"/>
      <c r="C165" s="40" t="str">
        <f t="shared" si="9"/>
        <v>Caleb</v>
      </c>
      <c r="D165" s="40" t="str">
        <f t="shared" si="10"/>
        <v/>
      </c>
      <c r="E165" s="40" t="str">
        <f t="shared" si="11"/>
        <v>McGonagle</v>
      </c>
      <c r="F165" s="46"/>
    </row>
    <row r="166" spans="1:6" ht="15" x14ac:dyDescent="0.25">
      <c r="A166" s="45" t="s">
        <v>250</v>
      </c>
      <c r="B166" s="41"/>
      <c r="C166" s="40" t="str">
        <f t="shared" si="9"/>
        <v>Makenna</v>
      </c>
      <c r="D166" s="40" t="str">
        <f t="shared" si="10"/>
        <v/>
      </c>
      <c r="E166" s="40" t="str">
        <f t="shared" si="11"/>
        <v>McGrath</v>
      </c>
      <c r="F166" s="45"/>
    </row>
    <row r="167" spans="1:6" ht="15" x14ac:dyDescent="0.25">
      <c r="A167" s="41" t="s">
        <v>251</v>
      </c>
      <c r="B167" s="41"/>
      <c r="C167" s="40" t="str">
        <f t="shared" si="9"/>
        <v>Zoe</v>
      </c>
      <c r="D167" s="40" t="str">
        <f t="shared" si="10"/>
        <v/>
      </c>
      <c r="E167" s="40" t="str">
        <f t="shared" si="11"/>
        <v>McLaughlin-Shostak</v>
      </c>
      <c r="F167" s="41" t="s">
        <v>397</v>
      </c>
    </row>
    <row r="168" spans="1:6" ht="15" x14ac:dyDescent="0.25">
      <c r="A168" s="45" t="s">
        <v>252</v>
      </c>
      <c r="B168" s="41"/>
      <c r="C168" s="40" t="str">
        <f t="shared" si="9"/>
        <v>Ella</v>
      </c>
      <c r="D168" s="40" t="str">
        <f t="shared" si="10"/>
        <v/>
      </c>
      <c r="E168" s="40" t="str">
        <f t="shared" si="11"/>
        <v>McMenimen</v>
      </c>
      <c r="F168" s="45" t="s">
        <v>398</v>
      </c>
    </row>
    <row r="169" spans="1:6" ht="15" x14ac:dyDescent="0.25">
      <c r="A169" s="41" t="s">
        <v>253</v>
      </c>
      <c r="B169" s="41"/>
      <c r="C169" s="40" t="str">
        <f t="shared" si="9"/>
        <v>Jack</v>
      </c>
      <c r="D169" s="40" t="str">
        <f t="shared" si="10"/>
        <v/>
      </c>
      <c r="E169" s="40" t="str">
        <f t="shared" si="11"/>
        <v>Melly</v>
      </c>
      <c r="F169" s="41"/>
    </row>
    <row r="170" spans="1:6" ht="15" x14ac:dyDescent="0.25">
      <c r="A170" s="46" t="s">
        <v>254</v>
      </c>
      <c r="B170" s="41"/>
      <c r="C170" s="40" t="str">
        <f t="shared" si="9"/>
        <v>Alex</v>
      </c>
      <c r="D170" s="40" t="str">
        <f t="shared" si="10"/>
        <v/>
      </c>
      <c r="E170" s="40" t="str">
        <f t="shared" si="11"/>
        <v>Merkle</v>
      </c>
      <c r="F170" s="46"/>
    </row>
    <row r="171" spans="1:6" ht="15" x14ac:dyDescent="0.25">
      <c r="A171" s="46" t="s">
        <v>255</v>
      </c>
      <c r="B171" s="41"/>
      <c r="C171" s="40" t="str">
        <f t="shared" si="9"/>
        <v>Will</v>
      </c>
      <c r="D171" s="40" t="str">
        <f t="shared" si="10"/>
        <v/>
      </c>
      <c r="E171" s="40" t="str">
        <f t="shared" si="11"/>
        <v>Merkle</v>
      </c>
      <c r="F171" s="46"/>
    </row>
    <row r="172" spans="1:6" ht="15" x14ac:dyDescent="0.25">
      <c r="A172" s="46" t="s">
        <v>256</v>
      </c>
      <c r="B172" s="41"/>
      <c r="C172" s="40" t="str">
        <f t="shared" si="9"/>
        <v>Gianna</v>
      </c>
      <c r="D172" s="40" t="str">
        <f t="shared" si="10"/>
        <v/>
      </c>
      <c r="E172" s="40" t="str">
        <f t="shared" si="11"/>
        <v>Miceli</v>
      </c>
      <c r="F172" s="46" t="s">
        <v>399</v>
      </c>
    </row>
    <row r="173" spans="1:6" ht="15" x14ac:dyDescent="0.25">
      <c r="A173" s="41" t="s">
        <v>257</v>
      </c>
      <c r="B173" s="41"/>
      <c r="C173" s="40" t="str">
        <f t="shared" si="9"/>
        <v>Karmani</v>
      </c>
      <c r="D173" s="40" t="str">
        <f t="shared" si="10"/>
        <v>Isaiah</v>
      </c>
      <c r="E173" s="40" t="str">
        <f t="shared" si="11"/>
        <v>Mirville</v>
      </c>
      <c r="F173" s="41"/>
    </row>
    <row r="174" spans="1:6" ht="15" x14ac:dyDescent="0.25">
      <c r="A174" s="48" t="s">
        <v>474</v>
      </c>
      <c r="B174" s="41"/>
      <c r="C174" s="40" t="str">
        <f t="shared" si="9"/>
        <v>Mason</v>
      </c>
      <c r="D174" s="40" t="str">
        <f t="shared" si="10"/>
        <v>Buddy</v>
      </c>
      <c r="E174" s="40" t="str">
        <f>IF(ISERROR(FIND(",",TRIM(A174))),MID(TRIM(A174),1+LEN(TRIM(A174))-LEN(SUBSTITUTE(TRIM(A174)," ",""))+LEN(C174)+LEN(D174),30),LEFT(TRIM(A174), FIND(",",TRIM(A174))-1))</f>
        <v>Moll</v>
      </c>
      <c r="F174" s="48"/>
    </row>
    <row r="175" spans="1:6" ht="15" x14ac:dyDescent="0.25">
      <c r="A175" s="41" t="s">
        <v>258</v>
      </c>
      <c r="B175" s="41"/>
      <c r="C175" s="40" t="str">
        <f t="shared" si="9"/>
        <v>Marcus</v>
      </c>
      <c r="D175" s="40" t="str">
        <f t="shared" si="10"/>
        <v/>
      </c>
      <c r="E175" s="40" t="str">
        <f t="shared" si="11"/>
        <v>Moller</v>
      </c>
      <c r="F175" s="41" t="s">
        <v>400</v>
      </c>
    </row>
    <row r="176" spans="1:6" ht="15" x14ac:dyDescent="0.25">
      <c r="A176" s="45" t="s">
        <v>259</v>
      </c>
      <c r="B176" s="41"/>
      <c r="C176" s="40" t="str">
        <f t="shared" si="9"/>
        <v>Evangeline</v>
      </c>
      <c r="D176" s="40" t="str">
        <f t="shared" si="10"/>
        <v/>
      </c>
      <c r="E176" s="40" t="str">
        <f t="shared" si="11"/>
        <v>Moreira</v>
      </c>
      <c r="F176" s="45" t="s">
        <v>401</v>
      </c>
    </row>
    <row r="177" spans="1:6" ht="15" x14ac:dyDescent="0.25">
      <c r="A177" s="41" t="s">
        <v>260</v>
      </c>
      <c r="B177" s="41"/>
      <c r="C177" s="40" t="str">
        <f t="shared" si="9"/>
        <v>Bobby</v>
      </c>
      <c r="D177" s="40" t="str">
        <f t="shared" si="10"/>
        <v/>
      </c>
      <c r="E177" s="40" t="str">
        <f t="shared" si="11"/>
        <v>Morris</v>
      </c>
      <c r="F177" s="41"/>
    </row>
    <row r="178" spans="1:6" ht="15" x14ac:dyDescent="0.25">
      <c r="A178" s="45" t="s">
        <v>261</v>
      </c>
      <c r="B178" s="41"/>
      <c r="C178" s="40" t="str">
        <f t="shared" si="9"/>
        <v>Kaiden</v>
      </c>
      <c r="D178" s="40" t="str">
        <f t="shared" si="10"/>
        <v/>
      </c>
      <c r="E178" s="40" t="str">
        <f t="shared" si="11"/>
        <v>Morrison</v>
      </c>
      <c r="F178" s="45"/>
    </row>
    <row r="179" spans="1:6" ht="15" x14ac:dyDescent="0.25">
      <c r="A179" s="41" t="s">
        <v>262</v>
      </c>
      <c r="B179" s="41"/>
      <c r="C179" s="40" t="str">
        <f t="shared" si="9"/>
        <v>Abdul</v>
      </c>
      <c r="D179" s="40" t="str">
        <f t="shared" si="10"/>
        <v>Raheem</v>
      </c>
      <c r="E179" s="40" t="str">
        <f t="shared" si="11"/>
        <v>Mughal</v>
      </c>
      <c r="F179" s="41"/>
    </row>
    <row r="180" spans="1:6" ht="15" x14ac:dyDescent="0.25">
      <c r="A180" s="45" t="s">
        <v>263</v>
      </c>
      <c r="B180" s="41"/>
      <c r="C180" s="40" t="str">
        <f t="shared" si="9"/>
        <v>William</v>
      </c>
      <c r="D180" s="40" t="str">
        <f t="shared" si="10"/>
        <v/>
      </c>
      <c r="E180" s="40" t="str">
        <f t="shared" si="11"/>
        <v>Muller</v>
      </c>
      <c r="F180" s="45" t="s">
        <v>402</v>
      </c>
    </row>
    <row r="181" spans="1:6" ht="15" x14ac:dyDescent="0.25">
      <c r="A181" s="46" t="s">
        <v>264</v>
      </c>
      <c r="B181" s="41"/>
      <c r="C181" s="40" t="str">
        <f t="shared" si="9"/>
        <v>Aidan</v>
      </c>
      <c r="D181" s="40" t="str">
        <f t="shared" si="10"/>
        <v/>
      </c>
      <c r="E181" s="40" t="str">
        <f t="shared" si="11"/>
        <v>Mullin</v>
      </c>
      <c r="F181" s="46" t="s">
        <v>264</v>
      </c>
    </row>
    <row r="182" spans="1:6" ht="15" x14ac:dyDescent="0.25">
      <c r="A182" s="46" t="s">
        <v>91</v>
      </c>
      <c r="B182" s="41"/>
      <c r="C182" s="40" t="str">
        <f t="shared" si="9"/>
        <v>Jack</v>
      </c>
      <c r="D182" s="40" t="str">
        <f t="shared" si="10"/>
        <v/>
      </c>
      <c r="E182" s="40" t="str">
        <f t="shared" si="11"/>
        <v>Murphy</v>
      </c>
      <c r="F182" s="46"/>
    </row>
    <row r="183" spans="1:6" ht="15" x14ac:dyDescent="0.25">
      <c r="A183" s="46" t="s">
        <v>265</v>
      </c>
      <c r="B183" s="41"/>
      <c r="C183" s="40" t="str">
        <f t="shared" si="9"/>
        <v>Emma</v>
      </c>
      <c r="D183" s="40" t="str">
        <f t="shared" si="10"/>
        <v>Elizabeth</v>
      </c>
      <c r="E183" s="40" t="str">
        <f t="shared" si="11"/>
        <v>Nelson</v>
      </c>
      <c r="F183" s="46"/>
    </row>
    <row r="184" spans="1:6" ht="15" x14ac:dyDescent="0.25">
      <c r="A184" s="46" t="s">
        <v>266</v>
      </c>
      <c r="B184" s="41"/>
      <c r="C184" s="40" t="str">
        <f t="shared" si="9"/>
        <v>Abigail</v>
      </c>
      <c r="D184" s="40" t="str">
        <f t="shared" si="10"/>
        <v/>
      </c>
      <c r="E184" s="40" t="str">
        <f t="shared" si="11"/>
        <v>Nelson</v>
      </c>
      <c r="F184" s="46"/>
    </row>
    <row r="185" spans="1:6" ht="15" x14ac:dyDescent="0.25">
      <c r="A185" s="41" t="s">
        <v>267</v>
      </c>
      <c r="B185" s="41"/>
      <c r="C185" s="40" t="str">
        <f t="shared" si="9"/>
        <v>Patience</v>
      </c>
      <c r="D185" s="40" t="str">
        <f t="shared" si="10"/>
        <v/>
      </c>
      <c r="E185" s="40" t="str">
        <f t="shared" si="11"/>
        <v>Nguyen</v>
      </c>
      <c r="F185" s="41" t="s">
        <v>403</v>
      </c>
    </row>
    <row r="186" spans="1:6" ht="15" x14ac:dyDescent="0.25">
      <c r="A186" s="46" t="s">
        <v>268</v>
      </c>
      <c r="B186" s="41"/>
      <c r="C186" s="40" t="str">
        <f t="shared" si="9"/>
        <v>Charlotte</v>
      </c>
      <c r="D186" s="40" t="str">
        <f t="shared" si="10"/>
        <v/>
      </c>
      <c r="E186" s="40" t="str">
        <f t="shared" si="11"/>
        <v>Nolty</v>
      </c>
      <c r="F186" s="46"/>
    </row>
    <row r="187" spans="1:6" ht="15" x14ac:dyDescent="0.25">
      <c r="A187" s="41" t="s">
        <v>269</v>
      </c>
      <c r="B187" s="41"/>
      <c r="C187" s="40" t="str">
        <f t="shared" si="9"/>
        <v>Mackenzie</v>
      </c>
      <c r="D187" s="40" t="str">
        <f t="shared" si="10"/>
        <v/>
      </c>
      <c r="E187" s="40" t="str">
        <f t="shared" si="11"/>
        <v>Norris</v>
      </c>
      <c r="F187" s="41" t="s">
        <v>404</v>
      </c>
    </row>
    <row r="188" spans="1:6" ht="15" x14ac:dyDescent="0.25">
      <c r="A188" s="45" t="s">
        <v>270</v>
      </c>
      <c r="B188" s="41"/>
      <c r="C188" s="40" t="str">
        <f t="shared" si="9"/>
        <v>Michelle</v>
      </c>
      <c r="D188" s="40" t="str">
        <f t="shared" si="10"/>
        <v/>
      </c>
      <c r="E188" s="40" t="str">
        <f t="shared" si="11"/>
        <v>Ohlson</v>
      </c>
      <c r="F188" s="45"/>
    </row>
    <row r="189" spans="1:6" ht="15" x14ac:dyDescent="0.25">
      <c r="A189" s="41" t="s">
        <v>271</v>
      </c>
      <c r="B189" s="41"/>
      <c r="C189" s="40" t="str">
        <f t="shared" si="9"/>
        <v>Natalie</v>
      </c>
      <c r="D189" s="40" t="str">
        <f t="shared" si="10"/>
        <v/>
      </c>
      <c r="E189" s="40" t="str">
        <f t="shared" si="11"/>
        <v>Ortins</v>
      </c>
      <c r="F189" s="41" t="s">
        <v>405</v>
      </c>
    </row>
    <row r="190" spans="1:6" ht="15" x14ac:dyDescent="0.25">
      <c r="A190" s="45" t="s">
        <v>272</v>
      </c>
      <c r="B190" s="41"/>
      <c r="C190" s="40" t="str">
        <f t="shared" si="9"/>
        <v>Franklin</v>
      </c>
      <c r="D190" s="40" t="str">
        <f t="shared" si="10"/>
        <v/>
      </c>
      <c r="E190" s="40" t="str">
        <f t="shared" si="11"/>
        <v>Ortiz</v>
      </c>
      <c r="F190" s="45" t="s">
        <v>272</v>
      </c>
    </row>
    <row r="191" spans="1:6" ht="15" x14ac:dyDescent="0.25">
      <c r="A191" s="46" t="s">
        <v>273</v>
      </c>
      <c r="B191" s="41"/>
      <c r="C191" s="40" t="str">
        <f t="shared" si="9"/>
        <v>Isabelle</v>
      </c>
      <c r="D191" s="40" t="str">
        <f t="shared" si="10"/>
        <v>Grace</v>
      </c>
      <c r="E191" s="40" t="str">
        <f t="shared" si="11"/>
        <v>Parent</v>
      </c>
      <c r="F191" s="46"/>
    </row>
    <row r="192" spans="1:6" ht="15" x14ac:dyDescent="0.25">
      <c r="A192" s="46" t="s">
        <v>274</v>
      </c>
      <c r="B192" s="41"/>
      <c r="C192" s="40" t="str">
        <f t="shared" si="9"/>
        <v>Saloni</v>
      </c>
      <c r="D192" s="40" t="str">
        <f t="shared" si="10"/>
        <v/>
      </c>
      <c r="E192" s="40" t="str">
        <f t="shared" si="11"/>
        <v>Patel</v>
      </c>
      <c r="F192" s="46" t="s">
        <v>406</v>
      </c>
    </row>
    <row r="193" spans="1:6" ht="15" x14ac:dyDescent="0.25">
      <c r="A193" s="41" t="s">
        <v>275</v>
      </c>
      <c r="B193" s="41"/>
      <c r="C193" s="40" t="str">
        <f t="shared" si="9"/>
        <v>Lerika</v>
      </c>
      <c r="D193" s="40" t="str">
        <f t="shared" si="10"/>
        <v/>
      </c>
      <c r="E193" s="40" t="str">
        <f t="shared" si="11"/>
        <v>Peat</v>
      </c>
      <c r="F193" s="41"/>
    </row>
    <row r="194" spans="1:6" ht="15" x14ac:dyDescent="0.25">
      <c r="A194" s="45" t="s">
        <v>276</v>
      </c>
      <c r="B194" s="41"/>
      <c r="C194" s="40" t="str">
        <f t="shared" si="9"/>
        <v>Jacob</v>
      </c>
      <c r="D194" s="40" t="str">
        <f t="shared" si="10"/>
        <v/>
      </c>
      <c r="E194" s="40" t="str">
        <f t="shared" si="11"/>
        <v>Petrin</v>
      </c>
      <c r="F194" s="45" t="s">
        <v>407</v>
      </c>
    </row>
    <row r="195" spans="1:6" ht="15" x14ac:dyDescent="0.25">
      <c r="A195" s="41" t="s">
        <v>277</v>
      </c>
      <c r="B195" s="41"/>
      <c r="C195" s="40" t="str">
        <f t="shared" si="9"/>
        <v>Wyatt</v>
      </c>
      <c r="D195" s="40" t="str">
        <f t="shared" si="10"/>
        <v/>
      </c>
      <c r="E195" s="40" t="str">
        <f t="shared" si="11"/>
        <v>Picard</v>
      </c>
      <c r="F195" s="41"/>
    </row>
    <row r="196" spans="1:6" ht="15" x14ac:dyDescent="0.25">
      <c r="A196" s="48" t="s">
        <v>444</v>
      </c>
      <c r="B196" s="41"/>
      <c r="C196" s="40" t="str">
        <f t="shared" si="9"/>
        <v>Gabrielle</v>
      </c>
      <c r="D196" s="40" t="str">
        <f t="shared" si="10"/>
        <v/>
      </c>
      <c r="E196" s="40" t="str">
        <f t="shared" si="11"/>
        <v>ier not walking program only</v>
      </c>
      <c r="F196" s="48"/>
    </row>
    <row r="197" spans="1:6" ht="15" x14ac:dyDescent="0.25">
      <c r="A197" s="46" t="s">
        <v>278</v>
      </c>
      <c r="B197" s="41"/>
      <c r="C197" s="40" t="str">
        <f t="shared" ref="C197:C260" si="12">IF(ISERROR( FIND(",",TRIM(A197))),LEFT(TRIM(A197), FIND(" ",TRIM(A197))-1),MID(TRIM(A197),LEN(C197)+3,FIND(" ",TRIM(A197)&amp;" ",LEN(C197)+3)-LEN(C197)-2))</f>
        <v>Samantha</v>
      </c>
      <c r="D197" s="40" t="str">
        <f t="shared" ref="D197:D260" si="13">IF(ISERROR(FIND(",",TRIM(A197))),IF(LEN(TRIM(A197))-LEN(SUBSTITUTE(TRIM(A197)," ",""))=2,MID(TRIM(A197),LEN(C197)+2,FIND(" ",TRIM(A197),LEN(C197)+2)-LEN(C197)-2),""),MID(TRIM(A197),3+LEN(C197)+LEN(E197),30))</f>
        <v/>
      </c>
      <c r="E197" s="40" t="str">
        <f t="shared" ref="E197:E260" si="14">IF(ISERROR(FIND(",",TRIM(A197))),MID(TRIM(A197),1+LEN(TRIM(A197))-LEN(SUBSTITUTE(TRIM(A197)," ",""))+LEN(C197)+LEN(D197),30),LEFT(TRIM(A197), FIND(",",TRIM(A197))-1))</f>
        <v>Pomerantz</v>
      </c>
      <c r="F197" s="46" t="s">
        <v>408</v>
      </c>
    </row>
    <row r="198" spans="1:6" ht="15" x14ac:dyDescent="0.25">
      <c r="A198" s="45" t="s">
        <v>279</v>
      </c>
      <c r="B198" s="41"/>
      <c r="C198" s="40" t="str">
        <f t="shared" si="12"/>
        <v>Shivani</v>
      </c>
      <c r="D198" s="40" t="str">
        <f t="shared" si="13"/>
        <v/>
      </c>
      <c r="E198" s="40" t="str">
        <f t="shared" si="14"/>
        <v>Poudyal</v>
      </c>
      <c r="F198" s="45" t="s">
        <v>409</v>
      </c>
    </row>
    <row r="199" spans="1:6" ht="15" x14ac:dyDescent="0.25">
      <c r="A199" s="46" t="s">
        <v>433</v>
      </c>
      <c r="B199" s="41"/>
      <c r="C199" s="40" t="str">
        <f t="shared" si="12"/>
        <v>Ryan</v>
      </c>
      <c r="D199" s="40" t="str">
        <f t="shared" si="13"/>
        <v/>
      </c>
      <c r="E199" s="40" t="str">
        <f t="shared" si="14"/>
        <v>Pulpi</v>
      </c>
      <c r="F199" s="46" t="s">
        <v>280</v>
      </c>
    </row>
    <row r="200" spans="1:6" ht="15" x14ac:dyDescent="0.25">
      <c r="A200" s="46" t="s">
        <v>281</v>
      </c>
      <c r="B200" s="41"/>
      <c r="C200" s="40" t="str">
        <f t="shared" si="12"/>
        <v>Jessica</v>
      </c>
      <c r="D200" s="40" t="str">
        <f t="shared" si="13"/>
        <v/>
      </c>
      <c r="E200" s="40" t="str">
        <f t="shared" si="14"/>
        <v>Rai</v>
      </c>
      <c r="F200" s="46" t="s">
        <v>410</v>
      </c>
    </row>
    <row r="201" spans="1:6" ht="15" x14ac:dyDescent="0.25">
      <c r="A201" s="46" t="s">
        <v>282</v>
      </c>
      <c r="B201" s="41"/>
      <c r="C201" s="40" t="str">
        <f t="shared" si="12"/>
        <v>Ted</v>
      </c>
      <c r="D201" s="40" t="str">
        <f t="shared" si="13"/>
        <v/>
      </c>
      <c r="E201" s="40" t="str">
        <f t="shared" si="14"/>
        <v>Ravens</v>
      </c>
      <c r="F201" s="46"/>
    </row>
    <row r="202" spans="1:6" ht="15" x14ac:dyDescent="0.25">
      <c r="A202" s="46" t="s">
        <v>283</v>
      </c>
      <c r="B202" s="41"/>
      <c r="C202" s="40" t="str">
        <f t="shared" si="12"/>
        <v>Lucas</v>
      </c>
      <c r="D202" s="40" t="str">
        <f t="shared" si="13"/>
        <v/>
      </c>
      <c r="E202" s="40" t="str">
        <f t="shared" si="14"/>
        <v>Reis</v>
      </c>
      <c r="F202" s="46"/>
    </row>
    <row r="203" spans="1:6" ht="15" x14ac:dyDescent="0.25">
      <c r="A203" s="46" t="s">
        <v>284</v>
      </c>
      <c r="B203" s="41"/>
      <c r="C203" s="40" t="str">
        <f t="shared" si="12"/>
        <v>Olivia</v>
      </c>
      <c r="D203" s="40" t="str">
        <f t="shared" si="13"/>
        <v/>
      </c>
      <c r="E203" s="40" t="str">
        <f t="shared" si="14"/>
        <v>Renda</v>
      </c>
      <c r="F203" s="46"/>
    </row>
    <row r="204" spans="1:6" ht="15" x14ac:dyDescent="0.25">
      <c r="A204" s="46" t="s">
        <v>285</v>
      </c>
      <c r="B204" s="41"/>
      <c r="C204" s="40" t="str">
        <f t="shared" si="12"/>
        <v>Jessica</v>
      </c>
      <c r="D204" s="40" t="str">
        <f t="shared" si="13"/>
        <v/>
      </c>
      <c r="E204" s="40" t="str">
        <f t="shared" si="14"/>
        <v>Richter</v>
      </c>
      <c r="F204" s="46" t="s">
        <v>411</v>
      </c>
    </row>
    <row r="205" spans="1:6" ht="15" x14ac:dyDescent="0.25">
      <c r="A205" s="46" t="s">
        <v>286</v>
      </c>
      <c r="B205" s="41"/>
      <c r="C205" s="40" t="str">
        <f t="shared" si="12"/>
        <v>Charlotte</v>
      </c>
      <c r="D205" s="40" t="str">
        <f t="shared" si="13"/>
        <v/>
      </c>
      <c r="E205" s="40" t="str">
        <f t="shared" si="14"/>
        <v>Robichaud</v>
      </c>
      <c r="F205" s="46" t="s">
        <v>412</v>
      </c>
    </row>
    <row r="206" spans="1:6" ht="15" x14ac:dyDescent="0.25">
      <c r="A206" s="45" t="s">
        <v>287</v>
      </c>
      <c r="B206" s="41"/>
      <c r="C206" s="40" t="str">
        <f t="shared" si="12"/>
        <v>Derek</v>
      </c>
      <c r="D206" s="40" t="str">
        <f t="shared" si="13"/>
        <v/>
      </c>
      <c r="E206" s="40" t="str">
        <f t="shared" si="14"/>
        <v>Robillard</v>
      </c>
      <c r="F206" s="45"/>
    </row>
    <row r="207" spans="1:6" ht="15" x14ac:dyDescent="0.25">
      <c r="A207" s="41" t="s">
        <v>288</v>
      </c>
      <c r="B207" s="41"/>
      <c r="C207" s="40" t="str">
        <f t="shared" si="12"/>
        <v>Isaac</v>
      </c>
      <c r="D207" s="40" t="str">
        <f t="shared" si="13"/>
        <v/>
      </c>
      <c r="E207" s="40" t="str">
        <f t="shared" si="14"/>
        <v>Robinson</v>
      </c>
      <c r="F207" s="41"/>
    </row>
    <row r="208" spans="1:6" ht="15" x14ac:dyDescent="0.25">
      <c r="A208" s="46" t="s">
        <v>289</v>
      </c>
      <c r="B208" s="41"/>
      <c r="C208" s="40" t="str">
        <f t="shared" si="12"/>
        <v>Teresa</v>
      </c>
      <c r="D208" s="40" t="str">
        <f t="shared" si="13"/>
        <v/>
      </c>
      <c r="E208" s="40" t="str">
        <f t="shared" si="14"/>
        <v>Rock</v>
      </c>
      <c r="F208" s="46"/>
    </row>
    <row r="209" spans="1:6" ht="15" x14ac:dyDescent="0.25">
      <c r="A209" s="41" t="s">
        <v>290</v>
      </c>
      <c r="B209" s="41"/>
      <c r="C209" s="40" t="str">
        <f t="shared" si="12"/>
        <v>James</v>
      </c>
      <c r="D209" s="40" t="str">
        <f t="shared" si="13"/>
        <v/>
      </c>
      <c r="E209" s="40" t="str">
        <f t="shared" si="14"/>
        <v>Rodrigues</v>
      </c>
      <c r="F209" s="41"/>
    </row>
    <row r="210" spans="1:6" ht="15" x14ac:dyDescent="0.25">
      <c r="A210" s="45" t="s">
        <v>291</v>
      </c>
      <c r="B210" s="41"/>
      <c r="C210" s="40" t="str">
        <f t="shared" si="12"/>
        <v>Luke</v>
      </c>
      <c r="D210" s="40" t="str">
        <f t="shared" si="13"/>
        <v/>
      </c>
      <c r="E210" s="40" t="str">
        <f t="shared" si="14"/>
        <v>Rogerson</v>
      </c>
      <c r="F210" s="45"/>
    </row>
    <row r="211" spans="1:6" ht="15" x14ac:dyDescent="0.25">
      <c r="A211" s="41" t="s">
        <v>292</v>
      </c>
      <c r="B211" s="41"/>
      <c r="C211" s="40" t="str">
        <f t="shared" si="12"/>
        <v>Javian</v>
      </c>
      <c r="D211" s="40" t="str">
        <f t="shared" si="13"/>
        <v/>
      </c>
      <c r="E211" s="40" t="str">
        <f t="shared" si="14"/>
        <v>Rojas</v>
      </c>
      <c r="F211" s="41" t="s">
        <v>413</v>
      </c>
    </row>
    <row r="212" spans="1:6" ht="15" x14ac:dyDescent="0.25">
      <c r="A212" s="46" t="s">
        <v>293</v>
      </c>
      <c r="B212" s="41"/>
      <c r="C212" s="40" t="str">
        <f t="shared" si="12"/>
        <v>Ellie</v>
      </c>
      <c r="D212" s="40" t="str">
        <f t="shared" si="13"/>
        <v/>
      </c>
      <c r="E212" s="40" t="str">
        <f t="shared" si="14"/>
        <v>Russo</v>
      </c>
      <c r="F212" s="46"/>
    </row>
    <row r="213" spans="1:6" ht="15" x14ac:dyDescent="0.25">
      <c r="A213" s="41" t="s">
        <v>469</v>
      </c>
      <c r="B213" s="41"/>
      <c r="C213" s="40" t="str">
        <f t="shared" si="12"/>
        <v>Rejon</v>
      </c>
      <c r="D213" s="40" t="str">
        <f t="shared" si="13"/>
        <v/>
      </c>
      <c r="E213" s="40" t="str">
        <f t="shared" si="14"/>
        <v>Ryland</v>
      </c>
      <c r="F213" s="41" t="s">
        <v>294</v>
      </c>
    </row>
    <row r="214" spans="1:6" ht="15" x14ac:dyDescent="0.25">
      <c r="A214" s="45" t="s">
        <v>295</v>
      </c>
      <c r="B214" s="41"/>
      <c r="C214" s="40" t="str">
        <f t="shared" si="12"/>
        <v>Lorenzo</v>
      </c>
      <c r="D214" s="40" t="str">
        <f t="shared" si="13"/>
        <v/>
      </c>
      <c r="E214" s="40" t="str">
        <f t="shared" si="14"/>
        <v>Sardinha</v>
      </c>
      <c r="F214" s="45" t="s">
        <v>414</v>
      </c>
    </row>
    <row r="215" spans="1:6" ht="15" x14ac:dyDescent="0.25">
      <c r="A215" s="41" t="s">
        <v>296</v>
      </c>
      <c r="B215" s="41"/>
      <c r="C215" s="40" t="str">
        <f t="shared" si="12"/>
        <v>Noah</v>
      </c>
      <c r="D215" s="40" t="str">
        <f t="shared" si="13"/>
        <v/>
      </c>
      <c r="E215" s="40" t="str">
        <f t="shared" si="14"/>
        <v>Sarre</v>
      </c>
      <c r="F215" s="41" t="s">
        <v>415</v>
      </c>
    </row>
    <row r="216" spans="1:6" ht="15" x14ac:dyDescent="0.25">
      <c r="A216" s="46" t="s">
        <v>297</v>
      </c>
      <c r="B216" s="41"/>
      <c r="C216" s="40" t="str">
        <f t="shared" si="12"/>
        <v>Katherine</v>
      </c>
      <c r="D216" s="40" t="str">
        <f t="shared" si="13"/>
        <v/>
      </c>
      <c r="E216" s="40" t="str">
        <f t="shared" si="14"/>
        <v>Savio</v>
      </c>
      <c r="F216" s="46"/>
    </row>
    <row r="217" spans="1:6" ht="15" x14ac:dyDescent="0.25">
      <c r="A217" s="41" t="s">
        <v>298</v>
      </c>
      <c r="B217" s="41"/>
      <c r="C217" s="40" t="str">
        <f t="shared" si="12"/>
        <v>Megan</v>
      </c>
      <c r="D217" s="40" t="str">
        <f t="shared" si="13"/>
        <v/>
      </c>
      <c r="E217" s="40" t="str">
        <f t="shared" si="14"/>
        <v>Scales</v>
      </c>
      <c r="F217" s="41"/>
    </row>
    <row r="218" spans="1:6" ht="15" x14ac:dyDescent="0.25">
      <c r="A218" s="45" t="s">
        <v>299</v>
      </c>
      <c r="B218" s="41"/>
      <c r="C218" s="40" t="str">
        <f t="shared" si="12"/>
        <v>Sophie</v>
      </c>
      <c r="D218" s="40" t="str">
        <f t="shared" si="13"/>
        <v/>
      </c>
      <c r="E218" s="40" t="str">
        <f t="shared" si="14"/>
        <v>Schrager</v>
      </c>
      <c r="F218" s="45" t="s">
        <v>416</v>
      </c>
    </row>
    <row r="219" spans="1:6" ht="15" x14ac:dyDescent="0.25">
      <c r="A219" s="41" t="s">
        <v>300</v>
      </c>
      <c r="B219" s="41"/>
      <c r="C219" s="40" t="str">
        <f t="shared" si="12"/>
        <v>Rylie</v>
      </c>
      <c r="D219" s="40" t="str">
        <f t="shared" si="13"/>
        <v/>
      </c>
      <c r="E219" s="40" t="str">
        <f t="shared" si="14"/>
        <v>Schultz</v>
      </c>
      <c r="F219" s="41"/>
    </row>
    <row r="220" spans="1:6" ht="15" x14ac:dyDescent="0.25">
      <c r="A220" s="45" t="s">
        <v>301</v>
      </c>
      <c r="B220" s="41"/>
      <c r="C220" s="40" t="str">
        <f t="shared" si="12"/>
        <v>Madeline</v>
      </c>
      <c r="D220" s="40" t="str">
        <f t="shared" si="13"/>
        <v/>
      </c>
      <c r="E220" s="40" t="str">
        <f t="shared" si="14"/>
        <v>Scully</v>
      </c>
      <c r="F220" s="45"/>
    </row>
    <row r="221" spans="1:6" ht="15" x14ac:dyDescent="0.25">
      <c r="A221" s="46" t="s">
        <v>302</v>
      </c>
      <c r="B221" s="41"/>
      <c r="C221" s="40" t="str">
        <f t="shared" si="12"/>
        <v>Sachi</v>
      </c>
      <c r="D221" s="40" t="str">
        <f t="shared" si="13"/>
        <v/>
      </c>
      <c r="E221" s="40" t="str">
        <f t="shared" si="14"/>
        <v>Selvakumar</v>
      </c>
      <c r="F221" s="46" t="s">
        <v>417</v>
      </c>
    </row>
    <row r="222" spans="1:6" ht="15" x14ac:dyDescent="0.25">
      <c r="A222" s="45" t="s">
        <v>464</v>
      </c>
      <c r="B222" s="41"/>
      <c r="C222" s="40" t="str">
        <f t="shared" si="12"/>
        <v>Katie</v>
      </c>
      <c r="D222" s="40" t="str">
        <f t="shared" si="13"/>
        <v/>
      </c>
      <c r="E222" s="40" t="str">
        <f t="shared" si="14"/>
        <v>Severance</v>
      </c>
      <c r="F222" s="45"/>
    </row>
    <row r="223" spans="1:6" ht="15" x14ac:dyDescent="0.25">
      <c r="A223" s="46" t="s">
        <v>303</v>
      </c>
      <c r="B223" s="41"/>
      <c r="C223" s="40" t="str">
        <f t="shared" si="12"/>
        <v>Annabelle</v>
      </c>
      <c r="D223" s="40" t="str">
        <f t="shared" si="13"/>
        <v/>
      </c>
      <c r="E223" s="40" t="str">
        <f t="shared" si="14"/>
        <v>Shanley</v>
      </c>
      <c r="F223" s="46"/>
    </row>
    <row r="224" spans="1:6" ht="15" x14ac:dyDescent="0.25">
      <c r="A224" s="45" t="s">
        <v>304</v>
      </c>
      <c r="B224" s="41"/>
      <c r="C224" s="40" t="str">
        <f t="shared" si="12"/>
        <v>Emme</v>
      </c>
      <c r="D224" s="40" t="str">
        <f t="shared" si="13"/>
        <v/>
      </c>
      <c r="E224" s="40" t="str">
        <f t="shared" si="14"/>
        <v>Shediac</v>
      </c>
      <c r="F224" s="45" t="s">
        <v>418</v>
      </c>
    </row>
    <row r="225" spans="1:6" ht="15" x14ac:dyDescent="0.25">
      <c r="A225" s="41" t="s">
        <v>305</v>
      </c>
      <c r="B225" s="41"/>
      <c r="C225" s="40" t="str">
        <f t="shared" si="12"/>
        <v>Allison</v>
      </c>
      <c r="D225" s="40" t="str">
        <f t="shared" si="13"/>
        <v>Claire</v>
      </c>
      <c r="E225" s="40" t="str">
        <f t="shared" si="14"/>
        <v>Shindelman</v>
      </c>
      <c r="F225" s="41"/>
    </row>
    <row r="226" spans="1:6" ht="15" x14ac:dyDescent="0.25">
      <c r="A226" s="45" t="s">
        <v>306</v>
      </c>
      <c r="B226" s="41"/>
      <c r="C226" s="40" t="str">
        <f t="shared" si="12"/>
        <v>John</v>
      </c>
      <c r="D226" s="40" t="str">
        <f t="shared" si="13"/>
        <v>Paul</v>
      </c>
      <c r="E226" s="40" t="str">
        <f t="shared" si="14"/>
        <v>Siciliano</v>
      </c>
      <c r="F226" s="45" t="s">
        <v>419</v>
      </c>
    </row>
    <row r="227" spans="1:6" ht="15" x14ac:dyDescent="0.25">
      <c r="A227" s="46" t="s">
        <v>307</v>
      </c>
      <c r="B227" s="41"/>
      <c r="C227" s="40" t="str">
        <f t="shared" si="12"/>
        <v>Owen</v>
      </c>
      <c r="D227" s="40" t="str">
        <f t="shared" si="13"/>
        <v/>
      </c>
      <c r="E227" s="40" t="str">
        <f t="shared" si="14"/>
        <v>Sinclair</v>
      </c>
      <c r="F227" s="46"/>
    </row>
    <row r="228" spans="1:6" ht="15" x14ac:dyDescent="0.25">
      <c r="A228" s="46" t="s">
        <v>308</v>
      </c>
      <c r="B228" s="41"/>
      <c r="C228" s="40" t="str">
        <f t="shared" si="12"/>
        <v>Sierra</v>
      </c>
      <c r="D228" s="40" t="str">
        <f t="shared" si="13"/>
        <v/>
      </c>
      <c r="E228" s="40" t="str">
        <f t="shared" si="14"/>
        <v>Skenderian</v>
      </c>
      <c r="F228" s="46" t="s">
        <v>420</v>
      </c>
    </row>
    <row r="229" spans="1:6" ht="15" x14ac:dyDescent="0.25">
      <c r="A229" s="41" t="s">
        <v>309</v>
      </c>
      <c r="B229" s="41"/>
      <c r="C229" s="40" t="str">
        <f t="shared" si="12"/>
        <v>John</v>
      </c>
      <c r="D229" s="40" t="str">
        <f t="shared" si="13"/>
        <v/>
      </c>
      <c r="E229" s="40" t="str">
        <f t="shared" si="14"/>
        <v>Slinn</v>
      </c>
      <c r="F229" s="41" t="s">
        <v>309</v>
      </c>
    </row>
    <row r="230" spans="1:6" ht="15" x14ac:dyDescent="0.25">
      <c r="A230" s="46" t="s">
        <v>310</v>
      </c>
      <c r="B230" s="41"/>
      <c r="C230" s="40" t="str">
        <f t="shared" si="12"/>
        <v>Julia</v>
      </c>
      <c r="D230" s="40" t="str">
        <f t="shared" si="13"/>
        <v/>
      </c>
      <c r="E230" s="40" t="str">
        <f t="shared" si="14"/>
        <v>Smith</v>
      </c>
      <c r="F230" s="46"/>
    </row>
    <row r="231" spans="1:6" ht="15" x14ac:dyDescent="0.25">
      <c r="A231" s="41" t="s">
        <v>311</v>
      </c>
      <c r="B231" s="41"/>
      <c r="C231" s="40" t="str">
        <f t="shared" si="12"/>
        <v>Noah</v>
      </c>
      <c r="D231" s="40" t="str">
        <f t="shared" si="13"/>
        <v/>
      </c>
      <c r="E231" s="40" t="str">
        <f t="shared" si="14"/>
        <v>Snyder</v>
      </c>
      <c r="F231" s="41"/>
    </row>
    <row r="232" spans="1:6" ht="15" x14ac:dyDescent="0.25">
      <c r="A232" s="45" t="s">
        <v>312</v>
      </c>
      <c r="B232" s="41"/>
      <c r="C232" s="40" t="str">
        <f t="shared" si="12"/>
        <v>Aaron</v>
      </c>
      <c r="D232" s="40" t="str">
        <f t="shared" si="13"/>
        <v>Sylvan</v>
      </c>
      <c r="E232" s="40" t="str">
        <f t="shared" si="14"/>
        <v>Soto</v>
      </c>
      <c r="F232" s="45" t="s">
        <v>421</v>
      </c>
    </row>
    <row r="233" spans="1:6" ht="15" x14ac:dyDescent="0.25">
      <c r="A233" s="41" t="s">
        <v>313</v>
      </c>
      <c r="B233" s="41"/>
      <c r="C233" s="40" t="str">
        <f t="shared" si="12"/>
        <v>Andrew</v>
      </c>
      <c r="D233" s="40" t="str">
        <f t="shared" si="13"/>
        <v/>
      </c>
      <c r="E233" s="40" t="str">
        <f t="shared" si="14"/>
        <v>Spencer</v>
      </c>
      <c r="F233" s="41"/>
    </row>
    <row r="234" spans="1:6" ht="15" x14ac:dyDescent="0.25">
      <c r="A234" s="45" t="s">
        <v>314</v>
      </c>
      <c r="B234" s="41"/>
      <c r="C234" s="40" t="str">
        <f t="shared" si="12"/>
        <v>Elias</v>
      </c>
      <c r="D234" s="40" t="str">
        <f t="shared" si="13"/>
        <v/>
      </c>
      <c r="E234" s="40" t="str">
        <f t="shared" si="14"/>
        <v>Speros</v>
      </c>
      <c r="F234" s="45"/>
    </row>
    <row r="235" spans="1:6" ht="15" x14ac:dyDescent="0.25">
      <c r="A235" s="41" t="s">
        <v>315</v>
      </c>
      <c r="B235" s="41"/>
      <c r="C235" s="40" t="str">
        <f t="shared" si="12"/>
        <v>Ava</v>
      </c>
      <c r="D235" s="40" t="str">
        <f t="shared" si="13"/>
        <v/>
      </c>
      <c r="E235" s="40" t="str">
        <f t="shared" si="14"/>
        <v>Spinazzola</v>
      </c>
      <c r="F235" s="41"/>
    </row>
    <row r="236" spans="1:6" ht="15" x14ac:dyDescent="0.25">
      <c r="A236" s="46" t="s">
        <v>316</v>
      </c>
      <c r="B236" s="41"/>
      <c r="C236" s="40" t="str">
        <f t="shared" si="12"/>
        <v>Ava</v>
      </c>
      <c r="D236" s="40" t="str">
        <f t="shared" si="13"/>
        <v/>
      </c>
      <c r="E236" s="40" t="str">
        <f t="shared" si="14"/>
        <v>Staffier</v>
      </c>
      <c r="F236" s="46" t="s">
        <v>422</v>
      </c>
    </row>
    <row r="237" spans="1:6" ht="15" x14ac:dyDescent="0.25">
      <c r="A237" s="46" t="s">
        <v>317</v>
      </c>
      <c r="B237" s="41"/>
      <c r="C237" s="40" t="str">
        <f t="shared" si="12"/>
        <v>Thomas</v>
      </c>
      <c r="D237" s="40" t="str">
        <f t="shared" si="13"/>
        <v/>
      </c>
      <c r="E237" s="40" t="str">
        <f t="shared" si="14"/>
        <v>Stathoulopoulos</v>
      </c>
      <c r="F237" s="46" t="s">
        <v>423</v>
      </c>
    </row>
    <row r="238" spans="1:6" ht="15" x14ac:dyDescent="0.25">
      <c r="A238" s="45" t="s">
        <v>318</v>
      </c>
      <c r="B238" s="41"/>
      <c r="C238" s="40" t="str">
        <f t="shared" si="12"/>
        <v>Charlie</v>
      </c>
      <c r="D238" s="40" t="str">
        <f t="shared" si="13"/>
        <v/>
      </c>
      <c r="E238" s="40" t="str">
        <f t="shared" si="14"/>
        <v>Studley</v>
      </c>
      <c r="F238" s="45"/>
    </row>
    <row r="239" spans="1:6" ht="15" x14ac:dyDescent="0.25">
      <c r="A239" s="41" t="s">
        <v>319</v>
      </c>
      <c r="B239" s="41"/>
      <c r="C239" s="40" t="str">
        <f t="shared" si="12"/>
        <v>Nolan</v>
      </c>
      <c r="D239" s="40" t="str">
        <f t="shared" si="13"/>
        <v/>
      </c>
      <c r="E239" s="40" t="str">
        <f t="shared" si="14"/>
        <v>Sullivan</v>
      </c>
      <c r="F239" s="41" t="s">
        <v>319</v>
      </c>
    </row>
    <row r="240" spans="1:6" ht="15" x14ac:dyDescent="0.25">
      <c r="A240" s="46" t="s">
        <v>320</v>
      </c>
      <c r="B240" s="41"/>
      <c r="C240" s="40" t="str">
        <f t="shared" si="12"/>
        <v>Sabrina</v>
      </c>
      <c r="D240" s="40" t="str">
        <f t="shared" si="13"/>
        <v/>
      </c>
      <c r="E240" s="40" t="str">
        <f t="shared" si="14"/>
        <v>Sweat</v>
      </c>
      <c r="F240" s="46"/>
    </row>
    <row r="241" spans="1:6" ht="15" x14ac:dyDescent="0.25">
      <c r="A241" s="41" t="s">
        <v>321</v>
      </c>
      <c r="B241" s="41"/>
      <c r="C241" s="40" t="str">
        <f t="shared" si="12"/>
        <v>Brooklynne</v>
      </c>
      <c r="D241" s="40" t="str">
        <f t="shared" si="13"/>
        <v/>
      </c>
      <c r="E241" s="40" t="str">
        <f t="shared" si="14"/>
        <v>Tartarini</v>
      </c>
      <c r="F241" s="41"/>
    </row>
    <row r="242" spans="1:6" ht="15" x14ac:dyDescent="0.25">
      <c r="A242" s="45" t="s">
        <v>322</v>
      </c>
      <c r="B242" s="41"/>
      <c r="C242" s="40" t="str">
        <f t="shared" si="12"/>
        <v>Nina</v>
      </c>
      <c r="D242" s="40" t="str">
        <f t="shared" si="13"/>
        <v/>
      </c>
      <c r="E242" s="40" t="str">
        <f t="shared" si="14"/>
        <v>Taubman</v>
      </c>
      <c r="F242" s="45" t="s">
        <v>424</v>
      </c>
    </row>
    <row r="243" spans="1:6" ht="15" x14ac:dyDescent="0.25">
      <c r="A243" s="41" t="s">
        <v>323</v>
      </c>
      <c r="B243" s="41"/>
      <c r="C243" s="40" t="str">
        <f t="shared" si="12"/>
        <v>Natalie</v>
      </c>
      <c r="D243" s="40" t="str">
        <f t="shared" si="13"/>
        <v/>
      </c>
      <c r="E243" s="40" t="str">
        <f t="shared" si="14"/>
        <v>Tawadros</v>
      </c>
      <c r="F243" s="41" t="s">
        <v>425</v>
      </c>
    </row>
    <row r="244" spans="1:6" ht="15" x14ac:dyDescent="0.25">
      <c r="A244" s="45" t="s">
        <v>324</v>
      </c>
      <c r="B244" s="41"/>
      <c r="C244" s="40" t="str">
        <f t="shared" si="12"/>
        <v>Samantha</v>
      </c>
      <c r="D244" s="40" t="str">
        <f t="shared" si="13"/>
        <v/>
      </c>
      <c r="E244" s="40" t="str">
        <f t="shared" si="14"/>
        <v>Toomey</v>
      </c>
      <c r="F244" s="45" t="s">
        <v>324</v>
      </c>
    </row>
    <row r="245" spans="1:6" ht="15" x14ac:dyDescent="0.25">
      <c r="A245" s="41" t="s">
        <v>325</v>
      </c>
      <c r="B245" s="41"/>
      <c r="C245" s="40" t="str">
        <f t="shared" si="12"/>
        <v>Alyson</v>
      </c>
      <c r="D245" s="40" t="str">
        <f t="shared" si="13"/>
        <v/>
      </c>
      <c r="E245" s="40" t="str">
        <f t="shared" si="14"/>
        <v>Torrens</v>
      </c>
      <c r="F245" s="41"/>
    </row>
    <row r="246" spans="1:6" ht="15" x14ac:dyDescent="0.25">
      <c r="A246" s="45" t="s">
        <v>326</v>
      </c>
      <c r="B246" s="41"/>
      <c r="C246" s="40" t="str">
        <f t="shared" si="12"/>
        <v>Franklin</v>
      </c>
      <c r="D246" s="40" t="str">
        <f t="shared" si="13"/>
        <v/>
      </c>
      <c r="E246" s="40" t="str">
        <f t="shared" si="14"/>
        <v>Travassos</v>
      </c>
      <c r="F246" s="45" t="s">
        <v>426</v>
      </c>
    </row>
    <row r="247" spans="1:6" ht="15" x14ac:dyDescent="0.25">
      <c r="A247" s="46" t="s">
        <v>327</v>
      </c>
      <c r="B247" s="41"/>
      <c r="C247" s="40" t="str">
        <f t="shared" si="12"/>
        <v>Meredith</v>
      </c>
      <c r="D247" s="40" t="str">
        <f t="shared" si="13"/>
        <v>Lynne</v>
      </c>
      <c r="E247" s="40" t="str">
        <f t="shared" si="14"/>
        <v>Upton</v>
      </c>
      <c r="F247" s="46" t="s">
        <v>427</v>
      </c>
    </row>
    <row r="248" spans="1:6" ht="15" x14ac:dyDescent="0.25">
      <c r="A248" s="45" t="s">
        <v>328</v>
      </c>
      <c r="B248" s="41"/>
      <c r="C248" s="40" t="str">
        <f t="shared" si="12"/>
        <v>Andrew</v>
      </c>
      <c r="D248" s="40" t="str">
        <f t="shared" si="13"/>
        <v>Jacob</v>
      </c>
      <c r="E248" s="40" t="str">
        <f t="shared" si="14"/>
        <v>Valentin</v>
      </c>
      <c r="F248" s="45"/>
    </row>
    <row r="249" spans="1:6" ht="15" x14ac:dyDescent="0.25">
      <c r="A249" s="41" t="s">
        <v>329</v>
      </c>
      <c r="B249" s="41"/>
      <c r="C249" s="40" t="str">
        <f t="shared" si="12"/>
        <v>Colby</v>
      </c>
      <c r="D249" s="40"/>
      <c r="E249" s="49" t="s">
        <v>472</v>
      </c>
      <c r="F249" s="41"/>
    </row>
    <row r="250" spans="1:6" ht="15" x14ac:dyDescent="0.25">
      <c r="A250" s="45" t="s">
        <v>330</v>
      </c>
      <c r="B250" s="41"/>
      <c r="C250" s="40" t="str">
        <f t="shared" si="12"/>
        <v>Katherine</v>
      </c>
      <c r="D250" s="49" t="s">
        <v>465</v>
      </c>
      <c r="E250" s="49" t="s">
        <v>466</v>
      </c>
      <c r="F250" s="45"/>
    </row>
    <row r="251" spans="1:6" ht="15" x14ac:dyDescent="0.25">
      <c r="A251" s="41" t="s">
        <v>331</v>
      </c>
      <c r="B251" s="41"/>
      <c r="C251" s="40" t="str">
        <f t="shared" si="12"/>
        <v>Justin</v>
      </c>
      <c r="D251" s="40" t="str">
        <f t="shared" si="13"/>
        <v>Thomas</v>
      </c>
      <c r="E251" s="40" t="str">
        <f t="shared" si="14"/>
        <v>Ventura</v>
      </c>
      <c r="F251" s="41"/>
    </row>
    <row r="252" spans="1:6" ht="15" x14ac:dyDescent="0.25">
      <c r="A252" s="45" t="s">
        <v>332</v>
      </c>
      <c r="B252" s="41"/>
      <c r="C252" s="40" t="str">
        <f t="shared" si="12"/>
        <v>Dario</v>
      </c>
      <c r="D252" s="40" t="str">
        <f t="shared" si="13"/>
        <v/>
      </c>
      <c r="E252" s="40" t="str">
        <f t="shared" si="14"/>
        <v>Viliott</v>
      </c>
      <c r="F252" s="45" t="s">
        <v>428</v>
      </c>
    </row>
    <row r="253" spans="1:6" ht="15" x14ac:dyDescent="0.25">
      <c r="A253" s="46" t="s">
        <v>333</v>
      </c>
      <c r="B253" s="41"/>
      <c r="C253" s="40" t="str">
        <f t="shared" si="12"/>
        <v>Nathan</v>
      </c>
      <c r="D253" s="40" t="str">
        <f t="shared" si="13"/>
        <v/>
      </c>
      <c r="E253" s="40" t="str">
        <f t="shared" si="14"/>
        <v>Vitarisi</v>
      </c>
      <c r="F253" s="46" t="s">
        <v>429</v>
      </c>
    </row>
    <row r="254" spans="1:6" ht="15" x14ac:dyDescent="0.25">
      <c r="A254" s="46" t="s">
        <v>334</v>
      </c>
      <c r="B254" s="41"/>
      <c r="C254" s="40" t="str">
        <f t="shared" si="12"/>
        <v>Cara</v>
      </c>
      <c r="D254" s="40" t="str">
        <f t="shared" si="13"/>
        <v/>
      </c>
      <c r="E254" s="40" t="str">
        <f t="shared" si="14"/>
        <v>Vitarisi</v>
      </c>
      <c r="F254" s="46"/>
    </row>
    <row r="255" spans="1:6" ht="15" x14ac:dyDescent="0.25">
      <c r="A255" s="46" t="s">
        <v>335</v>
      </c>
      <c r="B255" s="41"/>
      <c r="C255" s="40" t="str">
        <f t="shared" si="12"/>
        <v>Jason</v>
      </c>
      <c r="D255" s="40" t="str">
        <f t="shared" si="13"/>
        <v/>
      </c>
      <c r="E255" s="40" t="str">
        <f t="shared" si="14"/>
        <v>Walsh</v>
      </c>
      <c r="F255" s="46"/>
    </row>
    <row r="256" spans="1:6" ht="15" x14ac:dyDescent="0.25">
      <c r="A256" s="45" t="s">
        <v>336</v>
      </c>
      <c r="B256" s="41"/>
      <c r="C256" s="40" t="str">
        <f t="shared" si="12"/>
        <v>Jacob</v>
      </c>
      <c r="D256" s="40" t="str">
        <f t="shared" si="13"/>
        <v>Michael</v>
      </c>
      <c r="E256" s="40" t="str">
        <f t="shared" si="14"/>
        <v>Ward</v>
      </c>
      <c r="F256" s="45"/>
    </row>
    <row r="257" spans="1:6" ht="15" x14ac:dyDescent="0.25">
      <c r="A257" s="45" t="s">
        <v>337</v>
      </c>
      <c r="B257" s="41"/>
      <c r="C257" s="40" t="str">
        <f t="shared" si="12"/>
        <v>Kyle</v>
      </c>
      <c r="D257" s="40" t="str">
        <f t="shared" si="13"/>
        <v/>
      </c>
      <c r="E257" s="40" t="str">
        <f t="shared" si="14"/>
        <v>Weaver</v>
      </c>
      <c r="F257" s="46"/>
    </row>
    <row r="258" spans="1:6" ht="15" x14ac:dyDescent="0.25">
      <c r="A258" s="45" t="s">
        <v>481</v>
      </c>
      <c r="B258" s="41"/>
      <c r="C258" s="40" t="str">
        <f t="shared" si="12"/>
        <v>Tess</v>
      </c>
      <c r="D258" s="40" t="str">
        <f t="shared" si="13"/>
        <v/>
      </c>
      <c r="E258" s="40" t="str">
        <f t="shared" si="14"/>
        <v>Weaver</v>
      </c>
      <c r="F258" s="45"/>
    </row>
    <row r="259" spans="1:6" ht="15" x14ac:dyDescent="0.25">
      <c r="A259" s="46" t="s">
        <v>338</v>
      </c>
      <c r="B259" s="41"/>
      <c r="C259" s="40" t="str">
        <f t="shared" si="12"/>
        <v>Leah</v>
      </c>
      <c r="D259" s="40" t="str">
        <f t="shared" si="13"/>
        <v/>
      </c>
      <c r="E259" s="40" t="str">
        <f t="shared" si="14"/>
        <v>Weber</v>
      </c>
      <c r="F259" s="46"/>
    </row>
    <row r="260" spans="1:6" ht="15" x14ac:dyDescent="0.25">
      <c r="A260" s="45" t="s">
        <v>339</v>
      </c>
      <c r="B260" s="41"/>
      <c r="C260" s="40" t="str">
        <f t="shared" si="12"/>
        <v>Emma</v>
      </c>
      <c r="D260" s="40" t="str">
        <f t="shared" si="13"/>
        <v/>
      </c>
      <c r="E260" s="40" t="str">
        <f t="shared" si="14"/>
        <v>White</v>
      </c>
      <c r="F260" s="45"/>
    </row>
    <row r="261" spans="1:6" ht="15" x14ac:dyDescent="0.25">
      <c r="A261" s="41" t="s">
        <v>340</v>
      </c>
      <c r="B261" s="41"/>
      <c r="C261" s="40" t="str">
        <f t="shared" ref="C261:C269" si="15">IF(ISERROR( FIND(",",TRIM(A261))),LEFT(TRIM(A261), FIND(" ",TRIM(A261))-1),MID(TRIM(A261),LEN(C261)+3,FIND(" ",TRIM(A261)&amp;" ",LEN(C261)+3)-LEN(C261)-2))</f>
        <v>John</v>
      </c>
      <c r="D261" s="40" t="str">
        <f t="shared" ref="D261:D269" si="16">IF(ISERROR(FIND(",",TRIM(A261))),IF(LEN(TRIM(A261))-LEN(SUBSTITUTE(TRIM(A261)," ",""))=2,MID(TRIM(A261),LEN(C261)+2,FIND(" ",TRIM(A261),LEN(C261)+2)-LEN(C261)-2),""),MID(TRIM(A261),3+LEN(C261)+LEN(E261),30))</f>
        <v/>
      </c>
      <c r="E261" s="40" t="str">
        <f t="shared" ref="E261:E269" si="17">IF(ISERROR(FIND(",",TRIM(A261))),MID(TRIM(A261),1+LEN(TRIM(A261))-LEN(SUBSTITUTE(TRIM(A261)," ",""))+LEN(C261)+LEN(D261),30),LEFT(TRIM(A261), FIND(",",TRIM(A261))-1))</f>
        <v>Wiggins</v>
      </c>
      <c r="F261" s="41"/>
    </row>
    <row r="262" spans="1:6" ht="15" x14ac:dyDescent="0.25">
      <c r="A262" s="45" t="s">
        <v>341</v>
      </c>
      <c r="B262" s="41"/>
      <c r="C262" s="40" t="str">
        <f t="shared" si="15"/>
        <v>Angela</v>
      </c>
      <c r="D262" s="40" t="str">
        <f t="shared" si="16"/>
        <v/>
      </c>
      <c r="E262" s="40" t="str">
        <f t="shared" si="17"/>
        <v>Wilder</v>
      </c>
      <c r="F262" s="45"/>
    </row>
    <row r="263" spans="1:6" ht="15" x14ac:dyDescent="0.25">
      <c r="A263" s="41" t="s">
        <v>439</v>
      </c>
      <c r="B263" s="41"/>
      <c r="C263" s="40" t="str">
        <f t="shared" si="15"/>
        <v>Aidan</v>
      </c>
      <c r="D263" s="40" t="str">
        <f t="shared" si="16"/>
        <v>Auddie</v>
      </c>
      <c r="E263" s="40" t="str">
        <f t="shared" si="17"/>
        <v>Williams</v>
      </c>
      <c r="F263" s="41" t="s">
        <v>430</v>
      </c>
    </row>
    <row r="264" spans="1:6" ht="15" x14ac:dyDescent="0.25">
      <c r="A264" s="45" t="s">
        <v>342</v>
      </c>
      <c r="B264" s="41"/>
      <c r="C264" s="40" t="str">
        <f t="shared" si="15"/>
        <v>Jessica</v>
      </c>
      <c r="D264" s="40" t="str">
        <f t="shared" si="16"/>
        <v/>
      </c>
      <c r="E264" s="40" t="str">
        <f t="shared" si="17"/>
        <v>Wong</v>
      </c>
      <c r="F264" s="45"/>
    </row>
    <row r="265" spans="1:6" ht="15" x14ac:dyDescent="0.25">
      <c r="A265" s="45" t="s">
        <v>343</v>
      </c>
      <c r="C265" s="40" t="str">
        <f>IF(ISERROR( FIND(",",TRIM(A265))),LEFT(TRIM(A265), FIND(" ",TRIM(A265))-1),MID(TRIM(A265),LEN(C265)+3,FIND(" ",TRIM(A265)&amp;" ",LEN(C265)+3)-LEN(C265)-2))</f>
        <v>Jamari</v>
      </c>
      <c r="D265" s="40" t="str">
        <f>IF(ISERROR(FIND(",",TRIM(A265))),IF(LEN(TRIM(A265))-LEN(SUBSTITUTE(TRIM(A265)," ",""))=2,MID(TRIM(A265),LEN(C265)+2,FIND(" ",TRIM(A265),LEN(C265)+2)-LEN(C265)-2),""),MID(TRIM(A265),3+LEN(C265)+LEN(E265),30))</f>
        <v/>
      </c>
      <c r="E265" s="40" t="str">
        <f>IF(ISERROR(FIND(",",TRIM(A265))),MID(TRIM(A265),1+LEN(TRIM(A265))-LEN(SUBSTITUTE(TRIM(A265)," ",""))+LEN(C265)+LEN(D265),30),LEFT(TRIM(A265), FIND(",",TRIM(A265))-1))</f>
        <v>Wright</v>
      </c>
      <c r="F265" s="41"/>
    </row>
    <row r="266" spans="1:6" ht="15" x14ac:dyDescent="0.25">
      <c r="A266" s="45" t="s">
        <v>480</v>
      </c>
      <c r="C266" s="40" t="str">
        <f>IF(ISERROR( FIND(",",TRIM(A266))),LEFT(TRIM(A266), FIND(" ",TRIM(A266))-1),MID(TRIM(A266),LEN(C266)+3,FIND(" ",TRIM(A266)&amp;" ",LEN(C266)+3)-LEN(C266)-2))</f>
        <v>Jared</v>
      </c>
      <c r="D266" s="40" t="str">
        <f>IF(ISERROR(FIND(",",TRIM(A266))),IF(LEN(TRIM(A266))-LEN(SUBSTITUTE(TRIM(A266)," ",""))=2,MID(TRIM(A266),LEN(C266)+2,FIND(" ",TRIM(A266),LEN(C266)+2)-LEN(C266)-2),""),MID(TRIM(A266),3+LEN(C266)+LEN(E266),30))</f>
        <v/>
      </c>
      <c r="E266" s="40" t="str">
        <f>IF(ISERROR(FIND(",",TRIM(A266))),MID(TRIM(A266),1+LEN(TRIM(A266))-LEN(SUBSTITUTE(TRIM(A266)," ",""))+LEN(C266)+LEN(D266),30),LEFT(TRIM(A266), FIND(",",TRIM(A266))-1))</f>
        <v>Wright</v>
      </c>
      <c r="F266" s="45"/>
    </row>
    <row r="267" spans="1:6" ht="15" x14ac:dyDescent="0.25">
      <c r="A267" s="41" t="s">
        <v>344</v>
      </c>
      <c r="C267" s="40" t="str">
        <f t="shared" si="15"/>
        <v>Quinn</v>
      </c>
      <c r="D267" s="40" t="str">
        <f t="shared" si="16"/>
        <v/>
      </c>
      <c r="E267" s="40" t="str">
        <f t="shared" si="17"/>
        <v>Yandle</v>
      </c>
      <c r="F267" s="41"/>
    </row>
    <row r="268" spans="1:6" ht="15" x14ac:dyDescent="0.25">
      <c r="A268" s="45" t="s">
        <v>345</v>
      </c>
      <c r="C268" s="40" t="str">
        <f t="shared" si="15"/>
        <v>John</v>
      </c>
      <c r="D268" s="40" t="str">
        <f t="shared" si="16"/>
        <v/>
      </c>
      <c r="E268" s="40" t="str">
        <f t="shared" si="17"/>
        <v>Zani</v>
      </c>
      <c r="F268" s="45" t="s">
        <v>431</v>
      </c>
    </row>
    <row r="269" spans="1:6" ht="15" x14ac:dyDescent="0.25">
      <c r="A269" s="41" t="s">
        <v>346</v>
      </c>
      <c r="C269" s="40" t="str">
        <f t="shared" si="15"/>
        <v>Jiayu</v>
      </c>
      <c r="D269" s="40" t="str">
        <f t="shared" si="16"/>
        <v/>
      </c>
      <c r="E269" s="40" t="str">
        <f t="shared" si="17"/>
        <v>Zheng</v>
      </c>
      <c r="F269" s="41" t="s">
        <v>432</v>
      </c>
    </row>
    <row r="270" spans="1:6" x14ac:dyDescent="0.2">
      <c r="C270" s="40"/>
      <c r="D270" s="40"/>
      <c r="E270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M270"/>
  <sheetViews>
    <sheetView topLeftCell="A247" workbookViewId="0">
      <selection activeCell="F269" sqref="F269"/>
    </sheetView>
  </sheetViews>
  <sheetFormatPr defaultRowHeight="15.75" x14ac:dyDescent="0.25"/>
  <cols>
    <col min="1" max="1" width="14.28515625" style="39" customWidth="1"/>
    <col min="2" max="2" width="12.5703125" style="39" customWidth="1"/>
    <col min="3" max="3" width="16.5703125" style="39" customWidth="1"/>
    <col min="4" max="4" width="20.140625" style="39" customWidth="1"/>
    <col min="5" max="5" width="24.28515625" style="39" customWidth="1"/>
    <col min="6" max="6" width="34.5703125" style="39" customWidth="1"/>
    <col min="8" max="8" width="16" customWidth="1"/>
  </cols>
  <sheetData>
    <row r="1" spans="1:13" x14ac:dyDescent="0.25">
      <c r="A1" s="39" t="s">
        <v>27</v>
      </c>
      <c r="B1" s="39" t="s">
        <v>28</v>
      </c>
      <c r="C1" s="39" t="s">
        <v>18</v>
      </c>
      <c r="D1" s="39" t="s">
        <v>29</v>
      </c>
      <c r="E1" s="39" t="s">
        <v>20</v>
      </c>
      <c r="H1" s="42" t="s">
        <v>92</v>
      </c>
      <c r="I1" s="42" t="s">
        <v>93</v>
      </c>
    </row>
    <row r="2" spans="1:13" x14ac:dyDescent="0.25">
      <c r="A2" s="39">
        <v>1</v>
      </c>
      <c r="B2" s="39">
        <v>1</v>
      </c>
      <c r="C2" s="39" t="str">
        <f>'Raw Name Splitter'!C2</f>
        <v>Jillian</v>
      </c>
      <c r="D2" s="39" t="str">
        <f>'Raw Name Splitter'!D2</f>
        <v>Kate</v>
      </c>
      <c r="E2" s="39" t="str">
        <f>'Raw Name Splitter'!E2</f>
        <v>Abate</v>
      </c>
      <c r="F2" s="39" t="str">
        <f>'Raw Name Splitter'!F2</f>
        <v>a-bod-ee</v>
      </c>
      <c r="H2" s="42"/>
      <c r="I2" s="42"/>
      <c r="L2" t="s">
        <v>435</v>
      </c>
    </row>
    <row r="3" spans="1:13" x14ac:dyDescent="0.25">
      <c r="A3" s="39">
        <f>IF(ISTEXT(A2)=TRUE,1,2)</f>
        <v>2</v>
      </c>
      <c r="B3" s="39">
        <f>IF(ISTEXT(B2)=TRUE,1,2)</f>
        <v>2</v>
      </c>
      <c r="C3" s="39" t="str">
        <f>'Raw Name Splitter'!C3</f>
        <v>Logan</v>
      </c>
      <c r="D3" s="39" t="str">
        <f>'Raw Name Splitter'!D3</f>
        <v>Ford</v>
      </c>
      <c r="E3" s="39" t="str">
        <f>'Raw Name Splitter'!E3</f>
        <v>Abrams</v>
      </c>
      <c r="F3" s="39">
        <f>'Raw Name Splitter'!F3</f>
        <v>0</v>
      </c>
      <c r="H3" s="42"/>
      <c r="I3" s="42"/>
      <c r="L3" t="s">
        <v>437</v>
      </c>
    </row>
    <row r="4" spans="1:13" x14ac:dyDescent="0.25">
      <c r="A4" s="39">
        <f>IF(ISTEXT(A3)=TRUE,A2+1,A3+1)</f>
        <v>3</v>
      </c>
      <c r="B4" s="39">
        <f>IF(ISTEXT(B3)=TRUE,B2+1,B3+1)</f>
        <v>3</v>
      </c>
      <c r="C4" s="39" t="str">
        <f>'Raw Name Splitter'!C4</f>
        <v>Raniya</v>
      </c>
      <c r="D4" s="39" t="str">
        <f>'Raw Name Splitter'!D4</f>
        <v/>
      </c>
      <c r="E4" s="39" t="str">
        <f>'Raw Name Splitter'!E4</f>
        <v>Abubakar</v>
      </c>
      <c r="F4" s="39" t="str">
        <f>'Raw Name Splitter'!F4</f>
        <v>Raw-knee-yuh Uh-boo-buh-ker</v>
      </c>
      <c r="H4" s="42"/>
      <c r="I4" s="42"/>
      <c r="L4" t="s">
        <v>436</v>
      </c>
    </row>
    <row r="5" spans="1:13" x14ac:dyDescent="0.25">
      <c r="A5" s="39">
        <f>IF(ISTEXT(A4)=TRUE,A3+1,A4+1)</f>
        <v>4</v>
      </c>
      <c r="B5" s="39">
        <f>IF(ISTEXT(B4)=TRUE,B3+1,B4+1)</f>
        <v>4</v>
      </c>
      <c r="C5" s="39" t="str">
        <f>'Raw Name Splitter'!C5</f>
        <v>Luis</v>
      </c>
      <c r="D5" s="39" t="str">
        <f>'Raw Name Splitter'!D5</f>
        <v xml:space="preserve"> </v>
      </c>
      <c r="E5" s="39" t="str">
        <f>'Raw Name Splitter'!E5</f>
        <v>Aburto Campos</v>
      </c>
      <c r="F5" s="39" t="str">
        <f>'Raw Name Splitter'!F5</f>
        <v>Lou eese Aburto Campos</v>
      </c>
      <c r="H5" s="42"/>
      <c r="I5" s="42"/>
      <c r="L5" t="s">
        <v>460</v>
      </c>
    </row>
    <row r="6" spans="1:13" x14ac:dyDescent="0.25">
      <c r="A6" s="39">
        <f>IF(ISTEXT(A5)=TRUE,A4+1,A5+1)</f>
        <v>5</v>
      </c>
      <c r="B6" s="39">
        <f t="shared" ref="B6:B69" si="0">IF(ISTEXT(B5)=TRUE,IF(ISTEXT(B4)=TRUE,B3+1,B4+1),B5+1)</f>
        <v>5</v>
      </c>
      <c r="C6" s="39" t="str">
        <f>'Raw Name Splitter'!C6</f>
        <v>Devyn</v>
      </c>
      <c r="D6" s="39" t="str">
        <f>'Raw Name Splitter'!D6</f>
        <v/>
      </c>
      <c r="E6" s="39" t="str">
        <f>'Raw Name Splitter'!E6</f>
        <v>Ahlert</v>
      </c>
      <c r="F6" s="39" t="str">
        <f>'Raw Name Splitter'!F6</f>
        <v xml:space="preserve">Dev-in AL-ert </v>
      </c>
      <c r="H6" s="42"/>
      <c r="I6" s="42"/>
    </row>
    <row r="7" spans="1:13" x14ac:dyDescent="0.25">
      <c r="A7" s="39">
        <f>IF(ISTEXT(A6)=TRUE,A5+1,A6+1)</f>
        <v>6</v>
      </c>
      <c r="B7" s="39">
        <f t="shared" si="0"/>
        <v>6</v>
      </c>
      <c r="C7" s="39" t="str">
        <f>'Raw Name Splitter'!C7</f>
        <v>Alexander</v>
      </c>
      <c r="D7" s="39" t="str">
        <f>'Raw Name Splitter'!D7</f>
        <v/>
      </c>
      <c r="E7" s="39" t="str">
        <f>'Raw Name Splitter'!E7</f>
        <v>Aiello</v>
      </c>
      <c r="F7" s="39" t="str">
        <f>'Raw Name Splitter'!F7</f>
        <v>Aiello (I-L-O)</v>
      </c>
      <c r="H7" s="42"/>
      <c r="I7" s="42"/>
      <c r="L7" s="22" t="s">
        <v>447</v>
      </c>
    </row>
    <row r="8" spans="1:13" x14ac:dyDescent="0.25">
      <c r="A8" s="39">
        <f t="shared" ref="A8:B70" si="1">IF(ISTEXT(A7)=TRUE,IF(ISTEXT(A6)=TRUE,A5+1,A6+1),A7+1)</f>
        <v>7</v>
      </c>
      <c r="B8" s="39">
        <f t="shared" si="0"/>
        <v>7</v>
      </c>
      <c r="C8" s="39" t="str">
        <f>'Raw Name Splitter'!C8</f>
        <v>Reese</v>
      </c>
      <c r="D8" s="39" t="str">
        <f>'Raw Name Splitter'!D8</f>
        <v/>
      </c>
      <c r="E8" s="39" t="str">
        <f>'Raw Name Splitter'!E8</f>
        <v>Allen</v>
      </c>
      <c r="F8" s="39" t="str">
        <f>'Raw Name Splitter'!F8</f>
        <v>Reese Allen</v>
      </c>
      <c r="H8" s="42"/>
      <c r="I8" s="42"/>
      <c r="L8" s="22" t="s">
        <v>30</v>
      </c>
      <c r="M8" t="s">
        <v>448</v>
      </c>
    </row>
    <row r="9" spans="1:13" x14ac:dyDescent="0.25">
      <c r="A9" s="39">
        <f t="shared" si="1"/>
        <v>8</v>
      </c>
      <c r="B9" s="39">
        <f t="shared" si="0"/>
        <v>8</v>
      </c>
      <c r="C9" s="39" t="str">
        <f>'Raw Name Splitter'!C9</f>
        <v>Fabricio</v>
      </c>
      <c r="D9" s="39" t="str">
        <f>'Raw Name Splitter'!D9</f>
        <v/>
      </c>
      <c r="E9" s="39" t="str">
        <f>'Raw Name Splitter'!E9</f>
        <v>Amado</v>
      </c>
      <c r="F9" s="39" t="str">
        <f>'Raw Name Splitter'!F9</f>
        <v>Fah-bree-cee-oh Ah-mod-oh</v>
      </c>
      <c r="H9" s="42"/>
      <c r="I9" s="42"/>
      <c r="L9" s="22" t="s">
        <v>87</v>
      </c>
      <c r="M9" t="s">
        <v>462</v>
      </c>
    </row>
    <row r="10" spans="1:13" x14ac:dyDescent="0.25">
      <c r="A10" s="39">
        <f t="shared" si="1"/>
        <v>9</v>
      </c>
      <c r="B10" s="39">
        <f t="shared" si="0"/>
        <v>9</v>
      </c>
      <c r="C10" s="39" t="str">
        <f>'Raw Name Splitter'!C10</f>
        <v>Joseph</v>
      </c>
      <c r="D10" s="39" t="str">
        <f>'Raw Name Splitter'!D10</f>
        <v/>
      </c>
      <c r="E10" s="39" t="str">
        <f>'Raw Name Splitter'!E10</f>
        <v>Amirault</v>
      </c>
      <c r="F10" s="39">
        <f>'Raw Name Splitter'!F10</f>
        <v>0</v>
      </c>
      <c r="H10" s="42"/>
      <c r="I10" s="42"/>
      <c r="L10" s="22" t="s">
        <v>31</v>
      </c>
      <c r="M10" t="s">
        <v>449</v>
      </c>
    </row>
    <row r="11" spans="1:13" x14ac:dyDescent="0.25">
      <c r="A11" s="39">
        <f t="shared" si="1"/>
        <v>10</v>
      </c>
      <c r="B11" s="39">
        <f t="shared" si="0"/>
        <v>10</v>
      </c>
      <c r="C11" s="39" t="str">
        <f>'Raw Name Splitter'!C11</f>
        <v>Brady</v>
      </c>
      <c r="D11" s="39" t="str">
        <f>'Raw Name Splitter'!D11</f>
        <v/>
      </c>
      <c r="E11" s="39" t="str">
        <f>'Raw Name Splitter'!E11</f>
        <v>Anderson</v>
      </c>
      <c r="F11" s="39">
        <f>'Raw Name Splitter'!F11</f>
        <v>0</v>
      </c>
      <c r="H11" s="42"/>
      <c r="I11" s="42"/>
      <c r="L11" t="s">
        <v>32</v>
      </c>
      <c r="M11" t="s">
        <v>450</v>
      </c>
    </row>
    <row r="12" spans="1:13" x14ac:dyDescent="0.25">
      <c r="A12" s="39">
        <f t="shared" si="1"/>
        <v>11</v>
      </c>
      <c r="B12" s="39">
        <f t="shared" si="0"/>
        <v>11</v>
      </c>
      <c r="C12" s="39" t="str">
        <f>'Raw Name Splitter'!C12</f>
        <v>Barrington</v>
      </c>
      <c r="D12" s="39" t="str">
        <f>'Raw Name Splitter'!D12</f>
        <v/>
      </c>
      <c r="E12" s="39" t="str">
        <f>'Raw Name Splitter'!E12</f>
        <v>Anderson</v>
      </c>
      <c r="F12" s="39">
        <f>'Raw Name Splitter'!F12</f>
        <v>0</v>
      </c>
      <c r="H12" s="42"/>
      <c r="I12" s="42"/>
      <c r="L12" t="s">
        <v>33</v>
      </c>
      <c r="M12" t="s">
        <v>451</v>
      </c>
    </row>
    <row r="13" spans="1:13" x14ac:dyDescent="0.25">
      <c r="A13" s="39">
        <f t="shared" si="1"/>
        <v>12</v>
      </c>
      <c r="B13" s="39">
        <f t="shared" si="0"/>
        <v>12</v>
      </c>
      <c r="C13" s="39" t="str">
        <f>'Raw Name Splitter'!C13</f>
        <v>Isabella</v>
      </c>
      <c r="D13" s="39" t="str">
        <f>'Raw Name Splitter'!D13</f>
        <v/>
      </c>
      <c r="E13" s="39" t="str">
        <f>'Raw Name Splitter'!E13</f>
        <v>Aquino</v>
      </c>
      <c r="F13" s="39" t="str">
        <f>'Raw Name Splitter'!F13</f>
        <v>Isabell-uh Ah-kee-no</v>
      </c>
      <c r="H13" s="42"/>
      <c r="I13" s="42"/>
      <c r="L13" t="s">
        <v>34</v>
      </c>
      <c r="M13" t="s">
        <v>452</v>
      </c>
    </row>
    <row r="14" spans="1:13" x14ac:dyDescent="0.25">
      <c r="A14" s="39">
        <f t="shared" si="1"/>
        <v>13</v>
      </c>
      <c r="B14" s="39">
        <f t="shared" si="0"/>
        <v>13</v>
      </c>
      <c r="C14" s="39" t="str">
        <f>'Raw Name Splitter'!C14</f>
        <v>Lucas</v>
      </c>
      <c r="D14" s="39" t="str">
        <f>'Raw Name Splitter'!D14</f>
        <v/>
      </c>
      <c r="E14" s="39" t="str">
        <f>'Raw Name Splitter'!E14</f>
        <v>Aquino</v>
      </c>
      <c r="F14" s="39">
        <f>'Raw Name Splitter'!F14</f>
        <v>0</v>
      </c>
      <c r="H14" s="42"/>
      <c r="I14" s="42"/>
      <c r="L14" t="s">
        <v>35</v>
      </c>
      <c r="M14" t="s">
        <v>453</v>
      </c>
    </row>
    <row r="15" spans="1:13" x14ac:dyDescent="0.25">
      <c r="A15" s="39">
        <f t="shared" si="1"/>
        <v>14</v>
      </c>
      <c r="B15" s="39">
        <f t="shared" si="0"/>
        <v>14</v>
      </c>
      <c r="C15" s="39" t="str">
        <f>'Raw Name Splitter'!C15</f>
        <v>Tiago</v>
      </c>
      <c r="D15" s="39" t="str">
        <f>'Raw Name Splitter'!D15</f>
        <v/>
      </c>
      <c r="E15" s="39" t="str">
        <f>'Raw Name Splitter'!E15</f>
        <v>Araujo</v>
      </c>
      <c r="F15" s="39" t="str">
        <f>'Raw Name Splitter'!F15</f>
        <v>TEE-ah-go AH-ra-joe</v>
      </c>
      <c r="H15" s="42"/>
      <c r="I15" s="42"/>
      <c r="L15" t="s">
        <v>36</v>
      </c>
      <c r="M15" t="s">
        <v>454</v>
      </c>
    </row>
    <row r="16" spans="1:13" x14ac:dyDescent="0.25">
      <c r="A16" s="39">
        <f t="shared" si="1"/>
        <v>15</v>
      </c>
      <c r="B16" s="39">
        <f t="shared" si="0"/>
        <v>15</v>
      </c>
      <c r="C16" s="39" t="str">
        <f>'Raw Name Splitter'!C16</f>
        <v>Chloe</v>
      </c>
      <c r="D16" s="39" t="str">
        <f>'Raw Name Splitter'!D16</f>
        <v/>
      </c>
      <c r="E16" s="39" t="str">
        <f>'Raw Name Splitter'!E16</f>
        <v>Aretusi</v>
      </c>
      <c r="F16" s="39" t="str">
        <f>'Raw Name Splitter'!F16</f>
        <v>ah-reh-toozy</v>
      </c>
      <c r="H16" s="42"/>
      <c r="I16" s="42"/>
      <c r="L16" t="s">
        <v>37</v>
      </c>
      <c r="M16" t="s">
        <v>455</v>
      </c>
    </row>
    <row r="17" spans="1:13" x14ac:dyDescent="0.25">
      <c r="A17" s="39">
        <f t="shared" si="1"/>
        <v>16</v>
      </c>
      <c r="B17" s="39">
        <f t="shared" si="0"/>
        <v>16</v>
      </c>
      <c r="C17" s="39" t="str">
        <f>'Raw Name Splitter'!C17</f>
        <v>Evan</v>
      </c>
      <c r="D17" s="39" t="str">
        <f>'Raw Name Splitter'!D17</f>
        <v/>
      </c>
      <c r="E17" s="39" t="str">
        <f>'Raw Name Splitter'!E17</f>
        <v>Audley</v>
      </c>
      <c r="F17" s="39">
        <f>'Raw Name Splitter'!F17</f>
        <v>0</v>
      </c>
      <c r="H17" s="42"/>
      <c r="I17" s="42"/>
      <c r="L17" t="s">
        <v>38</v>
      </c>
      <c r="M17" t="s">
        <v>455</v>
      </c>
    </row>
    <row r="18" spans="1:13" x14ac:dyDescent="0.25">
      <c r="A18" s="39">
        <f t="shared" si="1"/>
        <v>17</v>
      </c>
      <c r="B18" s="39">
        <f t="shared" si="0"/>
        <v>17</v>
      </c>
      <c r="C18" s="39" t="str">
        <f>'Raw Name Splitter'!C18</f>
        <v>Natalie</v>
      </c>
      <c r="D18" s="39" t="str">
        <f>'Raw Name Splitter'!D18</f>
        <v/>
      </c>
      <c r="E18" s="39" t="str">
        <f>'Raw Name Splitter'!E18</f>
        <v>Austin</v>
      </c>
      <c r="F18" s="39">
        <f>'Raw Name Splitter'!F18</f>
        <v>0</v>
      </c>
      <c r="H18" s="42"/>
      <c r="I18" s="42"/>
      <c r="L18" t="s">
        <v>39</v>
      </c>
      <c r="M18" t="s">
        <v>455</v>
      </c>
    </row>
    <row r="19" spans="1:13" x14ac:dyDescent="0.25">
      <c r="A19" s="39">
        <f t="shared" si="1"/>
        <v>18</v>
      </c>
      <c r="B19" s="39">
        <f t="shared" si="0"/>
        <v>18</v>
      </c>
      <c r="C19" s="39" t="str">
        <f>'Raw Name Splitter'!C19</f>
        <v>Vivian</v>
      </c>
      <c r="D19" s="39" t="str">
        <f>'Raw Name Splitter'!D19</f>
        <v/>
      </c>
      <c r="E19" s="39" t="str">
        <f>'Raw Name Splitter'!E19</f>
        <v>Balas</v>
      </c>
      <c r="F19" s="39">
        <f>'Raw Name Splitter'!F19</f>
        <v>0</v>
      </c>
      <c r="H19" s="42"/>
      <c r="I19" s="42"/>
      <c r="L19" t="s">
        <v>40</v>
      </c>
      <c r="M19" t="s">
        <v>455</v>
      </c>
    </row>
    <row r="20" spans="1:13" x14ac:dyDescent="0.25">
      <c r="A20" s="39">
        <f t="shared" si="1"/>
        <v>19</v>
      </c>
      <c r="B20" s="39">
        <f t="shared" si="0"/>
        <v>19</v>
      </c>
      <c r="C20" s="39" t="str">
        <f>'Raw Name Splitter'!C20</f>
        <v>Kaua</v>
      </c>
      <c r="D20" s="39" t="str">
        <f>'Raw Name Splitter'!D20</f>
        <v/>
      </c>
      <c r="E20" s="39" t="str">
        <f>'Raw Name Splitter'!E20</f>
        <v>Batista</v>
      </c>
      <c r="F20" s="39" t="str">
        <f>'Raw Name Splitter'!F20</f>
        <v xml:space="preserve">Quan </v>
      </c>
      <c r="H20" s="42"/>
      <c r="I20" s="42"/>
      <c r="L20" t="s">
        <v>41</v>
      </c>
      <c r="M20" t="s">
        <v>455</v>
      </c>
    </row>
    <row r="21" spans="1:13" x14ac:dyDescent="0.25">
      <c r="A21" s="39">
        <f t="shared" si="1"/>
        <v>20</v>
      </c>
      <c r="B21" s="39">
        <f t="shared" si="0"/>
        <v>20</v>
      </c>
      <c r="C21" s="39" t="str">
        <f>'Raw Name Splitter'!C21</f>
        <v>Carson</v>
      </c>
      <c r="D21" s="39" t="str">
        <f>'Raw Name Splitter'!D21</f>
        <v/>
      </c>
      <c r="E21" s="39" t="str">
        <f>'Raw Name Splitter'!E21</f>
        <v>Beaulieu</v>
      </c>
      <c r="F21" s="39" t="str">
        <f>'Raw Name Splitter'!F21</f>
        <v>Bowl-ee-oh</v>
      </c>
      <c r="H21" s="42"/>
      <c r="I21" s="42"/>
      <c r="L21" t="s">
        <v>456</v>
      </c>
      <c r="M21" t="s">
        <v>455</v>
      </c>
    </row>
    <row r="22" spans="1:13" x14ac:dyDescent="0.25">
      <c r="A22" s="39">
        <f t="shared" si="1"/>
        <v>21</v>
      </c>
      <c r="B22" s="39">
        <f t="shared" si="0"/>
        <v>21</v>
      </c>
      <c r="C22" s="39" t="str">
        <f>'Raw Name Splitter'!C22</f>
        <v>Jahnai</v>
      </c>
      <c r="D22" s="39" t="str">
        <f>'Raw Name Splitter'!D22</f>
        <v/>
      </c>
      <c r="E22" s="39" t="str">
        <f>'Raw Name Splitter'!E22</f>
        <v>Belfon</v>
      </c>
      <c r="F22" s="39" t="str">
        <f>'Raw Name Splitter'!F22</f>
        <v>Jah-nye</v>
      </c>
      <c r="H22" s="42"/>
      <c r="I22" s="42"/>
      <c r="L22" t="s">
        <v>457</v>
      </c>
      <c r="M22" t="s">
        <v>455</v>
      </c>
    </row>
    <row r="23" spans="1:13" x14ac:dyDescent="0.25">
      <c r="A23" s="39">
        <f t="shared" si="1"/>
        <v>22</v>
      </c>
      <c r="B23" s="39">
        <f t="shared" si="0"/>
        <v>22</v>
      </c>
      <c r="C23" s="39" t="str">
        <f>'Raw Name Splitter'!C23</f>
        <v>Amelia</v>
      </c>
      <c r="D23" s="39" t="str">
        <f>'Raw Name Splitter'!D23</f>
        <v/>
      </c>
      <c r="E23" s="39" t="str">
        <f>'Raw Name Splitter'!E23</f>
        <v>Benedict</v>
      </c>
      <c r="F23" s="39">
        <f>'Raw Name Splitter'!F23</f>
        <v>0</v>
      </c>
      <c r="H23" s="42"/>
      <c r="I23" s="42"/>
      <c r="L23" t="s">
        <v>458</v>
      </c>
      <c r="M23" t="s">
        <v>455</v>
      </c>
    </row>
    <row r="24" spans="1:13" x14ac:dyDescent="0.25">
      <c r="A24" s="39">
        <f t="shared" si="1"/>
        <v>23</v>
      </c>
      <c r="B24" s="39">
        <f t="shared" si="0"/>
        <v>23</v>
      </c>
      <c r="C24" s="39" t="str">
        <f>'Raw Name Splitter'!C24</f>
        <v>Jamison</v>
      </c>
      <c r="D24" s="39" t="str">
        <f>'Raw Name Splitter'!D24</f>
        <v/>
      </c>
      <c r="E24" s="39" t="str">
        <f>'Raw Name Splitter'!E24</f>
        <v>Bentley</v>
      </c>
      <c r="F24" s="39">
        <f>'Raw Name Splitter'!F24</f>
        <v>0</v>
      </c>
      <c r="H24" s="42"/>
      <c r="I24" s="42"/>
      <c r="L24" t="s">
        <v>42</v>
      </c>
      <c r="M24" t="s">
        <v>459</v>
      </c>
    </row>
    <row r="25" spans="1:13" x14ac:dyDescent="0.25">
      <c r="A25" s="39">
        <f t="shared" si="1"/>
        <v>24</v>
      </c>
      <c r="B25" s="39">
        <f t="shared" si="0"/>
        <v>24</v>
      </c>
      <c r="C25" s="39" t="str">
        <f>'Raw Name Splitter'!C25</f>
        <v>Dhanya</v>
      </c>
      <c r="D25" s="39" t="str">
        <f>'Raw Name Splitter'!D25</f>
        <v/>
      </c>
      <c r="E25" s="39" t="str">
        <f>'Raw Name Splitter'!E25</f>
        <v>Bhola</v>
      </c>
      <c r="F25" s="39" t="str">
        <f>'Raw Name Splitter'!F25</f>
        <v xml:space="preserve">D- anya </v>
      </c>
      <c r="H25" s="42"/>
      <c r="I25" s="42"/>
    </row>
    <row r="26" spans="1:13" x14ac:dyDescent="0.25">
      <c r="A26" s="39" t="s">
        <v>30</v>
      </c>
      <c r="B26" s="39" t="s">
        <v>30</v>
      </c>
      <c r="C26" s="39" t="str">
        <f>'Raw Name Splitter'!C26</f>
        <v>Amelia</v>
      </c>
      <c r="D26" s="39" t="str">
        <f>'Raw Name Splitter'!D26</f>
        <v>Jane</v>
      </c>
      <c r="E26" s="39" t="str">
        <f>'Raw Name Splitter'!E26</f>
        <v>Borawski</v>
      </c>
      <c r="F26" s="39">
        <f>'Raw Name Splitter'!F26</f>
        <v>0</v>
      </c>
      <c r="H26" s="42"/>
      <c r="I26" s="42"/>
    </row>
    <row r="27" spans="1:13" x14ac:dyDescent="0.25">
      <c r="A27" s="39">
        <f t="shared" si="1"/>
        <v>25</v>
      </c>
      <c r="B27" s="39">
        <f t="shared" si="0"/>
        <v>25</v>
      </c>
      <c r="C27" s="39" t="str">
        <f>'Raw Name Splitter'!C27</f>
        <v>Elizabeth</v>
      </c>
      <c r="D27" s="39" t="str">
        <f>'Raw Name Splitter'!D27</f>
        <v/>
      </c>
      <c r="E27" s="39" t="str">
        <f>'Raw Name Splitter'!E27</f>
        <v>Boucher</v>
      </c>
      <c r="F27" s="39" t="str">
        <f>'Raw Name Splitter'!F27</f>
        <v>BOO-SHAY</v>
      </c>
      <c r="H27" s="42"/>
      <c r="I27" s="42"/>
    </row>
    <row r="28" spans="1:13" x14ac:dyDescent="0.25">
      <c r="A28" s="39">
        <f t="shared" si="1"/>
        <v>26</v>
      </c>
      <c r="B28" s="39">
        <f t="shared" si="0"/>
        <v>26</v>
      </c>
      <c r="C28" s="39" t="str">
        <f>'Raw Name Splitter'!C28</f>
        <v>Danielle</v>
      </c>
      <c r="D28" s="39" t="str">
        <f>'Raw Name Splitter'!D28</f>
        <v/>
      </c>
      <c r="E28" s="39" t="str">
        <f>'Raw Name Splitter'!E28</f>
        <v>Bowers</v>
      </c>
      <c r="F28" s="39">
        <f>'Raw Name Splitter'!F28</f>
        <v>0</v>
      </c>
      <c r="H28" s="42"/>
      <c r="I28" s="42"/>
    </row>
    <row r="29" spans="1:13" x14ac:dyDescent="0.25">
      <c r="A29" s="39">
        <f t="shared" si="1"/>
        <v>27</v>
      </c>
      <c r="B29" s="39">
        <f t="shared" si="0"/>
        <v>27</v>
      </c>
      <c r="C29" s="39" t="str">
        <f>'Raw Name Splitter'!C29</f>
        <v>Lucas</v>
      </c>
      <c r="D29" s="39" t="str">
        <f>'Raw Name Splitter'!D29</f>
        <v/>
      </c>
      <c r="E29" s="39" t="str">
        <f>'Raw Name Splitter'!E29</f>
        <v>Bowlin</v>
      </c>
      <c r="F29" s="39" t="str">
        <f>'Raw Name Splitter'!F29</f>
        <v>bohl-in</v>
      </c>
      <c r="H29" s="42"/>
      <c r="I29" s="42"/>
    </row>
    <row r="30" spans="1:13" x14ac:dyDescent="0.25">
      <c r="A30" s="39" t="s">
        <v>31</v>
      </c>
      <c r="B30" s="39" t="s">
        <v>31</v>
      </c>
      <c r="C30" s="39" t="str">
        <f>'Raw Name Splitter'!C30</f>
        <v>Indigo</v>
      </c>
      <c r="D30" s="39" t="str">
        <f>'Raw Name Splitter'!D30</f>
        <v/>
      </c>
      <c r="E30" s="39" t="str">
        <f>'Raw Name Splitter'!E30</f>
        <v>Boyko</v>
      </c>
      <c r="F30" s="39">
        <f>'Raw Name Splitter'!F30</f>
        <v>0</v>
      </c>
      <c r="H30" s="42"/>
      <c r="I30" s="42"/>
    </row>
    <row r="31" spans="1:13" x14ac:dyDescent="0.25">
      <c r="A31" s="39">
        <f t="shared" si="1"/>
        <v>28</v>
      </c>
      <c r="B31" s="39">
        <f t="shared" si="0"/>
        <v>28</v>
      </c>
      <c r="C31" s="39" t="str">
        <f>'Raw Name Splitter'!C31</f>
        <v>Kaleb</v>
      </c>
      <c r="D31" s="39" t="str">
        <f>'Raw Name Splitter'!D31</f>
        <v/>
      </c>
      <c r="E31" s="39" t="str">
        <f>'Raw Name Splitter'!E31</f>
        <v>Brady</v>
      </c>
      <c r="F31" s="39">
        <f>'Raw Name Splitter'!F31</f>
        <v>0</v>
      </c>
      <c r="H31" s="42"/>
      <c r="I31" s="42"/>
    </row>
    <row r="32" spans="1:13" x14ac:dyDescent="0.25">
      <c r="A32" s="39">
        <f t="shared" si="1"/>
        <v>29</v>
      </c>
      <c r="B32" s="39">
        <f t="shared" si="0"/>
        <v>29</v>
      </c>
      <c r="C32" s="39" t="str">
        <f>'Raw Name Splitter'!C32</f>
        <v>A.J.</v>
      </c>
      <c r="D32" s="39" t="str">
        <f>'Raw Name Splitter'!D32</f>
        <v/>
      </c>
      <c r="E32" s="39" t="str">
        <f>'Raw Name Splitter'!E32</f>
        <v>Bramante</v>
      </c>
      <c r="H32" s="42"/>
      <c r="I32" s="42"/>
    </row>
    <row r="33" spans="1:9" x14ac:dyDescent="0.25">
      <c r="A33" s="39">
        <f t="shared" si="1"/>
        <v>30</v>
      </c>
      <c r="B33" s="39">
        <f t="shared" si="0"/>
        <v>30</v>
      </c>
      <c r="C33" s="39" t="str">
        <f>'Raw Name Splitter'!C33</f>
        <v>Ashley</v>
      </c>
      <c r="D33" s="39" t="str">
        <f>'Raw Name Splitter'!D33</f>
        <v/>
      </c>
      <c r="E33" s="39" t="str">
        <f>'Raw Name Splitter'!E33</f>
        <v>Brown</v>
      </c>
      <c r="F33" s="39">
        <f>'Raw Name Splitter'!F33</f>
        <v>0</v>
      </c>
      <c r="H33" s="42"/>
      <c r="I33" s="42"/>
    </row>
    <row r="34" spans="1:9" x14ac:dyDescent="0.25">
      <c r="A34" s="39">
        <f t="shared" si="1"/>
        <v>31</v>
      </c>
      <c r="B34" s="39">
        <f t="shared" si="0"/>
        <v>31</v>
      </c>
      <c r="C34" s="39" t="str">
        <f>'Raw Name Splitter'!C34</f>
        <v>Elijah</v>
      </c>
      <c r="D34" s="39" t="str">
        <f>'Raw Name Splitter'!D34</f>
        <v/>
      </c>
      <c r="E34" s="39" t="str">
        <f>'Raw Name Splitter'!E34</f>
        <v>Brown</v>
      </c>
      <c r="F34" s="39">
        <f>'Raw Name Splitter'!F34</f>
        <v>0</v>
      </c>
      <c r="H34" s="42"/>
      <c r="I34" s="42"/>
    </row>
    <row r="35" spans="1:9" x14ac:dyDescent="0.25">
      <c r="A35" s="39" t="s">
        <v>42</v>
      </c>
      <c r="B35" s="39" t="s">
        <v>42</v>
      </c>
      <c r="C35" s="39" t="str">
        <f ca="1">'Raw Name Splitter'!C35</f>
        <v>Joseph</v>
      </c>
      <c r="D35" s="39" t="str">
        <f ca="1">'Raw Name Splitter'!D35</f>
        <v/>
      </c>
      <c r="E35" s="39" t="str">
        <f>'Raw Name Splitter'!E35</f>
        <v>Luke Anthony Bunker (not eligible not walking</v>
      </c>
      <c r="F35" s="39">
        <f>'Raw Name Splitter'!F35</f>
        <v>0</v>
      </c>
      <c r="H35" s="42"/>
      <c r="I35" s="42"/>
    </row>
    <row r="36" spans="1:9" x14ac:dyDescent="0.25">
      <c r="A36" s="39">
        <f t="shared" si="1"/>
        <v>32</v>
      </c>
      <c r="B36" s="39">
        <f t="shared" si="0"/>
        <v>32</v>
      </c>
      <c r="C36" s="39" t="str">
        <f>'Raw Name Splitter'!C36</f>
        <v>Braeden</v>
      </c>
      <c r="D36" s="39" t="str">
        <f>'Raw Name Splitter'!D36</f>
        <v/>
      </c>
      <c r="E36" s="39" t="str">
        <f>'Raw Name Splitter'!E36</f>
        <v>Callan</v>
      </c>
      <c r="F36" s="39">
        <f>'Raw Name Splitter'!F36</f>
        <v>0</v>
      </c>
      <c r="H36" s="42"/>
      <c r="I36" s="42"/>
    </row>
    <row r="37" spans="1:9" x14ac:dyDescent="0.25">
      <c r="A37" s="39">
        <f t="shared" si="1"/>
        <v>33</v>
      </c>
      <c r="B37" s="39">
        <f t="shared" si="0"/>
        <v>33</v>
      </c>
      <c r="C37" s="39" t="str">
        <f>'Raw Name Splitter'!C37</f>
        <v>Nilton</v>
      </c>
      <c r="D37" s="39" t="str">
        <f>'Raw Name Splitter'!D37</f>
        <v/>
      </c>
      <c r="E37" s="39" t="str">
        <f>'Raw Name Splitter'!E37</f>
        <v>Campos</v>
      </c>
      <c r="F37" s="39">
        <f>'Raw Name Splitter'!F37</f>
        <v>0</v>
      </c>
      <c r="H37" s="42"/>
      <c r="I37" s="42"/>
    </row>
    <row r="38" spans="1:9" x14ac:dyDescent="0.25">
      <c r="A38" s="39">
        <f t="shared" si="1"/>
        <v>34</v>
      </c>
      <c r="B38" s="39">
        <f t="shared" si="0"/>
        <v>34</v>
      </c>
      <c r="C38" s="39" t="str">
        <f>'Raw Name Splitter'!C38</f>
        <v>Ethan</v>
      </c>
      <c r="D38" s="39" t="str">
        <f>'Raw Name Splitter'!D38</f>
        <v/>
      </c>
      <c r="E38" s="39" t="str">
        <f>'Raw Name Splitter'!E38</f>
        <v>Cannon</v>
      </c>
      <c r="F38" s="39">
        <f>'Raw Name Splitter'!F38</f>
        <v>0</v>
      </c>
      <c r="H38" s="42"/>
      <c r="I38" s="42"/>
    </row>
    <row r="39" spans="1:9" x14ac:dyDescent="0.25">
      <c r="A39" s="39">
        <f t="shared" si="1"/>
        <v>35</v>
      </c>
      <c r="B39" s="39">
        <f t="shared" si="0"/>
        <v>35</v>
      </c>
      <c r="C39" s="39" t="str">
        <f>'Raw Name Splitter'!C39</f>
        <v>Lucas</v>
      </c>
      <c r="D39" s="39" t="str">
        <f>'Raw Name Splitter'!D39</f>
        <v/>
      </c>
      <c r="E39" s="39" t="str">
        <f>'Raw Name Splitter'!E39</f>
        <v>Carcione</v>
      </c>
      <c r="F39" s="39" t="str">
        <f>'Raw Name Splitter'!F39</f>
        <v>Car-See-O-Nee</v>
      </c>
      <c r="H39" s="42"/>
      <c r="I39" s="42"/>
    </row>
    <row r="40" spans="1:9" x14ac:dyDescent="0.25">
      <c r="A40" s="39">
        <f t="shared" si="1"/>
        <v>36</v>
      </c>
      <c r="B40" s="39">
        <f t="shared" si="0"/>
        <v>36</v>
      </c>
      <c r="C40" s="39" t="str">
        <f>'Raw Name Splitter'!C40</f>
        <v>Nicholas</v>
      </c>
      <c r="D40" s="39" t="str">
        <f>'Raw Name Splitter'!D40</f>
        <v>Joseph</v>
      </c>
      <c r="E40" s="39" t="str">
        <f>'Raw Name Splitter'!E40</f>
        <v>Casarano</v>
      </c>
      <c r="F40" s="39">
        <f>'Raw Name Splitter'!F40</f>
        <v>0</v>
      </c>
      <c r="H40" s="42"/>
      <c r="I40" s="42"/>
    </row>
    <row r="41" spans="1:9" x14ac:dyDescent="0.25">
      <c r="A41" s="39">
        <f t="shared" si="1"/>
        <v>37</v>
      </c>
      <c r="B41" s="39">
        <f t="shared" si="0"/>
        <v>37</v>
      </c>
      <c r="C41" s="39" t="str">
        <f>'Raw Name Splitter'!C41</f>
        <v>Maggie</v>
      </c>
      <c r="D41" s="39" t="str">
        <f>'Raw Name Splitter'!D41</f>
        <v/>
      </c>
      <c r="E41" s="39" t="str">
        <f>'Raw Name Splitter'!E41</f>
        <v>Champlin-Scharff</v>
      </c>
      <c r="F41" s="39">
        <f>'Raw Name Splitter'!F41</f>
        <v>0</v>
      </c>
      <c r="H41" s="42"/>
      <c r="I41" s="42"/>
    </row>
    <row r="42" spans="1:9" x14ac:dyDescent="0.25">
      <c r="A42" s="39">
        <f t="shared" si="1"/>
        <v>38</v>
      </c>
      <c r="B42" s="39">
        <f t="shared" si="0"/>
        <v>38</v>
      </c>
      <c r="C42" s="39" t="str">
        <f>'Raw Name Splitter'!C42</f>
        <v>Elsa</v>
      </c>
      <c r="D42" s="39" t="str">
        <f>'Raw Name Splitter'!D42</f>
        <v/>
      </c>
      <c r="E42" s="39" t="str">
        <f>'Raw Name Splitter'!E42</f>
        <v>Chow</v>
      </c>
      <c r="F42" s="39">
        <f>'Raw Name Splitter'!F42</f>
        <v>0</v>
      </c>
      <c r="H42" s="42"/>
      <c r="I42" s="42"/>
    </row>
    <row r="43" spans="1:9" x14ac:dyDescent="0.25">
      <c r="A43" s="39">
        <f t="shared" si="1"/>
        <v>39</v>
      </c>
      <c r="B43" s="39">
        <f t="shared" si="0"/>
        <v>39</v>
      </c>
      <c r="C43" s="39" t="str">
        <f>'Raw Name Splitter'!C43</f>
        <v>Will</v>
      </c>
      <c r="D43" s="39" t="str">
        <f>'Raw Name Splitter'!D43</f>
        <v/>
      </c>
      <c r="E43" s="39" t="str">
        <f>'Raw Name Splitter'!E43</f>
        <v>Chute</v>
      </c>
      <c r="F43" s="39">
        <f>'Raw Name Splitter'!F43</f>
        <v>0</v>
      </c>
      <c r="H43" s="42"/>
      <c r="I43" s="42"/>
    </row>
    <row r="44" spans="1:9" x14ac:dyDescent="0.25">
      <c r="A44" s="39">
        <f t="shared" si="1"/>
        <v>40</v>
      </c>
      <c r="B44" s="39">
        <f t="shared" si="0"/>
        <v>40</v>
      </c>
      <c r="C44" s="39" t="str">
        <f>'Raw Name Splitter'!C44</f>
        <v>Max</v>
      </c>
      <c r="D44" s="39" t="str">
        <f>'Raw Name Splitter'!D44</f>
        <v/>
      </c>
      <c r="E44" s="39" t="str">
        <f>'Raw Name Splitter'!E44</f>
        <v>Cinelli</v>
      </c>
      <c r="F44" s="39">
        <f>'Raw Name Splitter'!F44</f>
        <v>0</v>
      </c>
      <c r="H44" s="42"/>
      <c r="I44" s="42"/>
    </row>
    <row r="45" spans="1:9" x14ac:dyDescent="0.25">
      <c r="A45" s="39">
        <f t="shared" si="1"/>
        <v>41</v>
      </c>
      <c r="B45" s="39">
        <f t="shared" si="0"/>
        <v>41</v>
      </c>
      <c r="C45" s="39" t="str">
        <f>'Raw Name Splitter'!C45</f>
        <v>Olivia</v>
      </c>
      <c r="D45" s="39" t="str">
        <f>'Raw Name Splitter'!D45</f>
        <v>Marie</v>
      </c>
      <c r="E45" s="39" t="str">
        <f>'Raw Name Splitter'!E45</f>
        <v>Cirrone</v>
      </c>
      <c r="F45" s="39" t="str">
        <f>'Raw Name Splitter'!F45</f>
        <v xml:space="preserve">Suh-row-nee </v>
      </c>
      <c r="H45" s="42"/>
      <c r="I45" s="42"/>
    </row>
    <row r="46" spans="1:9" x14ac:dyDescent="0.25">
      <c r="A46" s="39">
        <f t="shared" si="1"/>
        <v>42</v>
      </c>
      <c r="B46" s="39">
        <f t="shared" si="0"/>
        <v>42</v>
      </c>
      <c r="C46" s="39" t="str">
        <f>'Raw Name Splitter'!C46</f>
        <v>Chadley</v>
      </c>
      <c r="D46" s="39" t="str">
        <f>'Raw Name Splitter'!D46</f>
        <v/>
      </c>
      <c r="E46" s="39" t="str">
        <f>'Raw Name Splitter'!E46</f>
        <v>Civil</v>
      </c>
      <c r="F46" s="39">
        <f>'Raw Name Splitter'!F46</f>
        <v>0</v>
      </c>
      <c r="H46" s="42"/>
      <c r="I46" s="42"/>
    </row>
    <row r="47" spans="1:9" x14ac:dyDescent="0.25">
      <c r="A47" s="39">
        <f t="shared" si="1"/>
        <v>43</v>
      </c>
      <c r="B47" s="39">
        <f t="shared" si="0"/>
        <v>43</v>
      </c>
      <c r="C47" s="39" t="str">
        <f>'Raw Name Splitter'!C47</f>
        <v>Sam</v>
      </c>
      <c r="D47" s="39" t="str">
        <f>'Raw Name Splitter'!D47</f>
        <v/>
      </c>
      <c r="E47" s="39" t="str">
        <f>'Raw Name Splitter'!E47</f>
        <v>Clark</v>
      </c>
      <c r="F47" s="39">
        <f>'Raw Name Splitter'!F47</f>
        <v>0</v>
      </c>
      <c r="H47" s="42"/>
      <c r="I47" s="42"/>
    </row>
    <row r="48" spans="1:9" x14ac:dyDescent="0.25">
      <c r="A48" s="39">
        <f t="shared" si="1"/>
        <v>44</v>
      </c>
      <c r="B48" s="39">
        <f t="shared" si="0"/>
        <v>44</v>
      </c>
      <c r="C48" s="39" t="str">
        <f>'Raw Name Splitter'!C48</f>
        <v>Thomas</v>
      </c>
      <c r="D48" s="39" t="str">
        <f>'Raw Name Splitter'!D48</f>
        <v/>
      </c>
      <c r="E48" s="39" t="str">
        <f>'Raw Name Splitter'!E48</f>
        <v>Cockrell</v>
      </c>
      <c r="F48" s="39">
        <f>'Raw Name Splitter'!F48</f>
        <v>0</v>
      </c>
      <c r="H48" s="42"/>
      <c r="I48" s="42"/>
    </row>
    <row r="49" spans="1:9" x14ac:dyDescent="0.25">
      <c r="A49" s="39" t="s">
        <v>42</v>
      </c>
      <c r="B49" s="39" t="s">
        <v>42</v>
      </c>
      <c r="C49" s="39" t="str">
        <f ca="1">'Raw Name Splitter'!C49</f>
        <v>Giavanna</v>
      </c>
      <c r="D49" s="39" t="str">
        <f ca="1">'Raw Name Splitter'!D49</f>
        <v/>
      </c>
      <c r="E49" s="39" t="str">
        <f>'Raw Name Splitter'!E49</f>
        <v>Rosie Columb (not eligible</v>
      </c>
      <c r="F49" s="39">
        <f>'Raw Name Splitter'!F49</f>
        <v>0</v>
      </c>
      <c r="H49" s="42"/>
      <c r="I49" s="42"/>
    </row>
    <row r="50" spans="1:9" x14ac:dyDescent="0.25">
      <c r="A50" s="39">
        <f t="shared" si="1"/>
        <v>45</v>
      </c>
      <c r="B50" s="39">
        <f t="shared" si="0"/>
        <v>45</v>
      </c>
      <c r="C50" s="39" t="str">
        <f>'Raw Name Splitter'!C50</f>
        <v>Brady</v>
      </c>
      <c r="D50" s="39" t="str">
        <f>'Raw Name Splitter'!D50</f>
        <v/>
      </c>
      <c r="E50" s="39" t="str">
        <f>'Raw Name Splitter'!E50</f>
        <v>Comenos</v>
      </c>
      <c r="F50" s="39" t="str">
        <f>'Raw Name Splitter'!F50</f>
        <v>Brady Com-e-nose</v>
      </c>
      <c r="H50" s="42"/>
      <c r="I50" s="42"/>
    </row>
    <row r="51" spans="1:9" x14ac:dyDescent="0.25">
      <c r="A51" s="39">
        <f t="shared" si="1"/>
        <v>46</v>
      </c>
      <c r="B51" s="39">
        <f t="shared" si="0"/>
        <v>46</v>
      </c>
      <c r="C51" s="39" t="str">
        <f>'Raw Name Splitter'!C51</f>
        <v>Landen</v>
      </c>
      <c r="D51" s="39" t="str">
        <f>'Raw Name Splitter'!D51</f>
        <v/>
      </c>
      <c r="E51" s="39" t="str">
        <f>'Raw Name Splitter'!E51</f>
        <v>Connelly</v>
      </c>
      <c r="F51" s="39" t="str">
        <f>'Raw Name Splitter'!F51</f>
        <v xml:space="preserve">Landen connelly </v>
      </c>
      <c r="H51" s="42"/>
      <c r="I51" s="42"/>
    </row>
    <row r="52" spans="1:9" x14ac:dyDescent="0.25">
      <c r="A52" s="39">
        <f t="shared" si="1"/>
        <v>47</v>
      </c>
      <c r="B52" s="39">
        <f t="shared" si="0"/>
        <v>47</v>
      </c>
      <c r="C52" s="39" t="str">
        <f>'Raw Name Splitter'!C52</f>
        <v>Tim</v>
      </c>
      <c r="D52" s="39" t="str">
        <f>'Raw Name Splitter'!D52</f>
        <v/>
      </c>
      <c r="E52" s="39" t="str">
        <f>'Raw Name Splitter'!E52</f>
        <v>Connolly</v>
      </c>
      <c r="F52" s="39">
        <f>'Raw Name Splitter'!F52</f>
        <v>0</v>
      </c>
      <c r="H52" s="42"/>
      <c r="I52" s="42"/>
    </row>
    <row r="53" spans="1:9" x14ac:dyDescent="0.25">
      <c r="A53" s="39">
        <f t="shared" si="1"/>
        <v>48</v>
      </c>
      <c r="B53" s="39">
        <f t="shared" si="0"/>
        <v>48</v>
      </c>
      <c r="C53" s="39" t="str">
        <f>'Raw Name Splitter'!C53</f>
        <v>Derek</v>
      </c>
      <c r="D53" s="39" t="str">
        <f>'Raw Name Splitter'!D53</f>
        <v/>
      </c>
      <c r="E53" s="39" t="str">
        <f>'Raw Name Splitter'!E53</f>
        <v>Connor</v>
      </c>
      <c r="F53" s="39" t="str">
        <f>'Raw Name Splitter'!F53</f>
        <v>Derek Connor</v>
      </c>
      <c r="H53" s="42"/>
      <c r="I53" s="42"/>
    </row>
    <row r="54" spans="1:9" x14ac:dyDescent="0.25">
      <c r="A54" s="39">
        <f t="shared" si="1"/>
        <v>49</v>
      </c>
      <c r="B54" s="39">
        <f t="shared" si="0"/>
        <v>49</v>
      </c>
      <c r="C54" s="39" t="str">
        <f>'Raw Name Splitter'!C54</f>
        <v>Kayla</v>
      </c>
      <c r="D54" s="39" t="str">
        <f>'Raw Name Splitter'!D54</f>
        <v/>
      </c>
      <c r="E54" s="39" t="str">
        <f>'Raw Name Splitter'!E54</f>
        <v>Cox</v>
      </c>
      <c r="F54" s="39">
        <f>'Raw Name Splitter'!F54</f>
        <v>0</v>
      </c>
      <c r="H54" s="42"/>
      <c r="I54" s="42"/>
    </row>
    <row r="55" spans="1:9" x14ac:dyDescent="0.25">
      <c r="A55" s="39">
        <f t="shared" si="1"/>
        <v>50</v>
      </c>
      <c r="B55" s="39">
        <f t="shared" si="0"/>
        <v>50</v>
      </c>
      <c r="C55" s="39" t="str">
        <f>'Raw Name Splitter'!C55</f>
        <v>John</v>
      </c>
      <c r="D55" s="39" t="str">
        <f>'Raw Name Splitter'!D55</f>
        <v/>
      </c>
      <c r="E55" s="39" t="str">
        <f>'Raw Name Splitter'!E55</f>
        <v>Coyne</v>
      </c>
      <c r="F55" s="39">
        <f>'Raw Name Splitter'!F55</f>
        <v>0</v>
      </c>
      <c r="H55" s="42"/>
      <c r="I55" s="42"/>
    </row>
    <row r="56" spans="1:9" x14ac:dyDescent="0.25">
      <c r="A56" s="39">
        <f t="shared" si="1"/>
        <v>51</v>
      </c>
      <c r="B56" s="39">
        <f t="shared" si="0"/>
        <v>51</v>
      </c>
      <c r="C56" s="39" t="str">
        <f>'Raw Name Splitter'!C56</f>
        <v>Lily</v>
      </c>
      <c r="D56" s="39" t="str">
        <f>'Raw Name Splitter'!D56</f>
        <v/>
      </c>
      <c r="E56" s="39" t="str">
        <f>'Raw Name Splitter'!E56</f>
        <v>Crosby</v>
      </c>
      <c r="F56" s="39">
        <f>'Raw Name Splitter'!F56</f>
        <v>0</v>
      </c>
      <c r="H56" s="42"/>
      <c r="I56" s="42"/>
    </row>
    <row r="57" spans="1:9" x14ac:dyDescent="0.25">
      <c r="A57" s="39">
        <f t="shared" si="1"/>
        <v>52</v>
      </c>
      <c r="B57" s="39">
        <f t="shared" si="0"/>
        <v>52</v>
      </c>
      <c r="C57" s="39" t="str">
        <f>'Raw Name Splitter'!C57</f>
        <v>Molly</v>
      </c>
      <c r="D57" s="39" t="str">
        <f>'Raw Name Splitter'!D57</f>
        <v/>
      </c>
      <c r="E57" s="39" t="str">
        <f>'Raw Name Splitter'!E57</f>
        <v>Crowley</v>
      </c>
      <c r="F57" s="39">
        <f>'Raw Name Splitter'!F57</f>
        <v>0</v>
      </c>
      <c r="H57" s="42"/>
      <c r="I57" s="42"/>
    </row>
    <row r="58" spans="1:9" x14ac:dyDescent="0.25">
      <c r="A58" s="39">
        <f t="shared" si="1"/>
        <v>53</v>
      </c>
      <c r="B58" s="39">
        <f t="shared" si="0"/>
        <v>53</v>
      </c>
      <c r="C58" s="39" t="str">
        <f>'Raw Name Splitter'!C58</f>
        <v>Shea</v>
      </c>
      <c r="D58" s="39" t="str">
        <f>'Raw Name Splitter'!D58</f>
        <v/>
      </c>
      <c r="E58" s="39" t="str">
        <f>'Raw Name Splitter'!E58</f>
        <v>Cullen</v>
      </c>
      <c r="F58" s="39">
        <f>'Raw Name Splitter'!F58</f>
        <v>0</v>
      </c>
      <c r="H58" s="42"/>
      <c r="I58" s="42"/>
    </row>
    <row r="59" spans="1:9" x14ac:dyDescent="0.25">
      <c r="A59" s="39">
        <f t="shared" si="1"/>
        <v>54</v>
      </c>
      <c r="B59" s="39">
        <f t="shared" si="0"/>
        <v>54</v>
      </c>
      <c r="C59" s="39" t="str">
        <f>'Raw Name Splitter'!C59</f>
        <v>Jacklyn</v>
      </c>
      <c r="D59" s="39" t="str">
        <f>'Raw Name Splitter'!D59</f>
        <v/>
      </c>
      <c r="E59" s="39" t="str">
        <f>'Raw Name Splitter'!E59</f>
        <v>Cusolito</v>
      </c>
      <c r="F59" s="39">
        <f>'Raw Name Splitter'!F59</f>
        <v>0</v>
      </c>
      <c r="H59" s="42"/>
      <c r="I59" s="42"/>
    </row>
    <row r="60" spans="1:9" x14ac:dyDescent="0.25">
      <c r="A60" s="39">
        <f t="shared" si="1"/>
        <v>55</v>
      </c>
      <c r="B60" s="39">
        <f t="shared" si="0"/>
        <v>55</v>
      </c>
      <c r="C60" s="39" t="str">
        <f>'Raw Name Splitter'!C60</f>
        <v>Paige</v>
      </c>
      <c r="D60" s="39" t="str">
        <f>'Raw Name Splitter'!D60</f>
        <v/>
      </c>
      <c r="E60" s="39" t="str">
        <f>'Raw Name Splitter'!E60</f>
        <v>Cusolito</v>
      </c>
      <c r="F60" s="39">
        <f>'Raw Name Splitter'!F60</f>
        <v>0</v>
      </c>
      <c r="H60" s="42"/>
      <c r="I60" s="42"/>
    </row>
    <row r="61" spans="1:9" x14ac:dyDescent="0.25">
      <c r="A61" s="39" t="s">
        <v>42</v>
      </c>
      <c r="B61" s="39" t="s">
        <v>42</v>
      </c>
      <c r="C61" s="39" t="str">
        <f>'Raw Name Splitter'!C61</f>
        <v>Hans</v>
      </c>
      <c r="D61" s="39" t="str">
        <f>'Raw Name Splitter'!D61</f>
        <v/>
      </c>
      <c r="E61" s="39" t="str">
        <f>'Raw Name Splitter'!E61</f>
        <v>Dankers</v>
      </c>
      <c r="F61" s="39">
        <f>'Raw Name Splitter'!F61</f>
        <v>0</v>
      </c>
      <c r="H61" s="42"/>
      <c r="I61" s="42"/>
    </row>
    <row r="62" spans="1:9" x14ac:dyDescent="0.25">
      <c r="A62" s="39">
        <f t="shared" si="1"/>
        <v>56</v>
      </c>
      <c r="B62" s="39">
        <f t="shared" si="0"/>
        <v>56</v>
      </c>
      <c r="C62" s="39" t="str">
        <f>'Raw Name Splitter'!C62</f>
        <v>Walick</v>
      </c>
      <c r="D62" s="39">
        <f>'Raw Name Splitter'!D62</f>
        <v>0</v>
      </c>
      <c r="E62" s="39" t="str">
        <f>'Raw Name Splitter'!E62</f>
        <v>Da Silva</v>
      </c>
      <c r="F62" s="39" t="str">
        <f>'Raw Name Splitter'!F62</f>
        <v>Wall-lick Duh Silva</v>
      </c>
      <c r="H62" s="42"/>
      <c r="I62" s="42"/>
    </row>
    <row r="63" spans="1:9" x14ac:dyDescent="0.25">
      <c r="A63" s="39" t="s">
        <v>42</v>
      </c>
      <c r="B63" s="39" t="s">
        <v>42</v>
      </c>
      <c r="C63" s="39" t="str">
        <f ca="1">'Raw Name Splitter'!C63</f>
        <v>Julia</v>
      </c>
      <c r="D63" s="39" t="str">
        <f ca="1">'Raw Name Splitter'!D63</f>
        <v/>
      </c>
      <c r="E63" s="39" t="str">
        <f>'Raw Name Splitter'!E63</f>
        <v>Hadley Davis (program only</v>
      </c>
      <c r="F63" s="39">
        <f>'Raw Name Splitter'!F63</f>
        <v>0</v>
      </c>
      <c r="H63" s="42"/>
      <c r="I63" s="42"/>
    </row>
    <row r="64" spans="1:9" x14ac:dyDescent="0.25">
      <c r="A64" s="39">
        <f t="shared" si="1"/>
        <v>57</v>
      </c>
      <c r="B64" s="39">
        <f t="shared" si="0"/>
        <v>57</v>
      </c>
      <c r="C64" s="39" t="str">
        <f>'Raw Name Splitter'!C64</f>
        <v>Cooper</v>
      </c>
      <c r="D64" s="39" t="str">
        <f>'Raw Name Splitter'!D64</f>
        <v>Joseph</v>
      </c>
      <c r="E64" s="39" t="str">
        <f>'Raw Name Splitter'!E64</f>
        <v>Dean</v>
      </c>
      <c r="F64" s="39" t="str">
        <f>'Raw Name Splitter'!F64</f>
        <v>(Coo-pur) (Joe-Sef) (Deen)</v>
      </c>
      <c r="H64" s="42"/>
      <c r="I64" s="42"/>
    </row>
    <row r="65" spans="1:9" x14ac:dyDescent="0.25">
      <c r="A65" s="39">
        <f t="shared" si="1"/>
        <v>58</v>
      </c>
      <c r="B65" s="39">
        <f t="shared" si="0"/>
        <v>58</v>
      </c>
      <c r="C65" s="39" t="str">
        <f>'Raw Name Splitter'!C65</f>
        <v>Happiness</v>
      </c>
      <c r="D65" s="39" t="str">
        <f>'Raw Name Splitter'!D65</f>
        <v>Osarugue</v>
      </c>
      <c r="E65" s="39" t="str">
        <f>'Raw Name Splitter'!E65</f>
        <v>Deji</v>
      </c>
      <c r="F65" s="39" t="str">
        <f>'Raw Name Splitter'!F65</f>
        <v xml:space="preserve">o sa ru gue </v>
      </c>
      <c r="H65" s="42"/>
      <c r="I65" s="42"/>
    </row>
    <row r="66" spans="1:9" x14ac:dyDescent="0.25">
      <c r="A66" s="39">
        <f t="shared" si="1"/>
        <v>59</v>
      </c>
      <c r="B66" s="39">
        <f t="shared" si="0"/>
        <v>59</v>
      </c>
      <c r="C66" s="39" t="str">
        <f>'Raw Name Splitter'!C66</f>
        <v>Jack</v>
      </c>
      <c r="D66" s="39" t="str">
        <f>'Raw Name Splitter'!D66</f>
        <v/>
      </c>
      <c r="E66" s="39" t="str">
        <f>'Raw Name Splitter'!E66</f>
        <v>Denmark</v>
      </c>
      <c r="F66" s="39">
        <f>'Raw Name Splitter'!F66</f>
        <v>0</v>
      </c>
      <c r="H66" s="42"/>
      <c r="I66" s="42"/>
    </row>
    <row r="67" spans="1:9" x14ac:dyDescent="0.25">
      <c r="A67" s="39">
        <f t="shared" si="1"/>
        <v>60</v>
      </c>
      <c r="B67" s="39">
        <f t="shared" si="0"/>
        <v>60</v>
      </c>
      <c r="C67" s="39" t="str">
        <f>'Raw Name Splitter'!C67</f>
        <v>Julie</v>
      </c>
      <c r="D67" s="39" t="str">
        <f>'Raw Name Splitter'!D67</f>
        <v/>
      </c>
      <c r="E67" s="39" t="str">
        <f>'Raw Name Splitter'!E67</f>
        <v>DiDonato</v>
      </c>
      <c r="F67" s="39" t="str">
        <f>'Raw Name Splitter'!F67</f>
        <v>Dee-doe-na-to</v>
      </c>
      <c r="H67" s="42"/>
      <c r="I67" s="42"/>
    </row>
    <row r="68" spans="1:9" x14ac:dyDescent="0.25">
      <c r="A68" s="39">
        <f t="shared" si="1"/>
        <v>61</v>
      </c>
      <c r="B68" s="39">
        <f t="shared" si="0"/>
        <v>61</v>
      </c>
      <c r="C68" s="39" t="str">
        <f>'Raw Name Splitter'!C68</f>
        <v>Antonio</v>
      </c>
      <c r="D68" s="39" t="str">
        <f>'Raw Name Splitter'!D68</f>
        <v>Joseph</v>
      </c>
      <c r="E68" s="39" t="str">
        <f>'Raw Name Splitter'!E68</f>
        <v>DiSerio</v>
      </c>
      <c r="F68" s="39">
        <f>'Raw Name Splitter'!F68</f>
        <v>0</v>
      </c>
      <c r="H68" s="42"/>
      <c r="I68" s="42"/>
    </row>
    <row r="69" spans="1:9" x14ac:dyDescent="0.25">
      <c r="A69" s="39">
        <f t="shared" si="1"/>
        <v>62</v>
      </c>
      <c r="B69" s="39">
        <f t="shared" si="0"/>
        <v>62</v>
      </c>
      <c r="C69" s="39" t="str">
        <f>'Raw Name Splitter'!C69</f>
        <v>Dante</v>
      </c>
      <c r="D69" s="39" t="str">
        <f>'Raw Name Splitter'!D69</f>
        <v/>
      </c>
      <c r="E69" s="39" t="str">
        <f>'Raw Name Splitter'!E69</f>
        <v>DiSerio</v>
      </c>
      <c r="F69" s="39" t="str">
        <f>'Raw Name Splitter'!F69</f>
        <v>Dis-ear-e-o</v>
      </c>
      <c r="H69" s="42"/>
      <c r="I69" s="42"/>
    </row>
    <row r="70" spans="1:9" x14ac:dyDescent="0.25">
      <c r="A70" s="39">
        <f t="shared" si="1"/>
        <v>63</v>
      </c>
      <c r="B70" s="39">
        <f t="shared" si="1"/>
        <v>63</v>
      </c>
      <c r="C70" s="39" t="str">
        <f>'Raw Name Splitter'!C70</f>
        <v>Caitlin</v>
      </c>
      <c r="D70" s="39" t="str">
        <f>'Raw Name Splitter'!D70</f>
        <v>Anne</v>
      </c>
      <c r="E70" s="39" t="str">
        <f>'Raw Name Splitter'!E70</f>
        <v>Donaghey</v>
      </c>
      <c r="F70" s="39" t="str">
        <f>'Raw Name Splitter'!F70</f>
        <v>Don-a-hee</v>
      </c>
      <c r="H70" s="42"/>
      <c r="I70" s="42"/>
    </row>
    <row r="71" spans="1:9" x14ac:dyDescent="0.25">
      <c r="A71" s="39">
        <f t="shared" ref="A71:B85" si="2">IF(ISTEXT(A70)=TRUE,IF(ISTEXT(A69)=TRUE,A68+1,A69+1),A70+1)</f>
        <v>64</v>
      </c>
      <c r="B71" s="39">
        <f t="shared" si="2"/>
        <v>64</v>
      </c>
      <c r="C71" s="39" t="str">
        <f>'Raw Name Splitter'!C71</f>
        <v>Quinn</v>
      </c>
      <c r="D71" s="39" t="str">
        <f>'Raw Name Splitter'!D71</f>
        <v>Kendall</v>
      </c>
      <c r="E71" s="39" t="str">
        <f>'Raw Name Splitter'!E71</f>
        <v>Donahue</v>
      </c>
      <c r="F71" s="39">
        <f>'Raw Name Splitter'!F71</f>
        <v>0</v>
      </c>
      <c r="H71" s="42"/>
      <c r="I71" s="42"/>
    </row>
    <row r="72" spans="1:9" x14ac:dyDescent="0.25">
      <c r="A72" s="39">
        <f t="shared" si="2"/>
        <v>65</v>
      </c>
      <c r="B72" s="39">
        <f t="shared" si="2"/>
        <v>65</v>
      </c>
      <c r="C72" s="39" t="str">
        <f>'Raw Name Splitter'!C72</f>
        <v>Alana</v>
      </c>
      <c r="D72" s="39" t="str">
        <f>'Raw Name Splitter'!D72</f>
        <v>Mei-Lin Yamaki</v>
      </c>
      <c r="E72" s="39" t="str">
        <f>'Raw Name Splitter'!E72</f>
        <v>Doroquez</v>
      </c>
      <c r="F72" s="39" t="str">
        <f>'Raw Name Splitter'!F72</f>
        <v>Ah-lah-na May-Lynn Yah-mah-key Door-o-kez</v>
      </c>
      <c r="H72" s="42"/>
      <c r="I72" s="42"/>
    </row>
    <row r="73" spans="1:9" x14ac:dyDescent="0.25">
      <c r="A73" s="39">
        <f t="shared" si="2"/>
        <v>66</v>
      </c>
      <c r="B73" s="39">
        <f t="shared" si="2"/>
        <v>66</v>
      </c>
      <c r="C73" s="39" t="str">
        <f>'Raw Name Splitter'!C73</f>
        <v>Cassidy</v>
      </c>
      <c r="D73" s="39" t="str">
        <f>'Raw Name Splitter'!D73</f>
        <v/>
      </c>
      <c r="E73" s="39" t="str">
        <f>'Raw Name Splitter'!E73</f>
        <v>Duca</v>
      </c>
      <c r="F73" s="39">
        <f>'Raw Name Splitter'!F73</f>
        <v>0</v>
      </c>
      <c r="H73" s="42"/>
      <c r="I73" s="42"/>
    </row>
    <row r="74" spans="1:9" x14ac:dyDescent="0.25">
      <c r="A74" s="39">
        <f t="shared" si="2"/>
        <v>67</v>
      </c>
      <c r="B74" s="39">
        <f t="shared" si="2"/>
        <v>67</v>
      </c>
      <c r="C74" s="39" t="str">
        <f>'Raw Name Splitter'!C74</f>
        <v>Kyle</v>
      </c>
      <c r="D74" s="39" t="str">
        <f>'Raw Name Splitter'!D74</f>
        <v/>
      </c>
      <c r="E74" s="39" t="str">
        <f>'Raw Name Splitter'!E74</f>
        <v>DuRoss</v>
      </c>
      <c r="F74" s="39" t="str">
        <f>'Raw Name Splitter'!F74</f>
        <v>Dew-Ross</v>
      </c>
      <c r="H74" s="42"/>
      <c r="I74" s="42"/>
    </row>
    <row r="75" spans="1:9" x14ac:dyDescent="0.25">
      <c r="A75" s="39">
        <f t="shared" si="2"/>
        <v>68</v>
      </c>
      <c r="B75" s="39">
        <f t="shared" si="2"/>
        <v>68</v>
      </c>
      <c r="C75" s="39" t="str">
        <f>'Raw Name Splitter'!C75</f>
        <v>Sean</v>
      </c>
      <c r="D75" s="39" t="str">
        <f>'Raw Name Splitter'!D75</f>
        <v/>
      </c>
      <c r="E75" s="39" t="str">
        <f>'Raw Name Splitter'!E75</f>
        <v>DuRoss</v>
      </c>
      <c r="F75" s="39">
        <f>'Raw Name Splitter'!F75</f>
        <v>0</v>
      </c>
      <c r="H75" s="42"/>
      <c r="I75" s="42"/>
    </row>
    <row r="76" spans="1:9" x14ac:dyDescent="0.25">
      <c r="A76" s="39">
        <f t="shared" si="2"/>
        <v>69</v>
      </c>
      <c r="B76" s="39">
        <f t="shared" si="2"/>
        <v>69</v>
      </c>
      <c r="C76" s="39" t="str">
        <f>'Raw Name Splitter'!C76</f>
        <v>William</v>
      </c>
      <c r="D76" s="39" t="str">
        <f>'Raw Name Splitter'!D76</f>
        <v/>
      </c>
      <c r="E76" s="39" t="str">
        <f>'Raw Name Splitter'!E76</f>
        <v>Dyment</v>
      </c>
      <c r="F76" s="39">
        <f>'Raw Name Splitter'!F76</f>
        <v>0</v>
      </c>
      <c r="H76" s="42"/>
      <c r="I76" s="42"/>
    </row>
    <row r="77" spans="1:9" x14ac:dyDescent="0.25">
      <c r="A77" s="39" t="s">
        <v>42</v>
      </c>
      <c r="B77" s="39" t="s">
        <v>42</v>
      </c>
      <c r="C77" s="39" t="str">
        <f>'Raw Name Splitter'!C77</f>
        <v>Luca</v>
      </c>
      <c r="D77" s="39" t="str">
        <f>'Raw Name Splitter'!D77</f>
        <v/>
      </c>
      <c r="E77" s="39" t="str">
        <f>'Raw Name Splitter'!E77</f>
        <v>Eliet</v>
      </c>
      <c r="F77" s="39">
        <f>'Raw Name Splitter'!F77</f>
        <v>0</v>
      </c>
      <c r="H77" s="42"/>
      <c r="I77" s="42"/>
    </row>
    <row r="78" spans="1:9" x14ac:dyDescent="0.25">
      <c r="A78" s="39">
        <f t="shared" si="2"/>
        <v>70</v>
      </c>
      <c r="B78" s="39">
        <f t="shared" si="2"/>
        <v>70</v>
      </c>
      <c r="C78" s="39" t="str">
        <f>'Raw Name Splitter'!C78</f>
        <v>Finn</v>
      </c>
      <c r="D78" s="39" t="str">
        <f>'Raw Name Splitter'!D78</f>
        <v/>
      </c>
      <c r="E78" s="39" t="str">
        <f>'Raw Name Splitter'!E78</f>
        <v>Ellis</v>
      </c>
      <c r="F78" s="39">
        <f>'Raw Name Splitter'!F78</f>
        <v>0</v>
      </c>
      <c r="H78" s="42"/>
      <c r="I78" s="42"/>
    </row>
    <row r="79" spans="1:9" x14ac:dyDescent="0.25">
      <c r="A79" s="39">
        <f t="shared" si="2"/>
        <v>71</v>
      </c>
      <c r="B79" s="39">
        <f t="shared" si="2"/>
        <v>71</v>
      </c>
      <c r="C79" s="39" t="str">
        <f>'Raw Name Splitter'!C79</f>
        <v>Levi</v>
      </c>
      <c r="D79" s="39" t="str">
        <f>'Raw Name Splitter'!D79</f>
        <v/>
      </c>
      <c r="E79" s="39" t="str">
        <f>'Raw Name Splitter'!E79</f>
        <v>Emmanuel</v>
      </c>
      <c r="F79" s="39">
        <f>'Raw Name Splitter'!F79</f>
        <v>0</v>
      </c>
      <c r="H79" s="42"/>
      <c r="I79" s="42"/>
    </row>
    <row r="80" spans="1:9" x14ac:dyDescent="0.25">
      <c r="A80" s="39">
        <f t="shared" si="2"/>
        <v>72</v>
      </c>
      <c r="B80" s="39">
        <f t="shared" si="2"/>
        <v>72</v>
      </c>
      <c r="C80" s="39" t="str">
        <f>'Raw Name Splitter'!C80</f>
        <v>Kamryn</v>
      </c>
      <c r="D80" s="39" t="str">
        <f>'Raw Name Splitter'!D80</f>
        <v/>
      </c>
      <c r="E80" s="39" t="str">
        <f>'Raw Name Splitter'!E80</f>
        <v>Encarnacao</v>
      </c>
      <c r="F80" s="39" t="str">
        <f>'Raw Name Splitter'!F80</f>
        <v>In - car - naw - see - oh</v>
      </c>
      <c r="H80" s="42"/>
      <c r="I80" s="42"/>
    </row>
    <row r="81" spans="1:9" x14ac:dyDescent="0.25">
      <c r="A81" s="39">
        <f t="shared" si="2"/>
        <v>73</v>
      </c>
      <c r="B81" s="39">
        <f t="shared" si="2"/>
        <v>73</v>
      </c>
      <c r="C81" s="39" t="str">
        <f>'Raw Name Splitter'!C81</f>
        <v>Samuel</v>
      </c>
      <c r="D81" s="39" t="str">
        <f>'Raw Name Splitter'!D81</f>
        <v/>
      </c>
      <c r="E81" s="39" t="s">
        <v>473</v>
      </c>
      <c r="F81" s="39" t="str">
        <f>'Raw Name Splitter'!F81</f>
        <v xml:space="preserve">Eee-wald </v>
      </c>
      <c r="H81" s="42"/>
      <c r="I81" s="42"/>
    </row>
    <row r="82" spans="1:9" x14ac:dyDescent="0.25">
      <c r="A82" s="39">
        <f t="shared" si="2"/>
        <v>74</v>
      </c>
      <c r="B82" s="39">
        <f t="shared" si="2"/>
        <v>74</v>
      </c>
      <c r="C82" s="39" t="str">
        <f>'Raw Name Splitter'!C82</f>
        <v>Kaylie</v>
      </c>
      <c r="D82" s="39" t="str">
        <f>'Raw Name Splitter'!D82</f>
        <v/>
      </c>
      <c r="E82" s="39" t="str">
        <f>'Raw Name Splitter'!E82</f>
        <v>Fantasia</v>
      </c>
      <c r="F82" s="39" t="str">
        <f>'Raw Name Splitter'!F82</f>
        <v>kay-lee</v>
      </c>
      <c r="H82" s="42"/>
      <c r="I82" s="42"/>
    </row>
    <row r="83" spans="1:9" x14ac:dyDescent="0.25">
      <c r="A83" s="39">
        <f t="shared" si="2"/>
        <v>75</v>
      </c>
      <c r="B83" s="39">
        <f t="shared" si="2"/>
        <v>75</v>
      </c>
      <c r="C83" s="39" t="str">
        <f>'Raw Name Splitter'!C83</f>
        <v>Vince</v>
      </c>
      <c r="D83" s="39" t="str">
        <f>'Raw Name Splitter'!D83</f>
        <v/>
      </c>
      <c r="E83" s="39" t="str">
        <f>'Raw Name Splitter'!E83</f>
        <v>Farnham</v>
      </c>
      <c r="F83" s="39">
        <f>'Raw Name Splitter'!F83</f>
        <v>0</v>
      </c>
      <c r="H83" s="42"/>
      <c r="I83" s="42"/>
    </row>
    <row r="84" spans="1:9" x14ac:dyDescent="0.25">
      <c r="A84" s="39">
        <f t="shared" si="2"/>
        <v>76</v>
      </c>
      <c r="B84" s="39">
        <f t="shared" si="2"/>
        <v>76</v>
      </c>
      <c r="C84" s="39" t="str">
        <f>'Raw Name Splitter'!C84</f>
        <v>Colby</v>
      </c>
      <c r="D84" s="39" t="str">
        <f>'Raw Name Splitter'!D84</f>
        <v/>
      </c>
      <c r="E84" s="39" t="str">
        <f>'Raw Name Splitter'!E84</f>
        <v>Farris</v>
      </c>
      <c r="F84" s="39">
        <f>'Raw Name Splitter'!F84</f>
        <v>0</v>
      </c>
      <c r="H84" s="42"/>
      <c r="I84" s="42"/>
    </row>
    <row r="85" spans="1:9" x14ac:dyDescent="0.25">
      <c r="A85" s="39">
        <f t="shared" si="2"/>
        <v>77</v>
      </c>
      <c r="B85" s="39">
        <f t="shared" si="2"/>
        <v>77</v>
      </c>
      <c r="C85" s="39" t="str">
        <f>'Raw Name Splitter'!C85</f>
        <v>Bryan</v>
      </c>
      <c r="D85" s="39" t="str">
        <f>'Raw Name Splitter'!D85</f>
        <v/>
      </c>
      <c r="E85" s="39" t="str">
        <f>'Raw Name Splitter'!E85</f>
        <v>Fernandez</v>
      </c>
      <c r="F85" s="39">
        <f>'Raw Name Splitter'!F85</f>
        <v>0</v>
      </c>
      <c r="H85" s="42"/>
      <c r="I85" s="42"/>
    </row>
    <row r="86" spans="1:9" x14ac:dyDescent="0.25">
      <c r="A86" s="39" t="s">
        <v>42</v>
      </c>
      <c r="B86" s="39" t="s">
        <v>42</v>
      </c>
      <c r="C86" s="39" t="str">
        <f ca="1">'Raw Name Splitter'!C86</f>
        <v>Oliver</v>
      </c>
      <c r="D86" s="39" t="str">
        <f ca="1">'Raw Name Splitter'!D86</f>
        <v/>
      </c>
      <c r="E86" s="39" t="str">
        <f>'Raw Name Splitter'!E86</f>
        <v>Ravi Finberg (not walking</v>
      </c>
      <c r="F86" s="39">
        <f>'Raw Name Splitter'!F86</f>
        <v>0</v>
      </c>
      <c r="H86" s="42"/>
      <c r="I86" s="42"/>
    </row>
    <row r="87" spans="1:9" x14ac:dyDescent="0.25">
      <c r="A87" s="39">
        <f t="shared" ref="A87:B102" si="3">IF(ISTEXT(A86)=TRUE,IF(ISTEXT(A85)=TRUE,A84+1,A85+1),A86+1)</f>
        <v>78</v>
      </c>
      <c r="B87" s="39">
        <f t="shared" si="3"/>
        <v>78</v>
      </c>
      <c r="C87" s="39" t="str">
        <f>'Raw Name Splitter'!C87</f>
        <v>Thomas</v>
      </c>
      <c r="D87" s="39" t="str">
        <f>'Raw Name Splitter'!D87</f>
        <v/>
      </c>
      <c r="E87" s="39" t="str">
        <f>'Raw Name Splitter'!E87</f>
        <v>Fiore</v>
      </c>
      <c r="F87" s="39">
        <f>'Raw Name Splitter'!F87</f>
        <v>0</v>
      </c>
      <c r="H87" s="42"/>
      <c r="I87" s="42"/>
    </row>
    <row r="88" spans="1:9" x14ac:dyDescent="0.25">
      <c r="A88" s="39">
        <f t="shared" si="3"/>
        <v>79</v>
      </c>
      <c r="B88" s="39">
        <f t="shared" si="3"/>
        <v>79</v>
      </c>
      <c r="C88" s="39" t="str">
        <f>'Raw Name Splitter'!C88</f>
        <v>Finn</v>
      </c>
      <c r="D88" s="39" t="str">
        <f>'Raw Name Splitter'!D88</f>
        <v>Patrick</v>
      </c>
      <c r="E88" s="39" t="str">
        <f>'Raw Name Splitter'!E88</f>
        <v>Flaherty</v>
      </c>
      <c r="F88" s="39">
        <f>'Raw Name Splitter'!F88</f>
        <v>0</v>
      </c>
      <c r="H88" s="42"/>
      <c r="I88" s="42"/>
    </row>
    <row r="89" spans="1:9" x14ac:dyDescent="0.25">
      <c r="A89" s="39">
        <f t="shared" si="3"/>
        <v>80</v>
      </c>
      <c r="B89" s="39">
        <f t="shared" si="3"/>
        <v>80</v>
      </c>
      <c r="C89" s="39" t="str">
        <f>'Raw Name Splitter'!C89</f>
        <v>Matthew</v>
      </c>
      <c r="D89" s="39" t="str">
        <f>'Raw Name Splitter'!D89</f>
        <v/>
      </c>
      <c r="E89" s="39" t="str">
        <f>'Raw Name Splitter'!E89</f>
        <v>Forse</v>
      </c>
      <c r="F89" s="39" t="str">
        <f>'Raw Name Splitter'!F89</f>
        <v xml:space="preserve">"Force",   rhymes with HORSE </v>
      </c>
      <c r="H89" s="42"/>
      <c r="I89" s="42"/>
    </row>
    <row r="90" spans="1:9" x14ac:dyDescent="0.25">
      <c r="A90" s="39">
        <f t="shared" si="3"/>
        <v>81</v>
      </c>
      <c r="B90" s="39">
        <f t="shared" si="3"/>
        <v>81</v>
      </c>
      <c r="C90" s="39" t="str">
        <f>'Raw Name Splitter'!C90</f>
        <v>Jacob</v>
      </c>
      <c r="D90" s="39" t="str">
        <f>'Raw Name Splitter'!D90</f>
        <v/>
      </c>
      <c r="E90" s="39" t="str">
        <f>'Raw Name Splitter'!E90</f>
        <v>Frank</v>
      </c>
      <c r="F90" s="39">
        <f>'Raw Name Splitter'!F90</f>
        <v>0</v>
      </c>
      <c r="H90" s="42"/>
      <c r="I90" s="42"/>
    </row>
    <row r="91" spans="1:9" x14ac:dyDescent="0.25">
      <c r="A91" s="39">
        <f t="shared" si="3"/>
        <v>82</v>
      </c>
      <c r="B91" s="39">
        <f t="shared" si="3"/>
        <v>82</v>
      </c>
      <c r="C91" s="39" t="str">
        <f>'Raw Name Splitter'!C91</f>
        <v>Anthony</v>
      </c>
      <c r="D91" s="39" t="str">
        <f>'Raw Name Splitter'!D91</f>
        <v/>
      </c>
      <c r="E91" s="39" t="str">
        <f>'Raw Name Splitter'!E91</f>
        <v>Fratto</v>
      </c>
      <c r="F91" s="39">
        <f>'Raw Name Splitter'!F91</f>
        <v>0</v>
      </c>
      <c r="H91" s="42"/>
      <c r="I91" s="42"/>
    </row>
    <row r="92" spans="1:9" x14ac:dyDescent="0.25">
      <c r="A92" s="39">
        <f t="shared" si="3"/>
        <v>83</v>
      </c>
      <c r="B92" s="39">
        <f t="shared" si="3"/>
        <v>83</v>
      </c>
      <c r="C92" s="39" t="str">
        <f>'Raw Name Splitter'!C92</f>
        <v>Gavin</v>
      </c>
      <c r="D92" s="39" t="str">
        <f>'Raw Name Splitter'!D92</f>
        <v/>
      </c>
      <c r="E92" s="39" t="str">
        <f>'Raw Name Splitter'!E92</f>
        <v>Fucarile</v>
      </c>
      <c r="F92" s="39" t="str">
        <f>'Raw Name Splitter'!F92</f>
        <v>Fuke-ah-rill</v>
      </c>
      <c r="H92" s="42"/>
      <c r="I92" s="42"/>
    </row>
    <row r="93" spans="1:9" x14ac:dyDescent="0.25">
      <c r="A93" s="39">
        <f t="shared" si="3"/>
        <v>84</v>
      </c>
      <c r="B93" s="39">
        <f t="shared" si="3"/>
        <v>84</v>
      </c>
      <c r="C93" s="39" t="str">
        <f>'Raw Name Splitter'!C93</f>
        <v>Cole</v>
      </c>
      <c r="D93" s="39" t="str">
        <f>'Raw Name Splitter'!D93</f>
        <v/>
      </c>
      <c r="E93" s="39" t="str">
        <f>'Raw Name Splitter'!E93</f>
        <v>Fusco</v>
      </c>
      <c r="F93" s="39">
        <f>'Raw Name Splitter'!F93</f>
        <v>0</v>
      </c>
      <c r="H93" s="42"/>
      <c r="I93" s="42"/>
    </row>
    <row r="94" spans="1:9" x14ac:dyDescent="0.25">
      <c r="A94" s="39">
        <f t="shared" si="3"/>
        <v>85</v>
      </c>
      <c r="B94" s="39">
        <f t="shared" si="3"/>
        <v>85</v>
      </c>
      <c r="C94" s="39" t="str">
        <f>'Raw Name Splitter'!C94</f>
        <v>Paul</v>
      </c>
      <c r="D94" s="39" t="str">
        <f>'Raw Name Splitter'!D94</f>
        <v>Richard</v>
      </c>
      <c r="E94" s="39" t="str">
        <f>'Raw Name Splitter'!E94</f>
        <v>Gaeta</v>
      </c>
      <c r="F94" s="39">
        <f>'Raw Name Splitter'!F94</f>
        <v>0</v>
      </c>
      <c r="H94" s="42"/>
      <c r="I94" s="42"/>
    </row>
    <row r="95" spans="1:9" x14ac:dyDescent="0.25">
      <c r="A95" s="39">
        <f t="shared" si="3"/>
        <v>86</v>
      </c>
      <c r="B95" s="39">
        <f t="shared" si="3"/>
        <v>86</v>
      </c>
      <c r="C95" s="39" t="str">
        <f>'Raw Name Splitter'!C95</f>
        <v>Lucas</v>
      </c>
      <c r="D95" s="39" t="str">
        <f>'Raw Name Splitter'!D95</f>
        <v/>
      </c>
      <c r="E95" s="39" t="str">
        <f>'Raw Name Splitter'!E95</f>
        <v>Gager</v>
      </c>
      <c r="F95" s="39" t="str">
        <f>'Raw Name Splitter'!F95</f>
        <v>Gay-jer</v>
      </c>
      <c r="H95" s="42"/>
      <c r="I95" s="42"/>
    </row>
    <row r="96" spans="1:9" x14ac:dyDescent="0.25">
      <c r="A96" s="39">
        <f t="shared" si="3"/>
        <v>87</v>
      </c>
      <c r="B96" s="39">
        <f t="shared" si="3"/>
        <v>87</v>
      </c>
      <c r="C96" s="39" t="str">
        <f>'Raw Name Splitter'!C96</f>
        <v>Nevaeh</v>
      </c>
      <c r="D96" s="39" t="str">
        <f>'Raw Name Splitter'!D96</f>
        <v/>
      </c>
      <c r="E96" s="39" t="str">
        <f>'Raw Name Splitter'!E96</f>
        <v>Galindo</v>
      </c>
      <c r="F96" s="39">
        <f>'Raw Name Splitter'!F96</f>
        <v>0</v>
      </c>
      <c r="H96" s="42"/>
      <c r="I96" s="42"/>
    </row>
    <row r="97" spans="1:9" x14ac:dyDescent="0.25">
      <c r="A97" s="39">
        <f t="shared" si="3"/>
        <v>88</v>
      </c>
      <c r="B97" s="39">
        <f t="shared" si="3"/>
        <v>88</v>
      </c>
      <c r="C97" s="39" t="str">
        <f>'Raw Name Splitter'!C97</f>
        <v>Joseph</v>
      </c>
      <c r="D97" s="39" t="str">
        <f>'Raw Name Splitter'!D97</f>
        <v/>
      </c>
      <c r="E97" s="39" t="str">
        <f>'Raw Name Splitter'!E97</f>
        <v>Gallagher</v>
      </c>
      <c r="F97" s="39" t="str">
        <f>'Raw Name Splitter'!F97</f>
        <v>Joseph Gallagher</v>
      </c>
      <c r="H97" s="42"/>
      <c r="I97" s="42"/>
    </row>
    <row r="98" spans="1:9" x14ac:dyDescent="0.25">
      <c r="A98" s="39">
        <f t="shared" si="3"/>
        <v>89</v>
      </c>
      <c r="B98" s="39">
        <f t="shared" si="3"/>
        <v>89</v>
      </c>
      <c r="C98" s="39" t="str">
        <f>'Raw Name Splitter'!C98</f>
        <v>Brendan</v>
      </c>
      <c r="D98" s="39" t="str">
        <f>'Raw Name Splitter'!D98</f>
        <v/>
      </c>
      <c r="E98" s="39" t="str">
        <f>'Raw Name Splitter'!E98</f>
        <v>Gauvin</v>
      </c>
      <c r="F98" s="39" t="str">
        <f>'Raw Name Splitter'!F98</f>
        <v>Gau-vin</v>
      </c>
      <c r="H98" s="42"/>
      <c r="I98" s="42"/>
    </row>
    <row r="99" spans="1:9" x14ac:dyDescent="0.25">
      <c r="A99" s="39">
        <f t="shared" si="3"/>
        <v>90</v>
      </c>
      <c r="B99" s="39">
        <f t="shared" si="3"/>
        <v>90</v>
      </c>
      <c r="C99" s="39" t="str">
        <f>'Raw Name Splitter'!C99</f>
        <v>Bereket</v>
      </c>
      <c r="D99" s="39" t="str">
        <f>'Raw Name Splitter'!D99</f>
        <v/>
      </c>
      <c r="E99" s="39" t="str">
        <f>'Raw Name Splitter'!E99</f>
        <v>Gebeyaw</v>
      </c>
      <c r="F99" s="39">
        <f>'Raw Name Splitter'!F99</f>
        <v>0</v>
      </c>
      <c r="H99" s="42"/>
      <c r="I99" s="42"/>
    </row>
    <row r="100" spans="1:9" x14ac:dyDescent="0.25">
      <c r="A100" s="39">
        <f t="shared" si="3"/>
        <v>91</v>
      </c>
      <c r="B100" s="39">
        <f t="shared" si="3"/>
        <v>91</v>
      </c>
      <c r="C100" s="39" t="str">
        <f>'Raw Name Splitter'!C100</f>
        <v>Alix</v>
      </c>
      <c r="D100" s="39" t="str">
        <f>'Raw Name Splitter'!D100</f>
        <v/>
      </c>
      <c r="E100" s="39" t="str">
        <f>'Raw Name Splitter'!E100</f>
        <v>Gellot</v>
      </c>
      <c r="F100" s="39">
        <f>'Raw Name Splitter'!F100</f>
        <v>0</v>
      </c>
      <c r="H100" s="42"/>
      <c r="I100" s="42"/>
    </row>
    <row r="101" spans="1:9" x14ac:dyDescent="0.25">
      <c r="A101" s="39">
        <f t="shared" si="3"/>
        <v>92</v>
      </c>
      <c r="B101" s="39">
        <f t="shared" si="3"/>
        <v>92</v>
      </c>
      <c r="C101" s="39" t="str">
        <f>'Raw Name Splitter'!C101</f>
        <v>Cameron</v>
      </c>
      <c r="D101" s="39" t="str">
        <f>'Raw Name Splitter'!D101</f>
        <v/>
      </c>
      <c r="E101" s="39" t="str">
        <f>'Raw Name Splitter'!E101</f>
        <v>Gigler</v>
      </c>
      <c r="F101" s="39">
        <f>'Raw Name Splitter'!F101</f>
        <v>0</v>
      </c>
      <c r="H101" s="42"/>
      <c r="I101" s="42"/>
    </row>
    <row r="102" spans="1:9" x14ac:dyDescent="0.25">
      <c r="A102" s="39">
        <f t="shared" si="3"/>
        <v>93</v>
      </c>
      <c r="B102" s="39">
        <f t="shared" si="3"/>
        <v>93</v>
      </c>
      <c r="C102" s="39" t="str">
        <f>'Raw Name Splitter'!C102</f>
        <v>Alex</v>
      </c>
      <c r="D102" s="39" t="str">
        <f>'Raw Name Splitter'!D102</f>
        <v/>
      </c>
      <c r="E102" s="39" t="str">
        <f>'Raw Name Splitter'!E102</f>
        <v>Gisetto</v>
      </c>
      <c r="F102" s="39">
        <f>'Raw Name Splitter'!F102</f>
        <v>0</v>
      </c>
      <c r="H102" s="42"/>
      <c r="I102" s="42"/>
    </row>
    <row r="103" spans="1:9" x14ac:dyDescent="0.25">
      <c r="A103" s="39">
        <f t="shared" ref="A103:B117" si="4">IF(ISTEXT(A102)=TRUE,IF(ISTEXT(A101)=TRUE,A100+1,A101+1),A102+1)</f>
        <v>94</v>
      </c>
      <c r="B103" s="39">
        <f t="shared" si="4"/>
        <v>94</v>
      </c>
      <c r="C103" s="39" t="str">
        <f>'Raw Name Splitter'!C103</f>
        <v>Benjamin</v>
      </c>
      <c r="D103" s="39" t="str">
        <f>'Raw Name Splitter'!D103</f>
        <v/>
      </c>
      <c r="E103" s="39" t="str">
        <f>'Raw Name Splitter'!E103</f>
        <v>Goldlust</v>
      </c>
      <c r="F103" s="39">
        <f>'Raw Name Splitter'!F103</f>
        <v>0</v>
      </c>
      <c r="H103" s="42"/>
      <c r="I103" s="42"/>
    </row>
    <row r="104" spans="1:9" x14ac:dyDescent="0.25">
      <c r="A104" s="39">
        <f t="shared" si="4"/>
        <v>95</v>
      </c>
      <c r="B104" s="39">
        <f t="shared" si="4"/>
        <v>95</v>
      </c>
      <c r="C104" s="39" t="str">
        <f>'Raw Name Splitter'!C104</f>
        <v>Jack</v>
      </c>
      <c r="D104" s="39" t="str">
        <f>'Raw Name Splitter'!D104</f>
        <v/>
      </c>
      <c r="E104" s="39" t="str">
        <f>'Raw Name Splitter'!E104</f>
        <v>Goodfellow</v>
      </c>
      <c r="F104" s="39">
        <f>'Raw Name Splitter'!F104</f>
        <v>0</v>
      </c>
      <c r="H104" s="42"/>
      <c r="I104" s="42"/>
    </row>
    <row r="105" spans="1:9" x14ac:dyDescent="0.25">
      <c r="A105" s="39">
        <f t="shared" si="4"/>
        <v>96</v>
      </c>
      <c r="B105" s="39">
        <f t="shared" si="4"/>
        <v>96</v>
      </c>
      <c r="C105" s="39" t="str">
        <f>'Raw Name Splitter'!C105</f>
        <v>Drew</v>
      </c>
      <c r="D105" s="39" t="str">
        <f>'Raw Name Splitter'!D105</f>
        <v/>
      </c>
      <c r="E105" s="39" t="str">
        <f>'Raw Name Splitter'!E105</f>
        <v>Gorski</v>
      </c>
      <c r="F105" s="39" t="str">
        <f>'Raw Name Splitter'!F105</f>
        <v>Drew</v>
      </c>
      <c r="H105" s="42"/>
      <c r="I105" s="42"/>
    </row>
    <row r="106" spans="1:9" x14ac:dyDescent="0.25">
      <c r="A106" s="39">
        <f t="shared" si="4"/>
        <v>97</v>
      </c>
      <c r="B106" s="39">
        <f t="shared" si="4"/>
        <v>97</v>
      </c>
      <c r="C106" s="39" t="str">
        <f>'Raw Name Splitter'!C106</f>
        <v>Lila</v>
      </c>
      <c r="D106" s="39" t="str">
        <f>'Raw Name Splitter'!D106</f>
        <v/>
      </c>
      <c r="E106" s="39" t="str">
        <f>'Raw Name Splitter'!E106</f>
        <v>Gosdanian</v>
      </c>
      <c r="F106" s="39" t="str">
        <f>'Raw Name Splitter'!F106</f>
        <v>Lylah Gosdainian</v>
      </c>
      <c r="H106" s="42"/>
      <c r="I106" s="42"/>
    </row>
    <row r="107" spans="1:9" x14ac:dyDescent="0.25">
      <c r="A107" s="39">
        <f t="shared" si="4"/>
        <v>98</v>
      </c>
      <c r="B107" s="39">
        <f t="shared" si="4"/>
        <v>98</v>
      </c>
      <c r="C107" s="39" t="str">
        <f>'Raw Name Splitter'!C107</f>
        <v>Cole</v>
      </c>
      <c r="D107" s="39" t="str">
        <f>'Raw Name Splitter'!D107</f>
        <v>Sebastian</v>
      </c>
      <c r="E107" s="39" t="str">
        <f>'Raw Name Splitter'!E107</f>
        <v>Grant</v>
      </c>
      <c r="F107" s="39">
        <f>'Raw Name Splitter'!F107</f>
        <v>0</v>
      </c>
      <c r="H107" s="42"/>
      <c r="I107" s="42"/>
    </row>
    <row r="108" spans="1:9" x14ac:dyDescent="0.25">
      <c r="A108" s="39">
        <f t="shared" si="4"/>
        <v>99</v>
      </c>
      <c r="B108" s="39">
        <f t="shared" si="4"/>
        <v>99</v>
      </c>
      <c r="C108" s="39" t="str">
        <f>'Raw Name Splitter'!C108</f>
        <v>Kendall</v>
      </c>
      <c r="D108" s="39" t="str">
        <f>'Raw Name Splitter'!D108</f>
        <v/>
      </c>
      <c r="E108" s="39" t="str">
        <f>'Raw Name Splitter'!E108</f>
        <v>Graves</v>
      </c>
      <c r="F108" s="39">
        <f>'Raw Name Splitter'!F108</f>
        <v>0</v>
      </c>
      <c r="H108" s="42"/>
      <c r="I108" s="42"/>
    </row>
    <row r="109" spans="1:9" x14ac:dyDescent="0.25">
      <c r="A109" s="39">
        <f t="shared" si="4"/>
        <v>100</v>
      </c>
      <c r="B109" s="39">
        <f t="shared" si="4"/>
        <v>100</v>
      </c>
      <c r="C109" s="39" t="str">
        <f>'Raw Name Splitter'!C109</f>
        <v>Griffin</v>
      </c>
      <c r="D109" s="39" t="str">
        <f>'Raw Name Splitter'!D109</f>
        <v>James</v>
      </c>
      <c r="E109" s="39" t="str">
        <f>'Raw Name Splitter'!E109</f>
        <v>Haggerty</v>
      </c>
      <c r="F109" s="39">
        <f>'Raw Name Splitter'!F109</f>
        <v>0</v>
      </c>
      <c r="H109" s="42"/>
      <c r="I109" s="42"/>
    </row>
    <row r="110" spans="1:9" x14ac:dyDescent="0.25">
      <c r="A110" s="39">
        <f t="shared" si="4"/>
        <v>101</v>
      </c>
      <c r="B110" s="39">
        <f t="shared" si="4"/>
        <v>101</v>
      </c>
      <c r="C110" s="39" t="str">
        <f>'Raw Name Splitter'!C110</f>
        <v>Andrea</v>
      </c>
      <c r="D110" s="39" t="str">
        <f>'Raw Name Splitter'!D110</f>
        <v/>
      </c>
      <c r="E110" s="39" t="str">
        <f>'Raw Name Splitter'!E110</f>
        <v>Hall</v>
      </c>
      <c r="F110" s="39" t="str">
        <f>'Raw Name Splitter'!F110</f>
        <v>Alpha, November, Delta, Romeo, Echo, alpha</v>
      </c>
      <c r="H110" s="42"/>
      <c r="I110" s="42"/>
    </row>
    <row r="111" spans="1:9" x14ac:dyDescent="0.25">
      <c r="A111" s="39">
        <f t="shared" si="4"/>
        <v>102</v>
      </c>
      <c r="B111" s="39">
        <f t="shared" si="4"/>
        <v>102</v>
      </c>
      <c r="C111" s="39" t="str">
        <f>'Raw Name Splitter'!C111</f>
        <v>Sarah</v>
      </c>
      <c r="D111" s="39" t="str">
        <f>'Raw Name Splitter'!D111</f>
        <v/>
      </c>
      <c r="E111" s="39" t="str">
        <f>'Raw Name Splitter'!E111</f>
        <v>Hamilton</v>
      </c>
      <c r="F111" s="39">
        <f>'Raw Name Splitter'!F111</f>
        <v>0</v>
      </c>
      <c r="H111" s="42"/>
      <c r="I111" s="42"/>
    </row>
    <row r="112" spans="1:9" x14ac:dyDescent="0.25">
      <c r="A112" s="39">
        <f t="shared" si="4"/>
        <v>103</v>
      </c>
      <c r="B112" s="39">
        <f t="shared" si="4"/>
        <v>103</v>
      </c>
      <c r="C112" s="39" t="str">
        <f>'Raw Name Splitter'!C112</f>
        <v>Margaret</v>
      </c>
      <c r="D112" s="39" t="str">
        <f>'Raw Name Splitter'!D112</f>
        <v/>
      </c>
      <c r="E112" s="39" t="str">
        <f>'Raw Name Splitter'!E112</f>
        <v>Hanifan</v>
      </c>
      <c r="F112" s="39">
        <f>'Raw Name Splitter'!F112</f>
        <v>0</v>
      </c>
      <c r="H112" s="42"/>
      <c r="I112" s="42"/>
    </row>
    <row r="113" spans="1:9" x14ac:dyDescent="0.25">
      <c r="A113" s="39" t="s">
        <v>42</v>
      </c>
      <c r="B113" s="39" t="s">
        <v>42</v>
      </c>
      <c r="C113" s="39" t="str">
        <f ca="1">'Raw Name Splitter'!C113</f>
        <v>Owen</v>
      </c>
      <c r="D113" s="39" t="str">
        <f ca="1">'Raw Name Splitter'!D113</f>
        <v/>
      </c>
      <c r="E113" s="39" t="str">
        <f>'Raw Name Splitter'!E113</f>
        <v>Lilly Hardy (not walkiing</v>
      </c>
      <c r="F113" s="39">
        <f>'Raw Name Splitter'!F113</f>
        <v>0</v>
      </c>
      <c r="H113" s="42"/>
      <c r="I113" s="42"/>
    </row>
    <row r="114" spans="1:9" x14ac:dyDescent="0.25">
      <c r="A114" s="39">
        <f t="shared" si="4"/>
        <v>104</v>
      </c>
      <c r="B114" s="39">
        <f t="shared" si="4"/>
        <v>104</v>
      </c>
      <c r="C114" s="39" t="str">
        <f>'Raw Name Splitter'!C114</f>
        <v>Cameron</v>
      </c>
      <c r="D114" s="39" t="str">
        <f>'Raw Name Splitter'!D114</f>
        <v/>
      </c>
      <c r="E114" s="39" t="str">
        <f>'Raw Name Splitter'!E114</f>
        <v>Harrigan</v>
      </c>
      <c r="F114" s="39">
        <f>'Raw Name Splitter'!F114</f>
        <v>0</v>
      </c>
      <c r="H114" s="42"/>
      <c r="I114" s="42"/>
    </row>
    <row r="115" spans="1:9" x14ac:dyDescent="0.25">
      <c r="A115" s="39" t="s">
        <v>34</v>
      </c>
      <c r="B115" s="39" t="s">
        <v>34</v>
      </c>
      <c r="C115" s="39" t="str">
        <f>'Raw Name Splitter'!C115</f>
        <v>Clara</v>
      </c>
      <c r="D115" s="39" t="str">
        <f>'Raw Name Splitter'!D115</f>
        <v/>
      </c>
      <c r="E115" s="39" t="str">
        <f>'Raw Name Splitter'!E115</f>
        <v>Healy</v>
      </c>
      <c r="F115" s="39">
        <f>'Raw Name Splitter'!F115</f>
        <v>0</v>
      </c>
      <c r="H115" s="42"/>
      <c r="I115" s="42"/>
    </row>
    <row r="116" spans="1:9" x14ac:dyDescent="0.25">
      <c r="A116" s="39">
        <f t="shared" si="4"/>
        <v>105</v>
      </c>
      <c r="B116" s="39">
        <f t="shared" si="4"/>
        <v>105</v>
      </c>
      <c r="C116" s="39" t="str">
        <f>'Raw Name Splitter'!C116</f>
        <v>Victoria</v>
      </c>
      <c r="D116" s="39" t="str">
        <f>'Raw Name Splitter'!D116</f>
        <v/>
      </c>
      <c r="E116" s="39" t="str">
        <f>'Raw Name Splitter'!E116</f>
        <v>Henri</v>
      </c>
      <c r="F116" s="39" t="str">
        <f>'Raw Name Splitter'!F116</f>
        <v>Vic-tor-ee-a Hen-ree</v>
      </c>
      <c r="H116" s="42"/>
      <c r="I116" s="42"/>
    </row>
    <row r="117" spans="1:9" x14ac:dyDescent="0.25">
      <c r="A117" s="39">
        <f t="shared" si="4"/>
        <v>106</v>
      </c>
      <c r="B117" s="39">
        <f t="shared" si="4"/>
        <v>106</v>
      </c>
      <c r="C117" s="39" t="str">
        <f>'Raw Name Splitter'!C117</f>
        <v>Kayke</v>
      </c>
      <c r="D117" s="39" t="str">
        <f>'Raw Name Splitter'!D117</f>
        <v/>
      </c>
      <c r="E117" s="39" t="str">
        <f>'Raw Name Splitter'!E117</f>
        <v>Henrique</v>
      </c>
      <c r="F117" s="39">
        <f>'Raw Name Splitter'!F117</f>
        <v>0</v>
      </c>
      <c r="H117" s="42"/>
      <c r="I117" s="42"/>
    </row>
    <row r="118" spans="1:9" x14ac:dyDescent="0.25">
      <c r="A118" s="39" t="s">
        <v>35</v>
      </c>
      <c r="B118" s="39" t="s">
        <v>35</v>
      </c>
      <c r="C118" s="39" t="str">
        <f>'Raw Name Splitter'!C118</f>
        <v>Samuel</v>
      </c>
      <c r="D118" s="39" t="str">
        <f>'Raw Name Splitter'!D118</f>
        <v/>
      </c>
      <c r="E118" s="39" t="str">
        <f>'Raw Name Splitter'!E118</f>
        <v>Hillery</v>
      </c>
      <c r="F118" s="39">
        <f>'Raw Name Splitter'!F118</f>
        <v>0</v>
      </c>
      <c r="H118" s="42"/>
      <c r="I118" s="42"/>
    </row>
    <row r="119" spans="1:9" x14ac:dyDescent="0.25">
      <c r="A119" s="39">
        <f t="shared" ref="A119:B134" si="5">IF(ISTEXT(A118)=TRUE,IF(ISTEXT(A117)=TRUE,A116+1,A117+1),A118+1)</f>
        <v>107</v>
      </c>
      <c r="B119" s="39">
        <f t="shared" si="5"/>
        <v>107</v>
      </c>
      <c r="C119" s="39" t="str">
        <f>'Raw Name Splitter'!C119</f>
        <v>Jahkye</v>
      </c>
      <c r="D119" s="39" t="str">
        <f>'Raw Name Splitter'!D119</f>
        <v/>
      </c>
      <c r="E119" s="39" t="str">
        <f>'Raw Name Splitter'!E119</f>
        <v>Hobson</v>
      </c>
      <c r="F119" s="39" t="str">
        <f>'Raw Name Splitter'!F119</f>
        <v>JAH-KIA</v>
      </c>
      <c r="H119" s="42"/>
      <c r="I119" s="42"/>
    </row>
    <row r="120" spans="1:9" x14ac:dyDescent="0.25">
      <c r="A120" s="39">
        <f t="shared" si="5"/>
        <v>108</v>
      </c>
      <c r="B120" s="39">
        <f t="shared" si="5"/>
        <v>108</v>
      </c>
      <c r="C120" s="39" t="str">
        <f>'Raw Name Splitter'!C120</f>
        <v>Sam</v>
      </c>
      <c r="D120" s="39" t="str">
        <f>'Raw Name Splitter'!D120</f>
        <v/>
      </c>
      <c r="E120" s="39" t="str">
        <f>'Raw Name Splitter'!E120</f>
        <v>Holt</v>
      </c>
      <c r="F120" s="39">
        <f>'Raw Name Splitter'!F120</f>
        <v>0</v>
      </c>
      <c r="H120" s="42"/>
      <c r="I120" s="42"/>
    </row>
    <row r="121" spans="1:9" x14ac:dyDescent="0.25">
      <c r="A121" s="39">
        <f t="shared" si="5"/>
        <v>109</v>
      </c>
      <c r="B121" s="39">
        <f t="shared" si="5"/>
        <v>109</v>
      </c>
      <c r="C121" s="39" t="str">
        <f>'Raw Name Splitter'!C121</f>
        <v>Benjamin</v>
      </c>
      <c r="D121" s="39" t="str">
        <f>'Raw Name Splitter'!D121</f>
        <v/>
      </c>
      <c r="E121" s="39" t="str">
        <f>'Raw Name Splitter'!E121</f>
        <v>Houle</v>
      </c>
      <c r="F121" s="39" t="str">
        <f>'Raw Name Splitter'!F121</f>
        <v>H-oo-l</v>
      </c>
      <c r="H121" s="42"/>
      <c r="I121" s="42"/>
    </row>
    <row r="122" spans="1:9" x14ac:dyDescent="0.25">
      <c r="A122" s="39">
        <f t="shared" si="5"/>
        <v>110</v>
      </c>
      <c r="B122" s="39">
        <f t="shared" si="5"/>
        <v>110</v>
      </c>
      <c r="C122" s="39" t="str">
        <f>'Raw Name Splitter'!C122</f>
        <v>Evin</v>
      </c>
      <c r="D122" s="39" t="str">
        <f>'Raw Name Splitter'!D122</f>
        <v/>
      </c>
      <c r="E122" s="39" t="str">
        <f>'Raw Name Splitter'!E122</f>
        <v>Howell</v>
      </c>
      <c r="F122" s="39">
        <f>'Raw Name Splitter'!F122</f>
        <v>0</v>
      </c>
      <c r="H122" s="42"/>
      <c r="I122" s="42"/>
    </row>
    <row r="123" spans="1:9" x14ac:dyDescent="0.25">
      <c r="A123" s="39">
        <f t="shared" si="5"/>
        <v>111</v>
      </c>
      <c r="B123" s="39">
        <f t="shared" si="5"/>
        <v>111</v>
      </c>
      <c r="C123" s="39" t="str">
        <f>'Raw Name Splitter'!C123</f>
        <v>Paul</v>
      </c>
      <c r="D123" s="39" t="str">
        <f>'Raw Name Splitter'!D123</f>
        <v>Joseph</v>
      </c>
      <c r="E123" s="39" t="str">
        <f>'Raw Name Splitter'!E123</f>
        <v>Iosua</v>
      </c>
      <c r="F123" s="39" t="str">
        <f>'Raw Name Splitter'!F123</f>
        <v>I-osh-u-ah</v>
      </c>
      <c r="H123" s="42"/>
      <c r="I123" s="42"/>
    </row>
    <row r="124" spans="1:9" x14ac:dyDescent="0.25">
      <c r="A124" s="39">
        <f t="shared" si="5"/>
        <v>112</v>
      </c>
      <c r="B124" s="39">
        <f t="shared" si="5"/>
        <v>112</v>
      </c>
      <c r="C124" s="39" t="str">
        <f>'Raw Name Splitter'!C124</f>
        <v>Leah</v>
      </c>
      <c r="D124" s="39" t="str">
        <f>'Raw Name Splitter'!D124</f>
        <v/>
      </c>
      <c r="E124" s="39" t="str">
        <f>'Raw Name Splitter'!E124</f>
        <v>Jackvony</v>
      </c>
      <c r="F124" s="39">
        <f>'Raw Name Splitter'!F124</f>
        <v>0</v>
      </c>
      <c r="H124" s="42"/>
      <c r="I124" s="42"/>
    </row>
    <row r="125" spans="1:9" x14ac:dyDescent="0.25">
      <c r="A125" s="39">
        <f t="shared" si="5"/>
        <v>113</v>
      </c>
      <c r="B125" s="39">
        <f t="shared" si="5"/>
        <v>113</v>
      </c>
      <c r="C125" s="39" t="str">
        <f>'Raw Name Splitter'!C125</f>
        <v>Wayne</v>
      </c>
      <c r="D125" s="39" t="str">
        <f>'Raw Name Splitter'!D125</f>
        <v/>
      </c>
      <c r="E125" s="39" t="str">
        <f>'Raw Name Splitter'!E125</f>
        <v>Jankun</v>
      </c>
      <c r="F125" s="39">
        <f>'Raw Name Splitter'!F125</f>
        <v>0</v>
      </c>
      <c r="H125" s="42"/>
      <c r="I125" s="42"/>
    </row>
    <row r="126" spans="1:9" x14ac:dyDescent="0.25">
      <c r="A126" s="39">
        <f t="shared" si="5"/>
        <v>114</v>
      </c>
      <c r="B126" s="39">
        <f t="shared" si="5"/>
        <v>114</v>
      </c>
      <c r="C126" s="39" t="str">
        <f>'Raw Name Splitter'!C126</f>
        <v>Tristan</v>
      </c>
      <c r="D126" s="39" t="str">
        <f>'Raw Name Splitter'!D126</f>
        <v/>
      </c>
      <c r="E126" s="39" t="str">
        <f>'Raw Name Splitter'!E126</f>
        <v>Jenkins</v>
      </c>
      <c r="F126" s="39">
        <f>'Raw Name Splitter'!F126</f>
        <v>0</v>
      </c>
      <c r="H126" s="42"/>
      <c r="I126" s="42"/>
    </row>
    <row r="127" spans="1:9" x14ac:dyDescent="0.25">
      <c r="A127" s="39">
        <f t="shared" si="5"/>
        <v>115</v>
      </c>
      <c r="B127" s="39">
        <f t="shared" si="5"/>
        <v>115</v>
      </c>
      <c r="C127" s="39" t="str">
        <f>'Raw Name Splitter'!C127</f>
        <v>Evan</v>
      </c>
      <c r="D127" s="39" t="str">
        <f>'Raw Name Splitter'!D127</f>
        <v/>
      </c>
      <c r="E127" s="39" t="str">
        <f>'Raw Name Splitter'!E127</f>
        <v>Jenney</v>
      </c>
      <c r="F127" s="39">
        <f>'Raw Name Splitter'!F127</f>
        <v>0</v>
      </c>
      <c r="H127" s="42"/>
      <c r="I127" s="42"/>
    </row>
    <row r="128" spans="1:9" x14ac:dyDescent="0.25">
      <c r="A128" s="39">
        <f t="shared" si="5"/>
        <v>116</v>
      </c>
      <c r="B128" s="39">
        <f t="shared" si="5"/>
        <v>116</v>
      </c>
      <c r="C128" s="39" t="str">
        <f>'Raw Name Splitter'!C128</f>
        <v>Michael</v>
      </c>
      <c r="D128" s="39" t="str">
        <f>'Raw Name Splitter'!D128</f>
        <v/>
      </c>
      <c r="E128" s="39" t="str">
        <f>'Raw Name Splitter'!E128</f>
        <v>Jenney</v>
      </c>
      <c r="F128" s="39">
        <f>'Raw Name Splitter'!F128</f>
        <v>0</v>
      </c>
      <c r="H128" s="42"/>
      <c r="I128" s="42"/>
    </row>
    <row r="129" spans="1:9" x14ac:dyDescent="0.25">
      <c r="A129" s="39">
        <f t="shared" si="5"/>
        <v>117</v>
      </c>
      <c r="B129" s="39">
        <f t="shared" si="5"/>
        <v>117</v>
      </c>
      <c r="C129" s="39" t="str">
        <f>'Raw Name Splitter'!C129</f>
        <v>Luke</v>
      </c>
      <c r="D129" s="39" t="str">
        <f>'Raw Name Splitter'!D129</f>
        <v/>
      </c>
      <c r="E129" s="39" t="str">
        <f>'Raw Name Splitter'!E129</f>
        <v>Johnson</v>
      </c>
      <c r="F129" s="39">
        <f>'Raw Name Splitter'!F129</f>
        <v>0</v>
      </c>
      <c r="H129" s="42"/>
      <c r="I129" s="42"/>
    </row>
    <row r="130" spans="1:9" x14ac:dyDescent="0.25">
      <c r="A130" s="39">
        <f t="shared" si="5"/>
        <v>118</v>
      </c>
      <c r="B130" s="39">
        <f t="shared" si="5"/>
        <v>118</v>
      </c>
      <c r="C130" s="39" t="str">
        <f>'Raw Name Splitter'!C130</f>
        <v>Maeve</v>
      </c>
      <c r="D130" s="39" t="str">
        <f>'Raw Name Splitter'!D130</f>
        <v/>
      </c>
      <c r="E130" s="39" t="str">
        <f>'Raw Name Splitter'!E130</f>
        <v>Jones</v>
      </c>
      <c r="F130" s="39">
        <f>'Raw Name Splitter'!F130</f>
        <v>0</v>
      </c>
      <c r="H130" s="42"/>
      <c r="I130" s="42"/>
    </row>
    <row r="131" spans="1:9" x14ac:dyDescent="0.25">
      <c r="A131" s="39">
        <f t="shared" si="5"/>
        <v>119</v>
      </c>
      <c r="B131" s="39">
        <f t="shared" si="5"/>
        <v>119</v>
      </c>
      <c r="C131" s="39" t="str">
        <f>'Raw Name Splitter'!C131</f>
        <v>Nolan</v>
      </c>
      <c r="D131" s="39" t="str">
        <f>'Raw Name Splitter'!D131</f>
        <v/>
      </c>
      <c r="E131" s="39" t="str">
        <f>'Raw Name Splitter'!E131</f>
        <v>Jordan</v>
      </c>
      <c r="F131" s="39">
        <f>'Raw Name Splitter'!F131</f>
        <v>0</v>
      </c>
      <c r="H131" s="42"/>
      <c r="I131" s="42"/>
    </row>
    <row r="132" spans="1:9" x14ac:dyDescent="0.25">
      <c r="A132" s="39">
        <f t="shared" si="5"/>
        <v>120</v>
      </c>
      <c r="B132" s="39">
        <f t="shared" si="5"/>
        <v>120</v>
      </c>
      <c r="C132" s="39" t="str">
        <f>'Raw Name Splitter'!C132</f>
        <v>Emma</v>
      </c>
      <c r="D132" s="39" t="str">
        <f>'Raw Name Splitter'!D132</f>
        <v/>
      </c>
      <c r="E132" s="39" t="str">
        <f>'Raw Name Splitter'!E132</f>
        <v>Kaberle</v>
      </c>
      <c r="F132" s="39" t="str">
        <f>'Raw Name Splitter'!F132</f>
        <v xml:space="preserve">K-ber-le </v>
      </c>
      <c r="H132" s="42"/>
      <c r="I132" s="42"/>
    </row>
    <row r="133" spans="1:9" x14ac:dyDescent="0.25">
      <c r="A133" s="39">
        <f t="shared" si="5"/>
        <v>121</v>
      </c>
      <c r="B133" s="39">
        <f t="shared" si="5"/>
        <v>121</v>
      </c>
      <c r="C133" s="39" t="str">
        <f>'Raw Name Splitter'!C133</f>
        <v>Azra</v>
      </c>
      <c r="D133" s="39" t="str">
        <f>'Raw Name Splitter'!D133</f>
        <v/>
      </c>
      <c r="E133" s="39" t="str">
        <f>'Raw Name Splitter'!E133</f>
        <v>Kadric</v>
      </c>
      <c r="F133" s="39" t="str">
        <f>'Raw Name Splitter'!F133</f>
        <v>Uh-zra - the "Uh" part is slower than "zra" and roll the r. "Kud-reech" - roll the r</v>
      </c>
      <c r="H133" s="42"/>
      <c r="I133" s="42"/>
    </row>
    <row r="134" spans="1:9" x14ac:dyDescent="0.25">
      <c r="A134" s="39">
        <f t="shared" si="5"/>
        <v>122</v>
      </c>
      <c r="B134" s="39">
        <f t="shared" si="5"/>
        <v>122</v>
      </c>
      <c r="C134" s="39" t="str">
        <f>'Raw Name Splitter'!C134</f>
        <v>Brady</v>
      </c>
      <c r="D134" s="39" t="str">
        <f>'Raw Name Splitter'!D134</f>
        <v/>
      </c>
      <c r="E134" s="39" t="str">
        <f>'Raw Name Splitter'!E134</f>
        <v>Keaveney</v>
      </c>
      <c r="F134" s="39" t="str">
        <f>'Raw Name Splitter'!F134</f>
        <v>Key van e</v>
      </c>
      <c r="H134" s="42"/>
      <c r="I134" s="42"/>
    </row>
    <row r="135" spans="1:9" x14ac:dyDescent="0.25">
      <c r="A135" s="39">
        <f t="shared" ref="A135:B150" si="6">IF(ISTEXT(A134)=TRUE,IF(ISTEXT(A133)=TRUE,A132+1,A133+1),A134+1)</f>
        <v>123</v>
      </c>
      <c r="B135" s="39">
        <f t="shared" si="6"/>
        <v>123</v>
      </c>
      <c r="C135" s="39" t="str">
        <f>'Raw Name Splitter'!C135</f>
        <v>Hannah</v>
      </c>
      <c r="D135" s="39" t="str">
        <f>'Raw Name Splitter'!D135</f>
        <v/>
      </c>
      <c r="E135" s="39" t="str">
        <f>'Raw Name Splitter'!E135</f>
        <v>Kenton</v>
      </c>
      <c r="F135" s="39" t="str">
        <f>'Raw Name Splitter'!F135</f>
        <v xml:space="preserve">Ken-tin </v>
      </c>
      <c r="H135" s="42"/>
      <c r="I135" s="42"/>
    </row>
    <row r="136" spans="1:9" x14ac:dyDescent="0.25">
      <c r="A136" s="39">
        <f t="shared" si="6"/>
        <v>124</v>
      </c>
      <c r="B136" s="39">
        <f t="shared" si="6"/>
        <v>124</v>
      </c>
      <c r="C136" s="39" t="str">
        <f>'Raw Name Splitter'!C136</f>
        <v>Aiden</v>
      </c>
      <c r="D136" s="39" t="str">
        <f>'Raw Name Splitter'!D136</f>
        <v/>
      </c>
      <c r="E136" s="39" t="str">
        <f>'Raw Name Splitter'!E136</f>
        <v>Kiley</v>
      </c>
      <c r="F136" s="39" t="str">
        <f>'Raw Name Splitter'!F136</f>
        <v>Aiden Liley</v>
      </c>
      <c r="H136" s="42"/>
      <c r="I136" s="42"/>
    </row>
    <row r="137" spans="1:9" x14ac:dyDescent="0.25">
      <c r="A137" s="39">
        <f t="shared" si="6"/>
        <v>125</v>
      </c>
      <c r="B137" s="39">
        <f t="shared" si="6"/>
        <v>125</v>
      </c>
      <c r="C137" s="39" t="str">
        <f>'Raw Name Splitter'!C137</f>
        <v>Clinton</v>
      </c>
      <c r="D137" s="39" t="str">
        <f>'Raw Name Splitter'!D137</f>
        <v/>
      </c>
      <c r="E137" s="39" t="str">
        <f>'Raw Name Splitter'!E137</f>
        <v>King</v>
      </c>
      <c r="F137" s="39">
        <f>'Raw Name Splitter'!F137</f>
        <v>0</v>
      </c>
      <c r="H137" s="42"/>
      <c r="I137" s="42"/>
    </row>
    <row r="138" spans="1:9" x14ac:dyDescent="0.25">
      <c r="A138" s="39">
        <f t="shared" si="6"/>
        <v>126</v>
      </c>
      <c r="B138" s="39">
        <f t="shared" si="6"/>
        <v>126</v>
      </c>
      <c r="C138" s="39" t="str">
        <f>'Raw Name Splitter'!C138</f>
        <v>Kyle</v>
      </c>
      <c r="D138" s="39" t="str">
        <f>'Raw Name Splitter'!D138</f>
        <v/>
      </c>
      <c r="E138" s="39" t="str">
        <f>'Raw Name Splitter'!E138</f>
        <v>Koster</v>
      </c>
      <c r="F138" s="39">
        <f>'Raw Name Splitter'!F138</f>
        <v>0</v>
      </c>
      <c r="H138" s="42"/>
      <c r="I138" s="42"/>
    </row>
    <row r="139" spans="1:9" x14ac:dyDescent="0.25">
      <c r="A139" s="39">
        <f t="shared" si="6"/>
        <v>127</v>
      </c>
      <c r="B139" s="39">
        <f t="shared" si="6"/>
        <v>127</v>
      </c>
      <c r="C139" s="39" t="str">
        <f>'Raw Name Splitter'!C139</f>
        <v>Enzo</v>
      </c>
      <c r="D139" s="39" t="str">
        <f>'Raw Name Splitter'!D139</f>
        <v>George</v>
      </c>
      <c r="E139" s="39" t="str">
        <f>'Raw Name Splitter'!E139</f>
        <v>Lalicata</v>
      </c>
      <c r="F139" s="39" t="str">
        <f>'Raw Name Splitter'!F139</f>
        <v>Enzo George Lahlicatah</v>
      </c>
      <c r="H139" s="42"/>
      <c r="I139" s="42"/>
    </row>
    <row r="140" spans="1:9" x14ac:dyDescent="0.25">
      <c r="A140" s="39">
        <f t="shared" si="6"/>
        <v>128</v>
      </c>
      <c r="B140" s="39">
        <f t="shared" si="6"/>
        <v>128</v>
      </c>
      <c r="C140" s="39" t="str">
        <f>'Raw Name Splitter'!C140</f>
        <v>Jonathan</v>
      </c>
      <c r="D140" s="39" t="str">
        <f>'Raw Name Splitter'!D140</f>
        <v/>
      </c>
      <c r="E140" s="39" t="str">
        <f>'Raw Name Splitter'!E140</f>
        <v>Laurino</v>
      </c>
      <c r="F140" s="39" t="str">
        <f>'Raw Name Splitter'!F141</f>
        <v>Matthew La-Ree-No</v>
      </c>
      <c r="H140" s="42"/>
      <c r="I140" s="42"/>
    </row>
    <row r="141" spans="1:9" x14ac:dyDescent="0.25">
      <c r="A141" s="39">
        <f t="shared" si="6"/>
        <v>129</v>
      </c>
      <c r="B141" s="39">
        <f t="shared" si="6"/>
        <v>129</v>
      </c>
      <c r="C141" s="39" t="str">
        <f>'Raw Name Splitter'!C141</f>
        <v>Matthew</v>
      </c>
      <c r="D141" s="39" t="str">
        <f>'Raw Name Splitter'!D141</f>
        <v/>
      </c>
      <c r="E141" s="39" t="str">
        <f>'Raw Name Splitter'!E141</f>
        <v>Laurino</v>
      </c>
      <c r="F141" s="39" t="e">
        <f>'Raw Name Splitter'!#REF!</f>
        <v>#REF!</v>
      </c>
      <c r="H141" s="42"/>
      <c r="I141" s="42"/>
    </row>
    <row r="142" spans="1:9" x14ac:dyDescent="0.25">
      <c r="A142" s="39">
        <f t="shared" si="6"/>
        <v>130</v>
      </c>
      <c r="B142" s="39">
        <f t="shared" si="6"/>
        <v>130</v>
      </c>
      <c r="C142" s="39" t="str">
        <f>'Raw Name Splitter'!C142</f>
        <v>Asad</v>
      </c>
      <c r="D142" s="39" t="str">
        <f>'Raw Name Splitter'!D142</f>
        <v/>
      </c>
      <c r="E142" s="39" t="str">
        <f>'Raw Name Splitter'!E142</f>
        <v>Layne</v>
      </c>
      <c r="F142" s="39" t="str">
        <f>'Raw Name Splitter'!F142</f>
        <v>Uh-Sod</v>
      </c>
      <c r="H142" s="42"/>
      <c r="I142" s="42"/>
    </row>
    <row r="143" spans="1:9" x14ac:dyDescent="0.25">
      <c r="A143" s="39">
        <f t="shared" si="6"/>
        <v>131</v>
      </c>
      <c r="B143" s="39">
        <f t="shared" si="6"/>
        <v>131</v>
      </c>
      <c r="C143" s="39" t="str">
        <f>'Raw Name Splitter'!C143</f>
        <v>Austin</v>
      </c>
      <c r="D143" s="39" t="str">
        <f>'Raw Name Splitter'!D143</f>
        <v>James</v>
      </c>
      <c r="E143" s="39" t="str">
        <f>'Raw Name Splitter'!E143</f>
        <v>Lee</v>
      </c>
      <c r="F143" s="39">
        <f>'Raw Name Splitter'!F143</f>
        <v>0</v>
      </c>
      <c r="H143" s="42"/>
      <c r="I143" s="42"/>
    </row>
    <row r="144" spans="1:9" x14ac:dyDescent="0.25">
      <c r="A144" s="39">
        <f t="shared" si="6"/>
        <v>132</v>
      </c>
      <c r="B144" s="39">
        <f t="shared" si="6"/>
        <v>132</v>
      </c>
      <c r="C144" s="39" t="str">
        <f>'Raw Name Splitter'!C144</f>
        <v>Jonathan</v>
      </c>
      <c r="D144" s="39" t="str">
        <f>'Raw Name Splitter'!D144</f>
        <v/>
      </c>
      <c r="E144" s="39" t="str">
        <f>'Raw Name Splitter'!E144</f>
        <v>Lee</v>
      </c>
      <c r="F144" s="39">
        <f>'Raw Name Splitter'!F144</f>
        <v>0</v>
      </c>
      <c r="H144" s="42"/>
      <c r="I144" s="42"/>
    </row>
    <row r="145" spans="1:9" x14ac:dyDescent="0.25">
      <c r="A145" s="39">
        <f t="shared" si="6"/>
        <v>133</v>
      </c>
      <c r="B145" s="39">
        <f t="shared" si="6"/>
        <v>133</v>
      </c>
      <c r="C145" s="39" t="str">
        <f>'Raw Name Splitter'!C145</f>
        <v>Desmond</v>
      </c>
      <c r="D145" s="39" t="str">
        <f>'Raw Name Splitter'!D145</f>
        <v/>
      </c>
      <c r="E145" s="39" t="str">
        <f>'Raw Name Splitter'!E145</f>
        <v>Lethin</v>
      </c>
      <c r="F145" s="39">
        <f>'Raw Name Splitter'!F145</f>
        <v>0</v>
      </c>
      <c r="H145" s="42"/>
      <c r="I145" s="42"/>
    </row>
    <row r="146" spans="1:9" x14ac:dyDescent="0.25">
      <c r="A146" s="39">
        <f t="shared" si="6"/>
        <v>134</v>
      </c>
      <c r="B146" s="39">
        <f t="shared" si="6"/>
        <v>134</v>
      </c>
      <c r="C146" s="39" t="str">
        <f>'Raw Name Splitter'!C146</f>
        <v>Katie</v>
      </c>
      <c r="D146" s="39" t="str">
        <f>'Raw Name Splitter'!D146</f>
        <v/>
      </c>
      <c r="E146" s="39" t="str">
        <f>'Raw Name Splitter'!E146</f>
        <v>Lewis</v>
      </c>
      <c r="F146" s="39">
        <f>'Raw Name Splitter'!F146</f>
        <v>0</v>
      </c>
      <c r="H146" s="42"/>
      <c r="I146" s="42"/>
    </row>
    <row r="147" spans="1:9" x14ac:dyDescent="0.25">
      <c r="A147" s="39">
        <f t="shared" si="6"/>
        <v>135</v>
      </c>
      <c r="B147" s="39">
        <f t="shared" si="6"/>
        <v>135</v>
      </c>
      <c r="C147" s="39" t="str">
        <f>'Raw Name Splitter'!C147</f>
        <v>Isabelle</v>
      </c>
      <c r="D147" s="39" t="str">
        <f>'Raw Name Splitter'!D147</f>
        <v/>
      </c>
      <c r="E147" s="39" t="str">
        <f>'Raw Name Splitter'!E147</f>
        <v>Lightbody</v>
      </c>
      <c r="F147" s="39">
        <f>'Raw Name Splitter'!F147</f>
        <v>0</v>
      </c>
      <c r="H147" s="42"/>
      <c r="I147" s="42"/>
    </row>
    <row r="148" spans="1:9" x14ac:dyDescent="0.25">
      <c r="A148" s="39">
        <f t="shared" si="6"/>
        <v>136</v>
      </c>
      <c r="B148" s="39">
        <f t="shared" si="6"/>
        <v>136</v>
      </c>
      <c r="C148" s="39" t="str">
        <f>'Raw Name Splitter'!C148</f>
        <v>Steven</v>
      </c>
      <c r="D148" s="39" t="str">
        <f>'Raw Name Splitter'!D148</f>
        <v/>
      </c>
      <c r="E148" s="39" t="str">
        <f>'Raw Name Splitter'!E148</f>
        <v>Lin</v>
      </c>
      <c r="F148" s="39">
        <f>'Raw Name Splitter'!F148</f>
        <v>0</v>
      </c>
      <c r="H148" s="42"/>
      <c r="I148" s="42"/>
    </row>
    <row r="149" spans="1:9" x14ac:dyDescent="0.25">
      <c r="A149" s="39">
        <f t="shared" si="6"/>
        <v>137</v>
      </c>
      <c r="B149" s="39">
        <f t="shared" si="6"/>
        <v>137</v>
      </c>
      <c r="C149" s="39" t="str">
        <f>'Raw Name Splitter'!C149</f>
        <v>Zackary</v>
      </c>
      <c r="D149" s="39" t="str">
        <f>'Raw Name Splitter'!D149</f>
        <v/>
      </c>
      <c r="E149" s="39" t="str">
        <f>'Raw Name Splitter'!E149</f>
        <v>Lizotte</v>
      </c>
      <c r="F149" s="39" t="str">
        <f>'Raw Name Splitter'!F149</f>
        <v>Liz-ought</v>
      </c>
      <c r="H149" s="42"/>
      <c r="I149" s="42"/>
    </row>
    <row r="150" spans="1:9" x14ac:dyDescent="0.25">
      <c r="A150" s="39">
        <f t="shared" si="6"/>
        <v>138</v>
      </c>
      <c r="B150" s="39">
        <f t="shared" si="6"/>
        <v>138</v>
      </c>
      <c r="C150" s="39" t="str">
        <f>'Raw Name Splitter'!C150</f>
        <v>Isla</v>
      </c>
      <c r="D150" s="39" t="str">
        <f>'Raw Name Splitter'!D150</f>
        <v/>
      </c>
      <c r="E150" s="39" t="str">
        <f>'Raw Name Splitter'!E150</f>
        <v>Lusk</v>
      </c>
      <c r="F150" s="39" t="str">
        <f>'Raw Name Splitter'!F150</f>
        <v>eye-la</v>
      </c>
      <c r="H150" s="42"/>
      <c r="I150" s="42"/>
    </row>
    <row r="151" spans="1:9" x14ac:dyDescent="0.25">
      <c r="A151" s="39">
        <f t="shared" ref="A151:B166" si="7">IF(ISTEXT(A150)=TRUE,IF(ISTEXT(A149)=TRUE,A148+1,A149+1),A150+1)</f>
        <v>139</v>
      </c>
      <c r="B151" s="39">
        <f t="shared" si="7"/>
        <v>139</v>
      </c>
      <c r="C151" s="39" t="str">
        <f>'Raw Name Splitter'!C151</f>
        <v>Lilyana</v>
      </c>
      <c r="D151" s="39" t="str">
        <f>'Raw Name Splitter'!D151</f>
        <v/>
      </c>
      <c r="E151" s="39" t="str">
        <f>'Raw Name Splitter'!E151</f>
        <v>Madden</v>
      </c>
      <c r="F151" s="39">
        <f>'Raw Name Splitter'!F151</f>
        <v>0</v>
      </c>
      <c r="H151" s="42"/>
      <c r="I151" s="42"/>
    </row>
    <row r="152" spans="1:9" x14ac:dyDescent="0.25">
      <c r="A152" s="39">
        <f t="shared" si="7"/>
        <v>140</v>
      </c>
      <c r="B152" s="39">
        <f t="shared" si="7"/>
        <v>140</v>
      </c>
      <c r="C152" s="39" t="str">
        <f>'Raw Name Splitter'!C152</f>
        <v>Rosalia</v>
      </c>
      <c r="D152" s="39" t="str">
        <f>'Raw Name Splitter'!D152</f>
        <v/>
      </c>
      <c r="E152" s="39" t="str">
        <f>'Raw Name Splitter'!E152</f>
        <v>Maganzini</v>
      </c>
      <c r="F152" s="39" t="str">
        <f>'Raw Name Splitter'!F152</f>
        <v>Rose uh Leah - Mag An Zee Knee</v>
      </c>
      <c r="H152" s="42"/>
      <c r="I152" s="42"/>
    </row>
    <row r="153" spans="1:9" x14ac:dyDescent="0.25">
      <c r="A153" s="39">
        <f t="shared" si="7"/>
        <v>141</v>
      </c>
      <c r="B153" s="39">
        <f t="shared" si="7"/>
        <v>141</v>
      </c>
      <c r="C153" s="39" t="str">
        <f>'Raw Name Splitter'!C153</f>
        <v>Trent</v>
      </c>
      <c r="D153" s="39" t="str">
        <f>'Raw Name Splitter'!D153</f>
        <v>Joseph</v>
      </c>
      <c r="E153" s="39" t="str">
        <f>'Raw Name Splitter'!E153</f>
        <v>Maganzini</v>
      </c>
      <c r="F153" s="39">
        <f>'Raw Name Splitter'!F153</f>
        <v>0</v>
      </c>
      <c r="H153" s="42"/>
      <c r="I153" s="42"/>
    </row>
    <row r="154" spans="1:9" x14ac:dyDescent="0.25">
      <c r="A154" s="39">
        <f t="shared" si="7"/>
        <v>142</v>
      </c>
      <c r="B154" s="39">
        <f t="shared" si="7"/>
        <v>142</v>
      </c>
      <c r="C154" s="39" t="str">
        <f>'Raw Name Splitter'!C154</f>
        <v>Emma</v>
      </c>
      <c r="D154" s="39" t="str">
        <f>'Raw Name Splitter'!D154</f>
        <v/>
      </c>
      <c r="E154" s="39" t="str">
        <f>'Raw Name Splitter'!E154</f>
        <v>Mahoney</v>
      </c>
      <c r="F154" s="39">
        <f>'Raw Name Splitter'!F154</f>
        <v>0</v>
      </c>
      <c r="H154" s="42"/>
      <c r="I154" s="42"/>
    </row>
    <row r="155" spans="1:9" x14ac:dyDescent="0.25">
      <c r="A155" s="39">
        <f t="shared" si="7"/>
        <v>143</v>
      </c>
      <c r="B155" s="39">
        <f t="shared" si="7"/>
        <v>143</v>
      </c>
      <c r="C155" s="39" t="str">
        <f>'Raw Name Splitter'!C155</f>
        <v>Charles</v>
      </c>
      <c r="D155" s="39" t="str">
        <f>'Raw Name Splitter'!D155</f>
        <v/>
      </c>
      <c r="E155" s="39" t="str">
        <f>'Raw Name Splitter'!E155</f>
        <v>Maness</v>
      </c>
      <c r="F155" s="39" t="str">
        <f>'Raw Name Splitter'!F155</f>
        <v>May-ness</v>
      </c>
      <c r="H155" s="42"/>
      <c r="I155" s="42"/>
    </row>
    <row r="156" spans="1:9" x14ac:dyDescent="0.25">
      <c r="A156" s="39">
        <f t="shared" si="7"/>
        <v>144</v>
      </c>
      <c r="B156" s="39">
        <f t="shared" si="7"/>
        <v>144</v>
      </c>
      <c r="C156" s="39" t="str">
        <f>'Raw Name Splitter'!C156</f>
        <v>Evan</v>
      </c>
      <c r="D156" s="39" t="str">
        <f>'Raw Name Splitter'!D156</f>
        <v/>
      </c>
      <c r="E156" s="39" t="str">
        <f>'Raw Name Splitter'!E156</f>
        <v>Manfredi</v>
      </c>
      <c r="F156" s="39">
        <f>'Raw Name Splitter'!F156</f>
        <v>0</v>
      </c>
      <c r="H156" s="42"/>
      <c r="I156" s="42"/>
    </row>
    <row r="157" spans="1:9" x14ac:dyDescent="0.25">
      <c r="A157" s="39">
        <f t="shared" si="7"/>
        <v>145</v>
      </c>
      <c r="B157" s="39">
        <f t="shared" si="7"/>
        <v>145</v>
      </c>
      <c r="C157" s="39" t="str">
        <f>'Raw Name Splitter'!C157</f>
        <v>Syler</v>
      </c>
      <c r="D157" s="39" t="str">
        <f>'Raw Name Splitter'!D157</f>
        <v/>
      </c>
      <c r="E157" s="39" t="str">
        <f>'Raw Name Splitter'!E157</f>
        <v>Manning</v>
      </c>
      <c r="F157" s="39">
        <f>'Raw Name Splitter'!F157</f>
        <v>0</v>
      </c>
      <c r="H157" s="42"/>
      <c r="I157" s="42"/>
    </row>
    <row r="158" spans="1:9" x14ac:dyDescent="0.25">
      <c r="A158" s="39">
        <f t="shared" si="7"/>
        <v>146</v>
      </c>
      <c r="B158" s="39">
        <f t="shared" si="7"/>
        <v>146</v>
      </c>
      <c r="C158" s="39" t="str">
        <f>'Raw Name Splitter'!C158</f>
        <v>Tyler</v>
      </c>
      <c r="D158" s="39" t="str">
        <f>'Raw Name Splitter'!D158</f>
        <v/>
      </c>
      <c r="E158" s="39" t="str">
        <f>'Raw Name Splitter'!E158</f>
        <v>Marchlik</v>
      </c>
      <c r="F158" s="39" t="str">
        <f>'Raw Name Splitter'!F158</f>
        <v>Tyler Marchlik</v>
      </c>
      <c r="H158" s="42"/>
      <c r="I158" s="42"/>
    </row>
    <row r="159" spans="1:9" x14ac:dyDescent="0.25">
      <c r="A159" s="39" t="s">
        <v>42</v>
      </c>
      <c r="B159" s="39" t="s">
        <v>42</v>
      </c>
      <c r="C159" s="39" t="e">
        <f>'Raw Name Splitter'!C159</f>
        <v>#VALUE!</v>
      </c>
      <c r="D159" s="39" t="str">
        <f>'Raw Name Splitter'!D159</f>
        <v/>
      </c>
      <c r="E159" s="39" t="e">
        <f>'Raw Name Splitter'!E159</f>
        <v>#VALUE!</v>
      </c>
      <c r="F159" s="39" t="str">
        <f>'Raw Name Splitter'!F159</f>
        <v>NA</v>
      </c>
      <c r="H159" s="42"/>
      <c r="I159" s="42"/>
    </row>
    <row r="160" spans="1:9" x14ac:dyDescent="0.25">
      <c r="A160" s="39" t="s">
        <v>36</v>
      </c>
      <c r="B160" s="39" t="s">
        <v>36</v>
      </c>
      <c r="C160" s="39" t="str">
        <f>'Raw Name Splitter'!C160</f>
        <v>Piper</v>
      </c>
      <c r="D160" s="39" t="str">
        <f>'Raw Name Splitter'!D160</f>
        <v/>
      </c>
      <c r="E160" s="39" t="str">
        <f>'Raw Name Splitter'!E160</f>
        <v>Martin</v>
      </c>
      <c r="F160" s="39">
        <f>'Raw Name Splitter'!F160</f>
        <v>0</v>
      </c>
      <c r="H160" s="42"/>
      <c r="I160" s="42"/>
    </row>
    <row r="161" spans="1:9" x14ac:dyDescent="0.25">
      <c r="A161" s="39" t="s">
        <v>42</v>
      </c>
      <c r="B161" s="39" t="s">
        <v>42</v>
      </c>
      <c r="C161" s="39" t="str">
        <f>'Raw Name Splitter'!C161</f>
        <v>Josten</v>
      </c>
      <c r="D161" s="39" t="str">
        <f>'Raw Name Splitter'!D161</f>
        <v/>
      </c>
      <c r="E161" s="39" t="str">
        <f>'Raw Name Splitter'!E161</f>
        <v>in not walking program only</v>
      </c>
      <c r="F161" s="39">
        <f>'Raw Name Splitter'!F161</f>
        <v>0</v>
      </c>
      <c r="H161" s="42"/>
      <c r="I161" s="42"/>
    </row>
    <row r="162" spans="1:9" x14ac:dyDescent="0.25">
      <c r="A162" s="39" t="s">
        <v>42</v>
      </c>
      <c r="B162" s="39" t="s">
        <v>42</v>
      </c>
      <c r="C162" s="39" t="str">
        <f>'Raw Name Splitter'!C162</f>
        <v>Ella</v>
      </c>
      <c r="D162" s="39" t="str">
        <f>'Raw Name Splitter'!D162</f>
        <v/>
      </c>
      <c r="E162" s="39" t="str">
        <f>'Raw Name Splitter'!E162</f>
        <v>inelle not walkin program only</v>
      </c>
      <c r="F162" s="39">
        <f>'Raw Name Splitter'!F162</f>
        <v>0</v>
      </c>
      <c r="H162" s="42"/>
      <c r="I162" s="42"/>
    </row>
    <row r="163" spans="1:9" x14ac:dyDescent="0.25">
      <c r="A163" s="39">
        <v>147</v>
      </c>
      <c r="B163" s="39">
        <v>147</v>
      </c>
      <c r="C163" s="39" t="str">
        <f>'Raw Name Splitter'!C163</f>
        <v>Addyson</v>
      </c>
      <c r="D163" s="39" t="str">
        <f>'Raw Name Splitter'!D163</f>
        <v>Collette</v>
      </c>
      <c r="E163" s="39" t="str">
        <f>'Raw Name Splitter'!E163</f>
        <v>Mathews</v>
      </c>
      <c r="F163" s="39">
        <f>'Raw Name Splitter'!F163</f>
        <v>0</v>
      </c>
      <c r="H163" s="42"/>
      <c r="I163" s="42"/>
    </row>
    <row r="164" spans="1:9" x14ac:dyDescent="0.25">
      <c r="A164" s="39">
        <f t="shared" si="7"/>
        <v>148</v>
      </c>
      <c r="B164" s="39">
        <f t="shared" si="7"/>
        <v>148</v>
      </c>
      <c r="C164" s="39" t="str">
        <f>'Raw Name Splitter'!C164</f>
        <v>Charlie</v>
      </c>
      <c r="D164" s="39" t="str">
        <f>'Raw Name Splitter'!D164</f>
        <v/>
      </c>
      <c r="E164" s="39" t="str">
        <f>'Raw Name Splitter'!E164</f>
        <v>May</v>
      </c>
      <c r="F164" s="39">
        <f>'Raw Name Splitter'!F164</f>
        <v>0</v>
      </c>
      <c r="H164" s="42"/>
      <c r="I164" s="42"/>
    </row>
    <row r="165" spans="1:9" x14ac:dyDescent="0.25">
      <c r="A165" s="39">
        <f t="shared" si="7"/>
        <v>149</v>
      </c>
      <c r="B165" s="39">
        <f t="shared" si="7"/>
        <v>149</v>
      </c>
      <c r="C165" s="39" t="str">
        <f>'Raw Name Splitter'!C165</f>
        <v>Caleb</v>
      </c>
      <c r="D165" s="39" t="str">
        <f>'Raw Name Splitter'!D165</f>
        <v/>
      </c>
      <c r="E165" s="39" t="str">
        <f>'Raw Name Splitter'!E165</f>
        <v>McGonagle</v>
      </c>
      <c r="F165" s="39">
        <f>'Raw Name Splitter'!F165</f>
        <v>0</v>
      </c>
      <c r="H165" s="42"/>
      <c r="I165" s="42"/>
    </row>
    <row r="166" spans="1:9" x14ac:dyDescent="0.25">
      <c r="A166" s="39">
        <f t="shared" si="7"/>
        <v>150</v>
      </c>
      <c r="B166" s="39">
        <f t="shared" si="7"/>
        <v>150</v>
      </c>
      <c r="C166" s="39" t="str">
        <f>'Raw Name Splitter'!C166</f>
        <v>Makenna</v>
      </c>
      <c r="D166" s="39" t="str">
        <f>'Raw Name Splitter'!D166</f>
        <v/>
      </c>
      <c r="E166" s="39" t="str">
        <f>'Raw Name Splitter'!E166</f>
        <v>McGrath</v>
      </c>
      <c r="F166" s="39">
        <f>'Raw Name Splitter'!F166</f>
        <v>0</v>
      </c>
      <c r="H166" s="42"/>
      <c r="I166" s="42"/>
    </row>
    <row r="167" spans="1:9" x14ac:dyDescent="0.25">
      <c r="A167" s="39">
        <f t="shared" ref="A167:B182" si="8">IF(ISTEXT(A166)=TRUE,IF(ISTEXT(A165)=TRUE,A164+1,A165+1),A166+1)</f>
        <v>151</v>
      </c>
      <c r="B167" s="39">
        <f t="shared" si="8"/>
        <v>151</v>
      </c>
      <c r="C167" s="39" t="str">
        <f>'Raw Name Splitter'!C167</f>
        <v>Zoe</v>
      </c>
      <c r="D167" s="39" t="str">
        <f>'Raw Name Splitter'!D167</f>
        <v/>
      </c>
      <c r="E167" s="39" t="str">
        <f>'Raw Name Splitter'!E167</f>
        <v>McLaughlin-Shostak</v>
      </c>
      <c r="F167" s="39" t="str">
        <f>'Raw Name Splitter'!F167</f>
        <v>Zo-Ee Mick-Glock-Linn Show-Stack</v>
      </c>
      <c r="H167" s="42"/>
      <c r="I167" s="42"/>
    </row>
    <row r="168" spans="1:9" x14ac:dyDescent="0.25">
      <c r="A168" s="39">
        <f t="shared" si="8"/>
        <v>152</v>
      </c>
      <c r="B168" s="39">
        <f t="shared" si="8"/>
        <v>152</v>
      </c>
      <c r="C168" s="39" t="str">
        <f>'Raw Name Splitter'!C168</f>
        <v>Ella</v>
      </c>
      <c r="D168" s="39" t="str">
        <f>'Raw Name Splitter'!D168</f>
        <v/>
      </c>
      <c r="E168" s="39" t="str">
        <f>'Raw Name Splitter'!E168</f>
        <v>McMenimen</v>
      </c>
      <c r="F168" s="39" t="str">
        <f>'Raw Name Splitter'!F168</f>
        <v xml:space="preserve">mick - men - o - men </v>
      </c>
      <c r="H168" s="42"/>
      <c r="I168" s="42"/>
    </row>
    <row r="169" spans="1:9" x14ac:dyDescent="0.25">
      <c r="A169" s="39">
        <f t="shared" si="8"/>
        <v>153</v>
      </c>
      <c r="B169" s="39">
        <f t="shared" si="8"/>
        <v>153</v>
      </c>
      <c r="C169" s="39" t="str">
        <f>'Raw Name Splitter'!C169</f>
        <v>Jack</v>
      </c>
      <c r="D169" s="39" t="str">
        <f>'Raw Name Splitter'!D169</f>
        <v/>
      </c>
      <c r="E169" s="39" t="str">
        <f>'Raw Name Splitter'!E169</f>
        <v>Melly</v>
      </c>
      <c r="F169" s="39">
        <f>'Raw Name Splitter'!F169</f>
        <v>0</v>
      </c>
      <c r="H169" s="42"/>
      <c r="I169" s="42"/>
    </row>
    <row r="170" spans="1:9" x14ac:dyDescent="0.25">
      <c r="A170" s="39">
        <f t="shared" si="8"/>
        <v>154</v>
      </c>
      <c r="B170" s="39">
        <f t="shared" si="8"/>
        <v>154</v>
      </c>
      <c r="C170" s="39" t="str">
        <f>'Raw Name Splitter'!C170</f>
        <v>Alex</v>
      </c>
      <c r="D170" s="39" t="str">
        <f>'Raw Name Splitter'!D170</f>
        <v/>
      </c>
      <c r="E170" s="39" t="str">
        <f>'Raw Name Splitter'!E170</f>
        <v>Merkle</v>
      </c>
      <c r="F170" s="39">
        <f>'Raw Name Splitter'!F170</f>
        <v>0</v>
      </c>
      <c r="H170" s="42"/>
      <c r="I170" s="42"/>
    </row>
    <row r="171" spans="1:9" x14ac:dyDescent="0.25">
      <c r="A171" s="39">
        <f t="shared" si="8"/>
        <v>155</v>
      </c>
      <c r="B171" s="39">
        <f t="shared" si="8"/>
        <v>155</v>
      </c>
      <c r="C171" s="39" t="str">
        <f>'Raw Name Splitter'!C171</f>
        <v>Will</v>
      </c>
      <c r="D171" s="39" t="str">
        <f>'Raw Name Splitter'!D171</f>
        <v/>
      </c>
      <c r="E171" s="39" t="str">
        <f>'Raw Name Splitter'!E171</f>
        <v>Merkle</v>
      </c>
      <c r="F171" s="39">
        <f>'Raw Name Splitter'!F171</f>
        <v>0</v>
      </c>
      <c r="H171" s="42"/>
      <c r="I171" s="42"/>
    </row>
    <row r="172" spans="1:9" x14ac:dyDescent="0.25">
      <c r="A172" s="39">
        <f t="shared" ref="A172:B172" si="9">IF(ISTEXT(A171)=TRUE,IF(ISTEXT(A170)=TRUE,A169+1,A170+1),A171+1)</f>
        <v>156</v>
      </c>
      <c r="B172" s="39">
        <f t="shared" si="9"/>
        <v>156</v>
      </c>
      <c r="C172" s="39" t="str">
        <f>'Raw Name Splitter'!C172</f>
        <v>Gianna</v>
      </c>
      <c r="D172" s="39" t="str">
        <f>'Raw Name Splitter'!D172</f>
        <v/>
      </c>
      <c r="E172" s="39" t="str">
        <f>'Raw Name Splitter'!E172</f>
        <v>Miceli</v>
      </c>
      <c r="F172" s="39" t="str">
        <f>'Raw Name Splitter'!F172</f>
        <v>Mi-tch-elli</v>
      </c>
      <c r="H172" s="42"/>
      <c r="I172" s="42"/>
    </row>
    <row r="173" spans="1:9" x14ac:dyDescent="0.25">
      <c r="A173" s="39">
        <f t="shared" ref="A173:B173" si="10">IF(ISTEXT(A172)=TRUE,IF(ISTEXT(A171)=TRUE,A170+1,A171+1),A172+1)</f>
        <v>157</v>
      </c>
      <c r="B173" s="39">
        <f t="shared" si="10"/>
        <v>157</v>
      </c>
      <c r="C173" s="39" t="str">
        <f>'Raw Name Splitter'!C173</f>
        <v>Karmani</v>
      </c>
      <c r="D173" s="39" t="str">
        <f>'Raw Name Splitter'!D173</f>
        <v>Isaiah</v>
      </c>
      <c r="E173" s="39" t="str">
        <f>'Raw Name Splitter'!E173</f>
        <v>Mirville</v>
      </c>
      <c r="F173" s="39">
        <f>'Raw Name Splitter'!F173</f>
        <v>0</v>
      </c>
      <c r="H173" s="42"/>
      <c r="I173" s="42"/>
    </row>
    <row r="174" spans="1:9" x14ac:dyDescent="0.25">
      <c r="A174" s="39">
        <f t="shared" ref="A174:B174" si="11">IF(ISTEXT(A173)=TRUE,IF(ISTEXT(A172)=TRUE,A171+1,A172+1),A173+1)</f>
        <v>158</v>
      </c>
      <c r="B174" s="39">
        <f t="shared" si="11"/>
        <v>158</v>
      </c>
      <c r="C174" s="39" t="str">
        <f>'Raw Name Splitter'!C174</f>
        <v>Mason</v>
      </c>
      <c r="D174" s="39" t="str">
        <f>'Raw Name Splitter'!D174</f>
        <v>Buddy</v>
      </c>
      <c r="E174" s="39" t="str">
        <f>'Raw Name Splitter'!E174</f>
        <v>Moll</v>
      </c>
      <c r="F174" s="39">
        <f>'Raw Name Splitter'!F174</f>
        <v>0</v>
      </c>
      <c r="H174" s="42"/>
      <c r="I174" s="42"/>
    </row>
    <row r="175" spans="1:9" x14ac:dyDescent="0.25">
      <c r="A175" s="39">
        <f t="shared" ref="A175:B175" si="12">IF(ISTEXT(A174)=TRUE,IF(ISTEXT(A173)=TRUE,A172+1,A173+1),A174+1)</f>
        <v>159</v>
      </c>
      <c r="B175" s="39">
        <f t="shared" si="12"/>
        <v>159</v>
      </c>
      <c r="C175" s="39" t="str">
        <f>'Raw Name Splitter'!C175</f>
        <v>Marcus</v>
      </c>
      <c r="D175" s="39" t="str">
        <f>'Raw Name Splitter'!D175</f>
        <v/>
      </c>
      <c r="E175" s="39" t="str">
        <f>'Raw Name Splitter'!E175</f>
        <v>Moller</v>
      </c>
      <c r="F175" s="39" t="str">
        <f>'Raw Name Splitter'!F175</f>
        <v>Mole - er</v>
      </c>
      <c r="H175" s="42"/>
      <c r="I175" s="42"/>
    </row>
    <row r="176" spans="1:9" x14ac:dyDescent="0.25">
      <c r="A176" s="39">
        <f t="shared" ref="A176:B176" si="13">IF(ISTEXT(A175)=TRUE,IF(ISTEXT(A174)=TRUE,A173+1,A174+1),A175+1)</f>
        <v>160</v>
      </c>
      <c r="B176" s="39">
        <f t="shared" si="13"/>
        <v>160</v>
      </c>
      <c r="C176" s="39" t="str">
        <f>'Raw Name Splitter'!C176</f>
        <v>Evangeline</v>
      </c>
      <c r="D176" s="39" t="str">
        <f>'Raw Name Splitter'!D176</f>
        <v/>
      </c>
      <c r="E176" s="39" t="str">
        <f>'Raw Name Splitter'!E176</f>
        <v>Moreira</v>
      </c>
      <c r="F176" s="39" t="str">
        <f>'Raw Name Splitter'!F176</f>
        <v>Eh-van-jeh-lean More-air-ah</v>
      </c>
      <c r="H176" s="42"/>
      <c r="I176" s="42"/>
    </row>
    <row r="177" spans="1:9" x14ac:dyDescent="0.25">
      <c r="A177" s="39">
        <f t="shared" ref="A177:B177" si="14">IF(ISTEXT(A176)=TRUE,IF(ISTEXT(A175)=TRUE,A174+1,A175+1),A176+1)</f>
        <v>161</v>
      </c>
      <c r="B177" s="39">
        <f t="shared" si="14"/>
        <v>161</v>
      </c>
      <c r="C177" s="39" t="str">
        <f>'Raw Name Splitter'!C177</f>
        <v>Bobby</v>
      </c>
      <c r="D177" s="39" t="str">
        <f>'Raw Name Splitter'!D177</f>
        <v/>
      </c>
      <c r="E177" s="39" t="str">
        <f>'Raw Name Splitter'!E177</f>
        <v>Morris</v>
      </c>
      <c r="F177" s="39">
        <f>'Raw Name Splitter'!F177</f>
        <v>0</v>
      </c>
      <c r="H177" s="42"/>
      <c r="I177" s="42"/>
    </row>
    <row r="178" spans="1:9" x14ac:dyDescent="0.25">
      <c r="A178" s="39">
        <f t="shared" ref="A178:B178" si="15">IF(ISTEXT(A177)=TRUE,IF(ISTEXT(A176)=TRUE,A175+1,A176+1),A177+1)</f>
        <v>162</v>
      </c>
      <c r="B178" s="39">
        <f t="shared" si="15"/>
        <v>162</v>
      </c>
      <c r="C178" s="39" t="str">
        <f>'Raw Name Splitter'!C178</f>
        <v>Kaiden</v>
      </c>
      <c r="D178" s="39" t="str">
        <f>'Raw Name Splitter'!D178</f>
        <v/>
      </c>
      <c r="E178" s="39" t="str">
        <f>'Raw Name Splitter'!E178</f>
        <v>Morrison</v>
      </c>
      <c r="F178" s="39">
        <f>'Raw Name Splitter'!F178</f>
        <v>0</v>
      </c>
      <c r="H178" s="42"/>
      <c r="I178" s="42"/>
    </row>
    <row r="179" spans="1:9" x14ac:dyDescent="0.25">
      <c r="A179" s="39">
        <f t="shared" si="8"/>
        <v>163</v>
      </c>
      <c r="B179" s="39">
        <f t="shared" si="8"/>
        <v>163</v>
      </c>
      <c r="C179" s="39" t="str">
        <f>'Raw Name Splitter'!C179</f>
        <v>Abdul</v>
      </c>
      <c r="D179" s="39" t="str">
        <f>'Raw Name Splitter'!D179</f>
        <v>Raheem</v>
      </c>
      <c r="E179" s="39" t="str">
        <f>'Raw Name Splitter'!E179</f>
        <v>Mughal</v>
      </c>
      <c r="F179" s="39">
        <f>'Raw Name Splitter'!F179</f>
        <v>0</v>
      </c>
      <c r="H179" s="42"/>
      <c r="I179" s="42"/>
    </row>
    <row r="180" spans="1:9" x14ac:dyDescent="0.25">
      <c r="A180" s="39">
        <f t="shared" si="8"/>
        <v>164</v>
      </c>
      <c r="B180" s="39">
        <f t="shared" si="8"/>
        <v>164</v>
      </c>
      <c r="C180" s="39" t="str">
        <f>'Raw Name Splitter'!C180</f>
        <v>William</v>
      </c>
      <c r="D180" s="39" t="str">
        <f>'Raw Name Splitter'!D180</f>
        <v/>
      </c>
      <c r="E180" s="39" t="str">
        <f>'Raw Name Splitter'!E180</f>
        <v>Muller</v>
      </c>
      <c r="F180" s="39" t="str">
        <f>'Raw Name Splitter'!F180</f>
        <v>William Mull-er (rhymes with color)</v>
      </c>
      <c r="H180" s="42"/>
      <c r="I180" s="42"/>
    </row>
    <row r="181" spans="1:9" x14ac:dyDescent="0.25">
      <c r="A181" s="39" t="s">
        <v>37</v>
      </c>
      <c r="B181" s="39" t="s">
        <v>37</v>
      </c>
      <c r="C181" s="39" t="str">
        <f>'Raw Name Splitter'!C181</f>
        <v>Aidan</v>
      </c>
      <c r="D181" s="39" t="str">
        <f>'Raw Name Splitter'!D181</f>
        <v/>
      </c>
      <c r="E181" s="39" t="str">
        <f>'Raw Name Splitter'!E181</f>
        <v>Mullin</v>
      </c>
      <c r="F181" s="39" t="str">
        <f>'Raw Name Splitter'!F181</f>
        <v>Aidan Mullin</v>
      </c>
      <c r="H181" s="42"/>
      <c r="I181" s="42"/>
    </row>
    <row r="182" spans="1:9" x14ac:dyDescent="0.25">
      <c r="A182" s="39">
        <f t="shared" si="8"/>
        <v>165</v>
      </c>
      <c r="B182" s="39">
        <f t="shared" si="8"/>
        <v>165</v>
      </c>
      <c r="C182" s="39" t="str">
        <f>'Raw Name Splitter'!C182</f>
        <v>Jack</v>
      </c>
      <c r="D182" s="39" t="str">
        <f>'Raw Name Splitter'!D182</f>
        <v/>
      </c>
      <c r="E182" s="39" t="str">
        <f>'Raw Name Splitter'!E182</f>
        <v>Murphy</v>
      </c>
      <c r="F182" s="39">
        <f>'Raw Name Splitter'!F182</f>
        <v>0</v>
      </c>
      <c r="H182" s="42"/>
      <c r="I182" s="42"/>
    </row>
    <row r="183" spans="1:9" x14ac:dyDescent="0.25">
      <c r="A183" s="39" t="s">
        <v>38</v>
      </c>
      <c r="B183" s="39" t="s">
        <v>38</v>
      </c>
      <c r="C183" s="39" t="str">
        <f>'Raw Name Splitter'!C183</f>
        <v>Emma</v>
      </c>
      <c r="D183" s="39" t="str">
        <f>'Raw Name Splitter'!D183</f>
        <v>Elizabeth</v>
      </c>
      <c r="E183" s="39" t="str">
        <f>'Raw Name Splitter'!E183</f>
        <v>Nelson</v>
      </c>
      <c r="F183" s="39">
        <f>'Raw Name Splitter'!F183</f>
        <v>0</v>
      </c>
      <c r="H183" s="42"/>
      <c r="I183" s="42"/>
    </row>
    <row r="184" spans="1:9" x14ac:dyDescent="0.25">
      <c r="A184" s="39">
        <f t="shared" ref="A184:B198" si="16">IF(ISTEXT(A183)=TRUE,IF(ISTEXT(A182)=TRUE,A181+1,A182+1),A183+1)</f>
        <v>166</v>
      </c>
      <c r="B184" s="39">
        <f t="shared" si="16"/>
        <v>166</v>
      </c>
      <c r="C184" s="39" t="str">
        <f>'Raw Name Splitter'!C184</f>
        <v>Abigail</v>
      </c>
      <c r="D184" s="39" t="str">
        <f>'Raw Name Splitter'!D184</f>
        <v/>
      </c>
      <c r="E184" s="39" t="str">
        <f>'Raw Name Splitter'!E184</f>
        <v>Nelson</v>
      </c>
      <c r="F184" s="39">
        <f>'Raw Name Splitter'!F184</f>
        <v>0</v>
      </c>
      <c r="H184" s="42"/>
      <c r="I184" s="42"/>
    </row>
    <row r="185" spans="1:9" x14ac:dyDescent="0.25">
      <c r="A185" s="39">
        <f t="shared" si="16"/>
        <v>167</v>
      </c>
      <c r="B185" s="39">
        <f t="shared" si="16"/>
        <v>167</v>
      </c>
      <c r="C185" s="39" t="str">
        <f>'Raw Name Splitter'!C185</f>
        <v>Patience</v>
      </c>
      <c r="D185" s="39" t="str">
        <f>'Raw Name Splitter'!D185</f>
        <v/>
      </c>
      <c r="E185" s="39" t="str">
        <f>'Raw Name Splitter'!E185</f>
        <v>Nguyen</v>
      </c>
      <c r="F185" s="39" t="str">
        <f>'Raw Name Splitter'!F185</f>
        <v xml:space="preserve">Patience Nuh-win </v>
      </c>
      <c r="H185" s="42"/>
      <c r="I185" s="42"/>
    </row>
    <row r="186" spans="1:9" x14ac:dyDescent="0.25">
      <c r="A186" s="39">
        <f t="shared" si="16"/>
        <v>168</v>
      </c>
      <c r="B186" s="39">
        <f t="shared" si="16"/>
        <v>168</v>
      </c>
      <c r="C186" s="39" t="str">
        <f>'Raw Name Splitter'!C186</f>
        <v>Charlotte</v>
      </c>
      <c r="D186" s="39" t="str">
        <f>'Raw Name Splitter'!D186</f>
        <v/>
      </c>
      <c r="E186" s="39" t="str">
        <f>'Raw Name Splitter'!E186</f>
        <v>Nolty</v>
      </c>
      <c r="F186" s="39">
        <f>'Raw Name Splitter'!F186</f>
        <v>0</v>
      </c>
      <c r="H186" s="42"/>
      <c r="I186" s="42"/>
    </row>
    <row r="187" spans="1:9" x14ac:dyDescent="0.25">
      <c r="A187" s="39">
        <f t="shared" si="16"/>
        <v>169</v>
      </c>
      <c r="B187" s="39">
        <f t="shared" si="16"/>
        <v>169</v>
      </c>
      <c r="C187" s="39" t="str">
        <f>'Raw Name Splitter'!C187</f>
        <v>Mackenzie</v>
      </c>
      <c r="D187" s="39" t="str">
        <f>'Raw Name Splitter'!D187</f>
        <v/>
      </c>
      <c r="E187" s="39" t="str">
        <f>'Raw Name Splitter'!E187</f>
        <v>Norris</v>
      </c>
      <c r="F187" s="39" t="str">
        <f>'Raw Name Splitter'!F187</f>
        <v>Ma - ken - zee  Nor - is</v>
      </c>
      <c r="H187" s="42"/>
      <c r="I187" s="42"/>
    </row>
    <row r="188" spans="1:9" x14ac:dyDescent="0.25">
      <c r="A188" s="39">
        <f t="shared" si="16"/>
        <v>170</v>
      </c>
      <c r="B188" s="39">
        <f t="shared" si="16"/>
        <v>170</v>
      </c>
      <c r="C188" s="39" t="str">
        <f>'Raw Name Splitter'!C188</f>
        <v>Michelle</v>
      </c>
      <c r="D188" s="39" t="str">
        <f>'Raw Name Splitter'!D188</f>
        <v/>
      </c>
      <c r="E188" s="39" t="str">
        <f>'Raw Name Splitter'!E188</f>
        <v>Ohlson</v>
      </c>
      <c r="F188" s="39">
        <f>'Raw Name Splitter'!F188</f>
        <v>0</v>
      </c>
      <c r="H188" s="42"/>
      <c r="I188" s="42"/>
    </row>
    <row r="189" spans="1:9" x14ac:dyDescent="0.25">
      <c r="A189" s="39">
        <f t="shared" si="16"/>
        <v>171</v>
      </c>
      <c r="B189" s="39">
        <f t="shared" si="16"/>
        <v>171</v>
      </c>
      <c r="C189" s="39" t="str">
        <f>'Raw Name Splitter'!C189</f>
        <v>Natalie</v>
      </c>
      <c r="D189" s="39" t="str">
        <f>'Raw Name Splitter'!D189</f>
        <v/>
      </c>
      <c r="E189" s="39" t="str">
        <f>'Raw Name Splitter'!E189</f>
        <v>Ortins</v>
      </c>
      <c r="F189" s="39" t="str">
        <f>'Raw Name Splitter'!F189</f>
        <v>Please don't say Orteens; It is OrtINs and the i is like the i in it</v>
      </c>
      <c r="H189" s="42"/>
      <c r="I189" s="42"/>
    </row>
    <row r="190" spans="1:9" x14ac:dyDescent="0.25">
      <c r="A190" s="39">
        <f t="shared" si="16"/>
        <v>172</v>
      </c>
      <c r="B190" s="39">
        <f t="shared" si="16"/>
        <v>172</v>
      </c>
      <c r="C190" s="39" t="str">
        <f>'Raw Name Splitter'!C190</f>
        <v>Franklin</v>
      </c>
      <c r="D190" s="39" t="str">
        <f>'Raw Name Splitter'!D190</f>
        <v/>
      </c>
      <c r="E190" s="39" t="str">
        <f>'Raw Name Splitter'!E190</f>
        <v>Ortiz</v>
      </c>
      <c r="F190" s="39" t="str">
        <f>'Raw Name Splitter'!F190</f>
        <v>Franklin Ortiz</v>
      </c>
      <c r="H190" s="42"/>
      <c r="I190" s="42"/>
    </row>
    <row r="191" spans="1:9" x14ac:dyDescent="0.25">
      <c r="A191" s="39">
        <f t="shared" si="16"/>
        <v>173</v>
      </c>
      <c r="B191" s="39">
        <f t="shared" si="16"/>
        <v>173</v>
      </c>
      <c r="C191" s="39" t="str">
        <f>'Raw Name Splitter'!C191</f>
        <v>Isabelle</v>
      </c>
      <c r="D191" s="39" t="str">
        <f>'Raw Name Splitter'!D191</f>
        <v>Grace</v>
      </c>
      <c r="E191" s="39" t="str">
        <f>'Raw Name Splitter'!E191</f>
        <v>Parent</v>
      </c>
      <c r="F191" s="39">
        <f>'Raw Name Splitter'!F191</f>
        <v>0</v>
      </c>
      <c r="H191" s="42"/>
      <c r="I191" s="42"/>
    </row>
    <row r="192" spans="1:9" x14ac:dyDescent="0.25">
      <c r="A192" s="39">
        <f t="shared" si="16"/>
        <v>174</v>
      </c>
      <c r="B192" s="39">
        <f t="shared" si="16"/>
        <v>174</v>
      </c>
      <c r="C192" s="39" t="str">
        <f>'Raw Name Splitter'!C192</f>
        <v>Saloni</v>
      </c>
      <c r="D192" s="39" t="str">
        <f>'Raw Name Splitter'!D192</f>
        <v/>
      </c>
      <c r="E192" s="39" t="str">
        <f>'Raw Name Splitter'!E192</f>
        <v>Patel</v>
      </c>
      <c r="F192" s="39" t="str">
        <f>'Raw Name Splitter'!F192</f>
        <v>Sa-low-knee Pa-tel</v>
      </c>
      <c r="H192" s="42"/>
      <c r="I192" s="42"/>
    </row>
    <row r="193" spans="1:9" x14ac:dyDescent="0.25">
      <c r="A193" s="39">
        <f t="shared" si="16"/>
        <v>175</v>
      </c>
      <c r="B193" s="39">
        <f t="shared" si="16"/>
        <v>175</v>
      </c>
      <c r="C193" s="39" t="str">
        <f>'Raw Name Splitter'!C193</f>
        <v>Lerika</v>
      </c>
      <c r="D193" s="39" t="str">
        <f>'Raw Name Splitter'!D193</f>
        <v/>
      </c>
      <c r="E193" s="39" t="str">
        <f>'Raw Name Splitter'!E193</f>
        <v>Peat</v>
      </c>
      <c r="F193" s="39">
        <f>'Raw Name Splitter'!F193</f>
        <v>0</v>
      </c>
      <c r="H193" s="42"/>
      <c r="I193" s="42"/>
    </row>
    <row r="194" spans="1:9" x14ac:dyDescent="0.25">
      <c r="A194" s="39">
        <f t="shared" si="16"/>
        <v>176</v>
      </c>
      <c r="B194" s="39">
        <f t="shared" si="16"/>
        <v>176</v>
      </c>
      <c r="C194" s="39" t="str">
        <f>'Raw Name Splitter'!C194</f>
        <v>Jacob</v>
      </c>
      <c r="D194" s="39" t="str">
        <f>'Raw Name Splitter'!D194</f>
        <v/>
      </c>
      <c r="E194" s="39" t="str">
        <f>'Raw Name Splitter'!E194</f>
        <v>Petrin</v>
      </c>
      <c r="F194" s="39" t="str">
        <f>'Raw Name Splitter'!F194</f>
        <v>pee-trin</v>
      </c>
      <c r="H194" s="42"/>
      <c r="I194" s="42"/>
    </row>
    <row r="195" spans="1:9" x14ac:dyDescent="0.25">
      <c r="A195" s="39">
        <f t="shared" si="16"/>
        <v>177</v>
      </c>
      <c r="B195" s="39">
        <f t="shared" si="16"/>
        <v>177</v>
      </c>
      <c r="C195" s="39" t="str">
        <f>'Raw Name Splitter'!C195</f>
        <v>Wyatt</v>
      </c>
      <c r="D195" s="39" t="str">
        <f>'Raw Name Splitter'!D195</f>
        <v/>
      </c>
      <c r="E195" s="39" t="str">
        <f>'Raw Name Splitter'!E195</f>
        <v>Picard</v>
      </c>
      <c r="F195" s="39">
        <f>'Raw Name Splitter'!F195</f>
        <v>0</v>
      </c>
      <c r="H195" s="42"/>
      <c r="I195" s="42"/>
    </row>
    <row r="196" spans="1:9" x14ac:dyDescent="0.25">
      <c r="A196" s="39" t="s">
        <v>42</v>
      </c>
      <c r="B196" s="39" t="s">
        <v>42</v>
      </c>
      <c r="C196" s="39" t="str">
        <f>'Raw Name Splitter'!C196</f>
        <v>Gabrielle</v>
      </c>
      <c r="D196" s="39" t="str">
        <f>'Raw Name Splitter'!D196</f>
        <v/>
      </c>
      <c r="E196" s="39" t="str">
        <f>'Raw Name Splitter'!E196</f>
        <v>ier not walking program only</v>
      </c>
      <c r="F196" s="39">
        <f>'Raw Name Splitter'!F196</f>
        <v>0</v>
      </c>
      <c r="H196" s="42"/>
      <c r="I196" s="42"/>
    </row>
    <row r="197" spans="1:9" x14ac:dyDescent="0.25">
      <c r="A197" s="39">
        <f t="shared" si="16"/>
        <v>178</v>
      </c>
      <c r="B197" s="39">
        <f t="shared" si="16"/>
        <v>178</v>
      </c>
      <c r="C197" s="39" t="str">
        <f>'Raw Name Splitter'!C197</f>
        <v>Samantha</v>
      </c>
      <c r="D197" s="39" t="str">
        <f>'Raw Name Splitter'!D197</f>
        <v/>
      </c>
      <c r="E197" s="39" t="str">
        <f>'Raw Name Splitter'!E197</f>
        <v>Pomerantz</v>
      </c>
      <c r="F197" s="39" t="str">
        <f>'Raw Name Splitter'!F197</f>
        <v>Pom er antz</v>
      </c>
      <c r="H197" s="42"/>
      <c r="I197" s="42"/>
    </row>
    <row r="198" spans="1:9" x14ac:dyDescent="0.25">
      <c r="A198" s="39">
        <f t="shared" si="16"/>
        <v>179</v>
      </c>
      <c r="B198" s="39">
        <f t="shared" si="16"/>
        <v>179</v>
      </c>
      <c r="C198" s="39" t="str">
        <f>'Raw Name Splitter'!C198</f>
        <v>Shivani</v>
      </c>
      <c r="D198" s="39" t="str">
        <f>'Raw Name Splitter'!D198</f>
        <v/>
      </c>
      <c r="E198" s="39" t="str">
        <f>'Raw Name Splitter'!E198</f>
        <v>Poudyal</v>
      </c>
      <c r="F198" s="39" t="str">
        <f>'Raw Name Splitter'!F198</f>
        <v>shiv-ah-knee POW-Dell</v>
      </c>
      <c r="H198" s="42"/>
      <c r="I198" s="42"/>
    </row>
    <row r="199" spans="1:9" x14ac:dyDescent="0.25">
      <c r="A199" s="39">
        <f t="shared" ref="A199:B214" si="17">IF(ISTEXT(A198)=TRUE,IF(ISTEXT(A197)=TRUE,A196+1,A197+1),A198+1)</f>
        <v>180</v>
      </c>
      <c r="B199" s="39">
        <f t="shared" si="17"/>
        <v>180</v>
      </c>
      <c r="C199" s="39" t="str">
        <f>'Raw Name Splitter'!C199</f>
        <v>Ryan</v>
      </c>
      <c r="D199" s="39" t="str">
        <f>'Raw Name Splitter'!D199</f>
        <v/>
      </c>
      <c r="E199" s="39" t="str">
        <f>'Raw Name Splitter'!E199</f>
        <v>Pulpi</v>
      </c>
      <c r="F199" s="39" t="str">
        <f>'Raw Name Splitter'!F199</f>
        <v>Ryan pulpi</v>
      </c>
      <c r="H199" s="42"/>
      <c r="I199" s="42"/>
    </row>
    <row r="200" spans="1:9" x14ac:dyDescent="0.25">
      <c r="A200" s="39">
        <f t="shared" si="17"/>
        <v>181</v>
      </c>
      <c r="B200" s="39">
        <f t="shared" si="17"/>
        <v>181</v>
      </c>
      <c r="C200" s="39" t="str">
        <f>'Raw Name Splitter'!C200</f>
        <v>Jessica</v>
      </c>
      <c r="D200" s="39" t="str">
        <f>'Raw Name Splitter'!D200</f>
        <v/>
      </c>
      <c r="E200" s="39" t="str">
        <f>'Raw Name Splitter'!E200</f>
        <v>Rai</v>
      </c>
      <c r="F200" s="39" t="str">
        <f>'Raw Name Splitter'!F200</f>
        <v>Jessica r-eye</v>
      </c>
      <c r="H200" s="42"/>
      <c r="I200" s="42"/>
    </row>
    <row r="201" spans="1:9" x14ac:dyDescent="0.25">
      <c r="A201" s="39">
        <f t="shared" si="17"/>
        <v>182</v>
      </c>
      <c r="B201" s="39">
        <f t="shared" si="17"/>
        <v>182</v>
      </c>
      <c r="C201" s="39" t="str">
        <f>'Raw Name Splitter'!C201</f>
        <v>Ted</v>
      </c>
      <c r="D201" s="39" t="str">
        <f>'Raw Name Splitter'!D201</f>
        <v/>
      </c>
      <c r="E201" s="39" t="str">
        <f>'Raw Name Splitter'!E201</f>
        <v>Ravens</v>
      </c>
      <c r="F201" s="39">
        <f>'Raw Name Splitter'!F201</f>
        <v>0</v>
      </c>
      <c r="H201" s="42"/>
      <c r="I201" s="42"/>
    </row>
    <row r="202" spans="1:9" x14ac:dyDescent="0.25">
      <c r="A202" s="39">
        <f t="shared" si="17"/>
        <v>183</v>
      </c>
      <c r="B202" s="39">
        <f t="shared" si="17"/>
        <v>183</v>
      </c>
      <c r="C202" s="39" t="str">
        <f>'Raw Name Splitter'!C202</f>
        <v>Lucas</v>
      </c>
      <c r="D202" s="39" t="str">
        <f>'Raw Name Splitter'!D202</f>
        <v/>
      </c>
      <c r="E202" s="39" t="str">
        <f>'Raw Name Splitter'!E202</f>
        <v>Reis</v>
      </c>
      <c r="F202" s="39">
        <f>'Raw Name Splitter'!F202</f>
        <v>0</v>
      </c>
      <c r="H202" s="42"/>
      <c r="I202" s="42"/>
    </row>
    <row r="203" spans="1:9" x14ac:dyDescent="0.25">
      <c r="A203" s="39">
        <f t="shared" si="17"/>
        <v>184</v>
      </c>
      <c r="B203" s="39">
        <f t="shared" si="17"/>
        <v>184</v>
      </c>
      <c r="C203" s="39" t="str">
        <f>'Raw Name Splitter'!C203</f>
        <v>Olivia</v>
      </c>
      <c r="D203" s="39" t="str">
        <f>'Raw Name Splitter'!D203</f>
        <v/>
      </c>
      <c r="E203" s="39" t="str">
        <f>'Raw Name Splitter'!E203</f>
        <v>Renda</v>
      </c>
      <c r="F203" s="39">
        <f>'Raw Name Splitter'!F203</f>
        <v>0</v>
      </c>
      <c r="H203" s="42"/>
      <c r="I203" s="42"/>
    </row>
    <row r="204" spans="1:9" x14ac:dyDescent="0.25">
      <c r="A204" s="39">
        <f t="shared" si="17"/>
        <v>185</v>
      </c>
      <c r="B204" s="39">
        <f t="shared" si="17"/>
        <v>185</v>
      </c>
      <c r="C204" s="39" t="str">
        <f>'Raw Name Splitter'!C204</f>
        <v>Jessica</v>
      </c>
      <c r="D204" s="39" t="str">
        <f>'Raw Name Splitter'!D204</f>
        <v/>
      </c>
      <c r="E204" s="39" t="str">
        <f>'Raw Name Splitter'!E204</f>
        <v>Richter</v>
      </c>
      <c r="F204" s="39" t="str">
        <f>'Raw Name Splitter'!F204</f>
        <v>Rick-ter or /ˈrɪktər/</v>
      </c>
      <c r="H204" s="42"/>
      <c r="I204" s="42"/>
    </row>
    <row r="205" spans="1:9" x14ac:dyDescent="0.25">
      <c r="A205" s="39">
        <f t="shared" si="17"/>
        <v>186</v>
      </c>
      <c r="B205" s="39">
        <f t="shared" si="17"/>
        <v>186</v>
      </c>
      <c r="C205" s="39" t="str">
        <f>'Raw Name Splitter'!C205</f>
        <v>Charlotte</v>
      </c>
      <c r="D205" s="39" t="str">
        <f>'Raw Name Splitter'!D205</f>
        <v/>
      </c>
      <c r="E205" s="39" t="str">
        <f>'Raw Name Splitter'!E205</f>
        <v>Robichaud</v>
      </c>
      <c r="F205" s="39" t="str">
        <f>'Raw Name Splitter'!F205</f>
        <v>Shar-lit Row-bih-shawd</v>
      </c>
      <c r="H205" s="42"/>
      <c r="I205" s="42"/>
    </row>
    <row r="206" spans="1:9" x14ac:dyDescent="0.25">
      <c r="A206" s="39">
        <f t="shared" si="17"/>
        <v>187</v>
      </c>
      <c r="B206" s="39">
        <f t="shared" si="17"/>
        <v>187</v>
      </c>
      <c r="C206" s="39" t="str">
        <f>'Raw Name Splitter'!C206</f>
        <v>Derek</v>
      </c>
      <c r="D206" s="39" t="str">
        <f>'Raw Name Splitter'!D206</f>
        <v/>
      </c>
      <c r="E206" s="39" t="str">
        <f>'Raw Name Splitter'!E206</f>
        <v>Robillard</v>
      </c>
      <c r="F206" s="39">
        <f>'Raw Name Splitter'!F206</f>
        <v>0</v>
      </c>
      <c r="H206" s="42"/>
      <c r="I206" s="42"/>
    </row>
    <row r="207" spans="1:9" x14ac:dyDescent="0.25">
      <c r="A207" s="39">
        <f t="shared" si="17"/>
        <v>188</v>
      </c>
      <c r="B207" s="39">
        <f t="shared" si="17"/>
        <v>188</v>
      </c>
      <c r="C207" s="39" t="str">
        <f>'Raw Name Splitter'!C207</f>
        <v>Isaac</v>
      </c>
      <c r="D207" s="39" t="str">
        <f>'Raw Name Splitter'!D207</f>
        <v/>
      </c>
      <c r="E207" s="39" t="str">
        <f>'Raw Name Splitter'!E207</f>
        <v>Robinson</v>
      </c>
      <c r="F207" s="39">
        <f>'Raw Name Splitter'!F207</f>
        <v>0</v>
      </c>
      <c r="H207" s="42"/>
      <c r="I207" s="42"/>
    </row>
    <row r="208" spans="1:9" x14ac:dyDescent="0.25">
      <c r="A208" s="39">
        <f t="shared" si="17"/>
        <v>189</v>
      </c>
      <c r="B208" s="39">
        <f t="shared" si="17"/>
        <v>189</v>
      </c>
      <c r="C208" s="39" t="str">
        <f>'Raw Name Splitter'!C208</f>
        <v>Teresa</v>
      </c>
      <c r="D208" s="39" t="str">
        <f>'Raw Name Splitter'!D208</f>
        <v/>
      </c>
      <c r="E208" s="39" t="str">
        <f>'Raw Name Splitter'!E208</f>
        <v>Rock</v>
      </c>
      <c r="F208" s="39">
        <f>'Raw Name Splitter'!F208</f>
        <v>0</v>
      </c>
      <c r="H208" s="42"/>
      <c r="I208" s="42"/>
    </row>
    <row r="209" spans="1:9" x14ac:dyDescent="0.25">
      <c r="A209" s="39">
        <f t="shared" si="17"/>
        <v>190</v>
      </c>
      <c r="B209" s="39">
        <f t="shared" si="17"/>
        <v>190</v>
      </c>
      <c r="C209" s="39" t="str">
        <f>'Raw Name Splitter'!C209</f>
        <v>James</v>
      </c>
      <c r="D209" s="39" t="str">
        <f>'Raw Name Splitter'!D209</f>
        <v/>
      </c>
      <c r="E209" s="39" t="str">
        <f>'Raw Name Splitter'!E209</f>
        <v>Rodrigues</v>
      </c>
      <c r="F209" s="39">
        <f>'Raw Name Splitter'!F209</f>
        <v>0</v>
      </c>
      <c r="H209" s="42"/>
      <c r="I209" s="42"/>
    </row>
    <row r="210" spans="1:9" x14ac:dyDescent="0.25">
      <c r="A210" s="39">
        <f t="shared" si="17"/>
        <v>191</v>
      </c>
      <c r="B210" s="39">
        <f t="shared" si="17"/>
        <v>191</v>
      </c>
      <c r="C210" s="39" t="str">
        <f>'Raw Name Splitter'!C210</f>
        <v>Luke</v>
      </c>
      <c r="D210" s="39" t="str">
        <f>'Raw Name Splitter'!D210</f>
        <v/>
      </c>
      <c r="E210" s="39" t="str">
        <f>'Raw Name Splitter'!E210</f>
        <v>Rogerson</v>
      </c>
      <c r="F210" s="39">
        <f>'Raw Name Splitter'!F210</f>
        <v>0</v>
      </c>
      <c r="H210" s="42"/>
      <c r="I210" s="42"/>
    </row>
    <row r="211" spans="1:9" x14ac:dyDescent="0.25">
      <c r="A211" s="39">
        <f t="shared" si="17"/>
        <v>192</v>
      </c>
      <c r="B211" s="39">
        <f t="shared" si="17"/>
        <v>192</v>
      </c>
      <c r="C211" s="39" t="str">
        <f>'Raw Name Splitter'!C211</f>
        <v>Javian</v>
      </c>
      <c r="D211" s="39" t="str">
        <f>'Raw Name Splitter'!D211</f>
        <v/>
      </c>
      <c r="E211" s="39" t="str">
        <f>'Raw Name Splitter'!E211</f>
        <v>Rojas</v>
      </c>
      <c r="F211" s="39" t="str">
        <f>'Raw Name Splitter'!F211</f>
        <v>Jay-vi-en Ro-haws</v>
      </c>
      <c r="H211" s="42"/>
      <c r="I211" s="42"/>
    </row>
    <row r="212" spans="1:9" x14ac:dyDescent="0.25">
      <c r="A212" s="39">
        <f t="shared" si="17"/>
        <v>193</v>
      </c>
      <c r="B212" s="39">
        <f t="shared" si="17"/>
        <v>193</v>
      </c>
      <c r="C212" s="39" t="str">
        <f>'Raw Name Splitter'!C212</f>
        <v>Ellie</v>
      </c>
      <c r="D212" s="39" t="str">
        <f>'Raw Name Splitter'!D212</f>
        <v/>
      </c>
      <c r="E212" s="39" t="str">
        <f>'Raw Name Splitter'!E212</f>
        <v>Russo</v>
      </c>
      <c r="F212" s="39">
        <f>'Raw Name Splitter'!F212</f>
        <v>0</v>
      </c>
      <c r="H212" s="42"/>
      <c r="I212" s="42"/>
    </row>
    <row r="213" spans="1:9" x14ac:dyDescent="0.25">
      <c r="A213" s="39">
        <f t="shared" si="17"/>
        <v>194</v>
      </c>
      <c r="B213" s="39">
        <f t="shared" si="17"/>
        <v>194</v>
      </c>
      <c r="C213" s="39" t="str">
        <f>'Raw Name Splitter'!C213</f>
        <v>Rejon</v>
      </c>
      <c r="D213" s="39" t="str">
        <f>'Raw Name Splitter'!D213</f>
        <v/>
      </c>
      <c r="E213" s="39" t="str">
        <f>'Raw Name Splitter'!E213</f>
        <v>Ryland</v>
      </c>
      <c r="F213" s="39" t="str">
        <f>'Raw Name Splitter'!F213</f>
        <v>ray-john  R-eye-land</v>
      </c>
      <c r="H213" s="42"/>
      <c r="I213" s="42"/>
    </row>
    <row r="214" spans="1:9" x14ac:dyDescent="0.25">
      <c r="A214" s="39">
        <f t="shared" si="17"/>
        <v>195</v>
      </c>
      <c r="B214" s="39">
        <f t="shared" si="17"/>
        <v>195</v>
      </c>
      <c r="C214" s="39" t="str">
        <f>'Raw Name Splitter'!C214</f>
        <v>Lorenzo</v>
      </c>
      <c r="D214" s="39" t="str">
        <f>'Raw Name Splitter'!D214</f>
        <v/>
      </c>
      <c r="E214" s="39" t="str">
        <f>'Raw Name Splitter'!E214</f>
        <v>Sardinha</v>
      </c>
      <c r="F214" s="39" t="str">
        <f>'Raw Name Splitter'!F214</f>
        <v>loh-REN-zoh sar-DEEN-yah (the nh sounds like “ny”)</v>
      </c>
      <c r="H214" s="42"/>
      <c r="I214" s="42"/>
    </row>
    <row r="215" spans="1:9" x14ac:dyDescent="0.25">
      <c r="A215" s="39">
        <f t="shared" ref="A215:B230" si="18">IF(ISTEXT(A214)=TRUE,IF(ISTEXT(A213)=TRUE,A212+1,A213+1),A214+1)</f>
        <v>196</v>
      </c>
      <c r="B215" s="39">
        <f t="shared" si="18"/>
        <v>196</v>
      </c>
      <c r="C215" s="39" t="str">
        <f>'Raw Name Splitter'!C215</f>
        <v>Noah</v>
      </c>
      <c r="D215" s="39" t="str">
        <f>'Raw Name Splitter'!D215</f>
        <v/>
      </c>
      <c r="E215" s="39" t="str">
        <f>'Raw Name Splitter'!E215</f>
        <v>Sarre</v>
      </c>
      <c r="F215" s="39" t="str">
        <f>'Raw Name Splitter'!F215</f>
        <v>Sarre (rhymes with car)</v>
      </c>
      <c r="H215" s="42"/>
      <c r="I215" s="42"/>
    </row>
    <row r="216" spans="1:9" x14ac:dyDescent="0.25">
      <c r="A216" s="39">
        <f t="shared" si="18"/>
        <v>197</v>
      </c>
      <c r="B216" s="39">
        <f t="shared" si="18"/>
        <v>197</v>
      </c>
      <c r="C216" s="39" t="str">
        <f>'Raw Name Splitter'!C216</f>
        <v>Katherine</v>
      </c>
      <c r="D216" s="39" t="str">
        <f>'Raw Name Splitter'!D216</f>
        <v/>
      </c>
      <c r="E216" s="39" t="str">
        <f>'Raw Name Splitter'!E216</f>
        <v>Savio</v>
      </c>
      <c r="F216" s="39">
        <f>'Raw Name Splitter'!F216</f>
        <v>0</v>
      </c>
      <c r="H216" s="42"/>
      <c r="I216" s="42"/>
    </row>
    <row r="217" spans="1:9" x14ac:dyDescent="0.25">
      <c r="A217" s="39">
        <f t="shared" si="18"/>
        <v>198</v>
      </c>
      <c r="B217" s="39">
        <f t="shared" si="18"/>
        <v>198</v>
      </c>
      <c r="C217" s="39" t="str">
        <f>'Raw Name Splitter'!C217</f>
        <v>Megan</v>
      </c>
      <c r="D217" s="39" t="str">
        <f>'Raw Name Splitter'!D217</f>
        <v/>
      </c>
      <c r="E217" s="39" t="str">
        <f>'Raw Name Splitter'!E217</f>
        <v>Scales</v>
      </c>
      <c r="F217" s="39">
        <f>'Raw Name Splitter'!F217</f>
        <v>0</v>
      </c>
      <c r="H217" s="42"/>
      <c r="I217" s="42"/>
    </row>
    <row r="218" spans="1:9" x14ac:dyDescent="0.25">
      <c r="A218" s="39">
        <f t="shared" si="18"/>
        <v>199</v>
      </c>
      <c r="B218" s="39">
        <f t="shared" si="18"/>
        <v>199</v>
      </c>
      <c r="C218" s="39" t="str">
        <f>'Raw Name Splitter'!C218</f>
        <v>Sophie</v>
      </c>
      <c r="D218" s="39" t="str">
        <f>'Raw Name Splitter'!D218</f>
        <v/>
      </c>
      <c r="E218" s="39" t="str">
        <f>'Raw Name Splitter'!E218</f>
        <v>Schrager</v>
      </c>
      <c r="F218" s="39" t="str">
        <f>'Raw Name Splitter'!F218</f>
        <v>Soh-fee Shray-ger</v>
      </c>
      <c r="H218" s="42"/>
      <c r="I218" s="42"/>
    </row>
    <row r="219" spans="1:9" x14ac:dyDescent="0.25">
      <c r="A219" s="39">
        <f t="shared" si="18"/>
        <v>200</v>
      </c>
      <c r="B219" s="39">
        <f t="shared" si="18"/>
        <v>200</v>
      </c>
      <c r="C219" s="39" t="str">
        <f>'Raw Name Splitter'!C219</f>
        <v>Rylie</v>
      </c>
      <c r="D219" s="39" t="str">
        <f>'Raw Name Splitter'!D219</f>
        <v/>
      </c>
      <c r="E219" s="39" t="str">
        <f>'Raw Name Splitter'!E219</f>
        <v>Schultz</v>
      </c>
      <c r="F219" s="39">
        <f>'Raw Name Splitter'!F219</f>
        <v>0</v>
      </c>
      <c r="H219" s="42"/>
      <c r="I219" s="42"/>
    </row>
    <row r="220" spans="1:9" x14ac:dyDescent="0.25">
      <c r="A220" s="39">
        <f t="shared" si="18"/>
        <v>201</v>
      </c>
      <c r="B220" s="39">
        <f t="shared" si="18"/>
        <v>201</v>
      </c>
      <c r="C220" s="39" t="str">
        <f>'Raw Name Splitter'!C220</f>
        <v>Madeline</v>
      </c>
      <c r="D220" s="39" t="str">
        <f>'Raw Name Splitter'!D220</f>
        <v/>
      </c>
      <c r="E220" s="39" t="str">
        <f>'Raw Name Splitter'!E220</f>
        <v>Scully</v>
      </c>
      <c r="F220" s="39">
        <f>'Raw Name Splitter'!F220</f>
        <v>0</v>
      </c>
      <c r="H220" s="42"/>
      <c r="I220" s="42"/>
    </row>
    <row r="221" spans="1:9" x14ac:dyDescent="0.25">
      <c r="A221" s="39">
        <f t="shared" si="18"/>
        <v>202</v>
      </c>
      <c r="B221" s="39">
        <f t="shared" si="18"/>
        <v>202</v>
      </c>
      <c r="C221" s="39" t="str">
        <f>'Raw Name Splitter'!C221</f>
        <v>Sachi</v>
      </c>
      <c r="D221" s="39" t="str">
        <f>'Raw Name Splitter'!D221</f>
        <v/>
      </c>
      <c r="E221" s="39" t="str">
        <f>'Raw Name Splitter'!E221</f>
        <v>Selvakumar</v>
      </c>
      <c r="F221" s="39" t="str">
        <f>'Raw Name Splitter'!F221</f>
        <v>Sachi (Sa-Chee) Selvakumar (Selva-koomar)</v>
      </c>
      <c r="H221" s="42"/>
      <c r="I221" s="42"/>
    </row>
    <row r="222" spans="1:9" x14ac:dyDescent="0.25">
      <c r="A222" s="39">
        <f t="shared" si="18"/>
        <v>203</v>
      </c>
      <c r="B222" s="39">
        <f t="shared" si="18"/>
        <v>203</v>
      </c>
      <c r="C222" s="39" t="str">
        <f>'Raw Name Splitter'!C222</f>
        <v>Katie</v>
      </c>
      <c r="D222" s="39" t="str">
        <f>'Raw Name Splitter'!D222</f>
        <v/>
      </c>
      <c r="E222" s="39" t="str">
        <f>'Raw Name Splitter'!E222</f>
        <v>Severance</v>
      </c>
      <c r="F222" s="39">
        <f>'Raw Name Splitter'!F222</f>
        <v>0</v>
      </c>
      <c r="H222" s="42"/>
      <c r="I222" s="42"/>
    </row>
    <row r="223" spans="1:9" x14ac:dyDescent="0.25">
      <c r="A223" s="39">
        <f t="shared" si="18"/>
        <v>204</v>
      </c>
      <c r="B223" s="39">
        <f t="shared" si="18"/>
        <v>204</v>
      </c>
      <c r="C223" s="39" t="str">
        <f>'Raw Name Splitter'!C223</f>
        <v>Annabelle</v>
      </c>
      <c r="D223" s="39" t="str">
        <f>'Raw Name Splitter'!D223</f>
        <v/>
      </c>
      <c r="E223" s="39" t="str">
        <f>'Raw Name Splitter'!E223</f>
        <v>Shanley</v>
      </c>
      <c r="F223" s="39">
        <f>'Raw Name Splitter'!F223</f>
        <v>0</v>
      </c>
      <c r="H223" s="42"/>
      <c r="I223" s="42"/>
    </row>
    <row r="224" spans="1:9" x14ac:dyDescent="0.25">
      <c r="A224" s="39">
        <f t="shared" si="18"/>
        <v>205</v>
      </c>
      <c r="B224" s="39">
        <f t="shared" si="18"/>
        <v>205</v>
      </c>
      <c r="C224" s="39" t="str">
        <f>'Raw Name Splitter'!C224</f>
        <v>Emme</v>
      </c>
      <c r="D224" s="39" t="str">
        <f>'Raw Name Splitter'!D224</f>
        <v/>
      </c>
      <c r="E224" s="39" t="str">
        <f>'Raw Name Splitter'!E224</f>
        <v>Shediac</v>
      </c>
      <c r="F224" s="39" t="str">
        <f>'Raw Name Splitter'!F224</f>
        <v>Em-ee Shed-ee-ack</v>
      </c>
      <c r="H224" s="42"/>
      <c r="I224" s="42"/>
    </row>
    <row r="225" spans="1:9" x14ac:dyDescent="0.25">
      <c r="A225" s="39">
        <f t="shared" si="18"/>
        <v>206</v>
      </c>
      <c r="B225" s="39">
        <f t="shared" si="18"/>
        <v>206</v>
      </c>
      <c r="C225" s="39" t="str">
        <f>'Raw Name Splitter'!C225</f>
        <v>Allison</v>
      </c>
      <c r="D225" s="39" t="str">
        <f>'Raw Name Splitter'!D225</f>
        <v>Claire</v>
      </c>
      <c r="E225" s="39" t="str">
        <f>'Raw Name Splitter'!E225</f>
        <v>Shindelman</v>
      </c>
      <c r="F225" s="39">
        <f>'Raw Name Splitter'!F225</f>
        <v>0</v>
      </c>
      <c r="H225" s="42"/>
      <c r="I225" s="42"/>
    </row>
    <row r="226" spans="1:9" x14ac:dyDescent="0.25">
      <c r="A226" s="39">
        <f t="shared" si="18"/>
        <v>207</v>
      </c>
      <c r="B226" s="39">
        <f t="shared" si="18"/>
        <v>207</v>
      </c>
      <c r="C226" s="39" t="str">
        <f>'Raw Name Splitter'!C226</f>
        <v>John</v>
      </c>
      <c r="D226" s="39" t="str">
        <f>'Raw Name Splitter'!D226</f>
        <v>Paul</v>
      </c>
      <c r="E226" s="39" t="str">
        <f>'Raw Name Splitter'!E226</f>
        <v>Siciliano</v>
      </c>
      <c r="F226" s="39" t="str">
        <f>'Raw Name Splitter'!F226</f>
        <v xml:space="preserve">Sih silly ano </v>
      </c>
      <c r="H226" s="42"/>
      <c r="I226" s="42"/>
    </row>
    <row r="227" spans="1:9" x14ac:dyDescent="0.25">
      <c r="A227" s="39">
        <f t="shared" si="18"/>
        <v>208</v>
      </c>
      <c r="B227" s="39">
        <f t="shared" si="18"/>
        <v>208</v>
      </c>
      <c r="C227" s="39" t="str">
        <f>'Raw Name Splitter'!C227</f>
        <v>Owen</v>
      </c>
      <c r="D227" s="39" t="str">
        <f>'Raw Name Splitter'!D227</f>
        <v/>
      </c>
      <c r="E227" s="39" t="str">
        <f>'Raw Name Splitter'!E227</f>
        <v>Sinclair</v>
      </c>
      <c r="F227" s="39">
        <f>'Raw Name Splitter'!F227</f>
        <v>0</v>
      </c>
      <c r="H227" s="42"/>
      <c r="I227" s="42"/>
    </row>
    <row r="228" spans="1:9" x14ac:dyDescent="0.25">
      <c r="A228" s="39">
        <f t="shared" si="18"/>
        <v>209</v>
      </c>
      <c r="B228" s="39">
        <f t="shared" si="18"/>
        <v>209</v>
      </c>
      <c r="C228" s="39" t="str">
        <f>'Raw Name Splitter'!C228</f>
        <v>Sierra</v>
      </c>
      <c r="D228" s="39" t="str">
        <f>'Raw Name Splitter'!D228</f>
        <v/>
      </c>
      <c r="E228" s="39" t="str">
        <f>'Raw Name Splitter'!E228</f>
        <v>Skenderian</v>
      </c>
      <c r="F228" s="39" t="str">
        <f>'Raw Name Splitter'!F228</f>
        <v>Skin-dare-eee-n</v>
      </c>
      <c r="H228" s="42"/>
      <c r="I228" s="42"/>
    </row>
    <row r="229" spans="1:9" x14ac:dyDescent="0.25">
      <c r="A229" s="39">
        <f t="shared" si="18"/>
        <v>210</v>
      </c>
      <c r="B229" s="39">
        <f t="shared" si="18"/>
        <v>210</v>
      </c>
      <c r="C229" s="39" t="str">
        <f>'Raw Name Splitter'!C229</f>
        <v>John</v>
      </c>
      <c r="D229" s="39" t="str">
        <f>'Raw Name Splitter'!D229</f>
        <v/>
      </c>
      <c r="E229" s="39" t="str">
        <f>'Raw Name Splitter'!E229</f>
        <v>Slinn</v>
      </c>
      <c r="F229" s="39" t="str">
        <f>'Raw Name Splitter'!F229</f>
        <v>John Slinn</v>
      </c>
      <c r="H229" s="42"/>
      <c r="I229" s="42"/>
    </row>
    <row r="230" spans="1:9" x14ac:dyDescent="0.25">
      <c r="A230" s="39">
        <f t="shared" si="18"/>
        <v>211</v>
      </c>
      <c r="B230" s="39">
        <f t="shared" si="18"/>
        <v>211</v>
      </c>
      <c r="C230" s="39" t="str">
        <f>'Raw Name Splitter'!C230</f>
        <v>Julia</v>
      </c>
      <c r="D230" s="39" t="str">
        <f>'Raw Name Splitter'!D230</f>
        <v/>
      </c>
      <c r="E230" s="39" t="str">
        <f>'Raw Name Splitter'!E230</f>
        <v>Smith</v>
      </c>
      <c r="F230" s="39">
        <f>'Raw Name Splitter'!F230</f>
        <v>0</v>
      </c>
      <c r="H230" s="42"/>
      <c r="I230" s="42"/>
    </row>
    <row r="231" spans="1:9" x14ac:dyDescent="0.25">
      <c r="A231" s="39">
        <f t="shared" ref="A231:B246" si="19">IF(ISTEXT(A230)=TRUE,IF(ISTEXT(A229)=TRUE,A228+1,A229+1),A230+1)</f>
        <v>212</v>
      </c>
      <c r="B231" s="39">
        <f t="shared" si="19"/>
        <v>212</v>
      </c>
      <c r="C231" s="39" t="str">
        <f>'Raw Name Splitter'!C231</f>
        <v>Noah</v>
      </c>
      <c r="D231" s="39" t="str">
        <f>'Raw Name Splitter'!D231</f>
        <v/>
      </c>
      <c r="E231" s="39" t="str">
        <f>'Raw Name Splitter'!E231</f>
        <v>Snyder</v>
      </c>
      <c r="F231" s="39">
        <f>'Raw Name Splitter'!F231</f>
        <v>0</v>
      </c>
      <c r="H231" s="42"/>
      <c r="I231" s="42"/>
    </row>
    <row r="232" spans="1:9" x14ac:dyDescent="0.25">
      <c r="A232" s="39">
        <f t="shared" si="19"/>
        <v>213</v>
      </c>
      <c r="B232" s="39">
        <f t="shared" si="19"/>
        <v>213</v>
      </c>
      <c r="C232" s="39" t="str">
        <f>'Raw Name Splitter'!C232</f>
        <v>Aaron</v>
      </c>
      <c r="D232" s="39" t="str">
        <f>'Raw Name Splitter'!D232</f>
        <v>Sylvan</v>
      </c>
      <c r="E232" s="39" t="str">
        <f>'Raw Name Splitter'!E232</f>
        <v>Soto</v>
      </c>
      <c r="F232" s="39" t="str">
        <f>'Raw Name Splitter'!F232</f>
        <v>For middle name: Sill-ven</v>
      </c>
      <c r="H232" s="42"/>
      <c r="I232" s="42"/>
    </row>
    <row r="233" spans="1:9" x14ac:dyDescent="0.25">
      <c r="A233" s="39">
        <f t="shared" si="19"/>
        <v>214</v>
      </c>
      <c r="B233" s="39">
        <f t="shared" si="19"/>
        <v>214</v>
      </c>
      <c r="C233" s="39" t="str">
        <f>'Raw Name Splitter'!C233</f>
        <v>Andrew</v>
      </c>
      <c r="D233" s="39" t="str">
        <f>'Raw Name Splitter'!D233</f>
        <v/>
      </c>
      <c r="E233" s="39" t="str">
        <f>'Raw Name Splitter'!E233</f>
        <v>Spencer</v>
      </c>
      <c r="F233" s="39">
        <f>'Raw Name Splitter'!F233</f>
        <v>0</v>
      </c>
      <c r="H233" s="42"/>
      <c r="I233" s="42"/>
    </row>
    <row r="234" spans="1:9" x14ac:dyDescent="0.25">
      <c r="A234" s="39">
        <f t="shared" si="19"/>
        <v>215</v>
      </c>
      <c r="B234" s="39">
        <f t="shared" si="19"/>
        <v>215</v>
      </c>
      <c r="C234" s="39" t="str">
        <f>'Raw Name Splitter'!C234</f>
        <v>Elias</v>
      </c>
      <c r="D234" s="39" t="str">
        <f>'Raw Name Splitter'!D234</f>
        <v/>
      </c>
      <c r="E234" s="39" t="str">
        <f>'Raw Name Splitter'!E234</f>
        <v>Speros</v>
      </c>
      <c r="F234" s="39">
        <f>'Raw Name Splitter'!F234</f>
        <v>0</v>
      </c>
      <c r="H234" s="42"/>
      <c r="I234" s="42"/>
    </row>
    <row r="235" spans="1:9" x14ac:dyDescent="0.25">
      <c r="A235" s="39">
        <f t="shared" si="19"/>
        <v>216</v>
      </c>
      <c r="B235" s="39">
        <f t="shared" si="19"/>
        <v>216</v>
      </c>
      <c r="C235" s="39" t="str">
        <f>'Raw Name Splitter'!C235</f>
        <v>Ava</v>
      </c>
      <c r="D235" s="39" t="str">
        <f>'Raw Name Splitter'!D235</f>
        <v/>
      </c>
      <c r="E235" s="39" t="str">
        <f>'Raw Name Splitter'!E235</f>
        <v>Spinazzola</v>
      </c>
      <c r="F235" s="39">
        <f>'Raw Name Splitter'!F235</f>
        <v>0</v>
      </c>
      <c r="H235" s="42"/>
      <c r="I235" s="42"/>
    </row>
    <row r="236" spans="1:9" x14ac:dyDescent="0.25">
      <c r="A236" s="39">
        <f t="shared" si="19"/>
        <v>217</v>
      </c>
      <c r="B236" s="39">
        <f t="shared" si="19"/>
        <v>217</v>
      </c>
      <c r="C236" s="39" t="str">
        <f>'Raw Name Splitter'!C236</f>
        <v>Ava</v>
      </c>
      <c r="D236" s="39" t="str">
        <f>'Raw Name Splitter'!D236</f>
        <v/>
      </c>
      <c r="E236" s="39" t="str">
        <f>'Raw Name Splitter'!E236</f>
        <v>Staffier</v>
      </c>
      <c r="F236" s="39" t="str">
        <f>'Raw Name Splitter'!F236</f>
        <v>Ay-va Staff-ee-r</v>
      </c>
      <c r="H236" s="42"/>
      <c r="I236" s="42"/>
    </row>
    <row r="237" spans="1:9" x14ac:dyDescent="0.25">
      <c r="A237" s="39" t="s">
        <v>39</v>
      </c>
      <c r="B237" s="39" t="s">
        <v>39</v>
      </c>
      <c r="C237" s="39" t="str">
        <f>'Raw Name Splitter'!C237</f>
        <v>Thomas</v>
      </c>
      <c r="D237" s="39" t="str">
        <f>'Raw Name Splitter'!D237</f>
        <v/>
      </c>
      <c r="E237" s="39" t="str">
        <f>'Raw Name Splitter'!E237</f>
        <v>Stathoulopoulos</v>
      </c>
      <c r="F237" s="39" t="str">
        <f>'Raw Name Splitter'!F237</f>
        <v>Thomas Stath-oh-lop-oh-lus</v>
      </c>
      <c r="H237" s="42"/>
      <c r="I237" s="42"/>
    </row>
    <row r="238" spans="1:9" x14ac:dyDescent="0.25">
      <c r="A238" s="39">
        <f t="shared" si="19"/>
        <v>218</v>
      </c>
      <c r="B238" s="39">
        <f t="shared" si="19"/>
        <v>218</v>
      </c>
      <c r="C238" s="39" t="str">
        <f>'Raw Name Splitter'!C238</f>
        <v>Charlie</v>
      </c>
      <c r="D238" s="39" t="str">
        <f>'Raw Name Splitter'!D238</f>
        <v/>
      </c>
      <c r="E238" s="39" t="str">
        <f>'Raw Name Splitter'!E238</f>
        <v>Studley</v>
      </c>
      <c r="F238" s="39">
        <f>'Raw Name Splitter'!F238</f>
        <v>0</v>
      </c>
      <c r="H238" s="42"/>
      <c r="I238" s="42"/>
    </row>
    <row r="239" spans="1:9" x14ac:dyDescent="0.25">
      <c r="A239" s="39">
        <f t="shared" si="19"/>
        <v>219</v>
      </c>
      <c r="B239" s="39">
        <f t="shared" si="19"/>
        <v>219</v>
      </c>
      <c r="C239" s="39" t="str">
        <f>'Raw Name Splitter'!C239</f>
        <v>Nolan</v>
      </c>
      <c r="D239" s="39" t="str">
        <f>'Raw Name Splitter'!D239</f>
        <v/>
      </c>
      <c r="E239" s="39" t="str">
        <f>'Raw Name Splitter'!E239</f>
        <v>Sullivan</v>
      </c>
      <c r="F239" s="39" t="str">
        <f>'Raw Name Splitter'!F239</f>
        <v>Nolan Sullivan</v>
      </c>
      <c r="H239" s="42"/>
      <c r="I239" s="42"/>
    </row>
    <row r="240" spans="1:9" x14ac:dyDescent="0.25">
      <c r="A240" s="39">
        <f t="shared" si="19"/>
        <v>220</v>
      </c>
      <c r="B240" s="39">
        <f t="shared" si="19"/>
        <v>220</v>
      </c>
      <c r="C240" s="39" t="str">
        <f>'Raw Name Splitter'!C240</f>
        <v>Sabrina</v>
      </c>
      <c r="D240" s="39" t="str">
        <f>'Raw Name Splitter'!D240</f>
        <v/>
      </c>
      <c r="E240" s="39" t="str">
        <f>'Raw Name Splitter'!E240</f>
        <v>Sweat</v>
      </c>
      <c r="F240" s="39">
        <f>'Raw Name Splitter'!F240</f>
        <v>0</v>
      </c>
      <c r="H240" s="42"/>
      <c r="I240" s="42"/>
    </row>
    <row r="241" spans="1:9" x14ac:dyDescent="0.25">
      <c r="A241" s="39">
        <f t="shared" si="19"/>
        <v>221</v>
      </c>
      <c r="B241" s="39">
        <f t="shared" si="19"/>
        <v>221</v>
      </c>
      <c r="C241" s="39" t="str">
        <f>'Raw Name Splitter'!C241</f>
        <v>Brooklynne</v>
      </c>
      <c r="D241" s="39" t="str">
        <f>'Raw Name Splitter'!D241</f>
        <v/>
      </c>
      <c r="E241" s="39" t="str">
        <f>'Raw Name Splitter'!E241</f>
        <v>Tartarini</v>
      </c>
      <c r="F241" s="39">
        <f>'Raw Name Splitter'!F241</f>
        <v>0</v>
      </c>
      <c r="H241" s="42"/>
      <c r="I241" s="42"/>
    </row>
    <row r="242" spans="1:9" x14ac:dyDescent="0.25">
      <c r="A242" s="39">
        <f t="shared" si="19"/>
        <v>222</v>
      </c>
      <c r="B242" s="39">
        <f t="shared" si="19"/>
        <v>222</v>
      </c>
      <c r="C242" s="39" t="str">
        <f>'Raw Name Splitter'!C242</f>
        <v>Nina</v>
      </c>
      <c r="D242" s="39" t="str">
        <f>'Raw Name Splitter'!D242</f>
        <v/>
      </c>
      <c r="E242" s="39" t="str">
        <f>'Raw Name Splitter'!E242</f>
        <v>Taubman</v>
      </c>
      <c r="F242" s="39" t="str">
        <f>'Raw Name Splitter'!F242</f>
        <v>Ta-ow-b-man</v>
      </c>
      <c r="H242" s="42"/>
      <c r="I242" s="42"/>
    </row>
    <row r="243" spans="1:9" x14ac:dyDescent="0.25">
      <c r="A243" s="39">
        <f t="shared" si="19"/>
        <v>223</v>
      </c>
      <c r="B243" s="39">
        <f t="shared" si="19"/>
        <v>223</v>
      </c>
      <c r="C243" s="39" t="str">
        <f>'Raw Name Splitter'!C243</f>
        <v>Natalie</v>
      </c>
      <c r="D243" s="39" t="str">
        <f>'Raw Name Splitter'!D243</f>
        <v/>
      </c>
      <c r="E243" s="39" t="str">
        <f>'Raw Name Splitter'!E243</f>
        <v>Tawadros</v>
      </c>
      <c r="F243" s="39" t="str">
        <f>'Raw Name Splitter'!F243</f>
        <v>na-tah-lee ta-wa-dros</v>
      </c>
      <c r="H243" s="42"/>
      <c r="I243" s="42"/>
    </row>
    <row r="244" spans="1:9" x14ac:dyDescent="0.25">
      <c r="A244" s="39">
        <f t="shared" si="19"/>
        <v>224</v>
      </c>
      <c r="B244" s="39">
        <f t="shared" si="19"/>
        <v>224</v>
      </c>
      <c r="C244" s="39" t="str">
        <f>'Raw Name Splitter'!C244</f>
        <v>Samantha</v>
      </c>
      <c r="D244" s="39" t="str">
        <f>'Raw Name Splitter'!D244</f>
        <v/>
      </c>
      <c r="E244" s="39" t="str">
        <f>'Raw Name Splitter'!E244</f>
        <v>Toomey</v>
      </c>
      <c r="F244" s="39" t="str">
        <f>'Raw Name Splitter'!F244</f>
        <v xml:space="preserve">Samantha Toomey </v>
      </c>
      <c r="H244" s="42"/>
      <c r="I244" s="42"/>
    </row>
    <row r="245" spans="1:9" x14ac:dyDescent="0.25">
      <c r="A245" s="39">
        <f t="shared" si="19"/>
        <v>225</v>
      </c>
      <c r="B245" s="39">
        <f t="shared" si="19"/>
        <v>225</v>
      </c>
      <c r="C245" s="39" t="str">
        <f>'Raw Name Splitter'!C245</f>
        <v>Alyson</v>
      </c>
      <c r="D245" s="39" t="str">
        <f>'Raw Name Splitter'!D245</f>
        <v/>
      </c>
      <c r="E245" s="39" t="str">
        <f>'Raw Name Splitter'!E245</f>
        <v>Torrens</v>
      </c>
      <c r="F245" s="39">
        <f>'Raw Name Splitter'!F245</f>
        <v>0</v>
      </c>
      <c r="H245" s="42"/>
      <c r="I245" s="42"/>
    </row>
    <row r="246" spans="1:9" x14ac:dyDescent="0.25">
      <c r="A246" s="39">
        <f t="shared" si="19"/>
        <v>226</v>
      </c>
      <c r="B246" s="39">
        <f t="shared" si="19"/>
        <v>226</v>
      </c>
      <c r="C246" s="39" t="str">
        <f>'Raw Name Splitter'!C246</f>
        <v>Franklin</v>
      </c>
      <c r="D246" s="39" t="str">
        <f>'Raw Name Splitter'!D246</f>
        <v/>
      </c>
      <c r="E246" s="39" t="str">
        <f>'Raw Name Splitter'!E246</f>
        <v>Travassos</v>
      </c>
      <c r="F246" s="39" t="str">
        <f>'Raw Name Splitter'!F246</f>
        <v>Tra va sos</v>
      </c>
      <c r="H246" s="42"/>
      <c r="I246" s="42"/>
    </row>
    <row r="247" spans="1:9" x14ac:dyDescent="0.25">
      <c r="A247" s="39">
        <f t="shared" ref="A247:B262" si="20">IF(ISTEXT(A246)=TRUE,IF(ISTEXT(A245)=TRUE,A244+1,A245+1),A246+1)</f>
        <v>227</v>
      </c>
      <c r="B247" s="39">
        <f t="shared" si="20"/>
        <v>227</v>
      </c>
      <c r="C247" s="39" t="str">
        <f>'Raw Name Splitter'!C247</f>
        <v>Meredith</v>
      </c>
      <c r="D247" s="39" t="str">
        <f>'Raw Name Splitter'!D247</f>
        <v>Lynne</v>
      </c>
      <c r="E247" s="39" t="str">
        <f>'Raw Name Splitter'!E247</f>
        <v>Upton</v>
      </c>
      <c r="F247" s="39" t="str">
        <f>'Raw Name Splitter'!F247</f>
        <v>Mare-uh-dith UP-Tin</v>
      </c>
      <c r="H247" s="42"/>
      <c r="I247" s="42"/>
    </row>
    <row r="248" spans="1:9" x14ac:dyDescent="0.25">
      <c r="A248" s="39">
        <f t="shared" si="20"/>
        <v>228</v>
      </c>
      <c r="B248" s="39">
        <f t="shared" si="20"/>
        <v>228</v>
      </c>
      <c r="C248" s="39" t="str">
        <f>'Raw Name Splitter'!C248</f>
        <v>Andrew</v>
      </c>
      <c r="D248" s="39" t="str">
        <f>'Raw Name Splitter'!D248</f>
        <v>Jacob</v>
      </c>
      <c r="E248" s="39" t="str">
        <f>'Raw Name Splitter'!E248</f>
        <v>Valentin</v>
      </c>
      <c r="F248" s="39">
        <f>'Raw Name Splitter'!F248</f>
        <v>0</v>
      </c>
      <c r="H248" s="42"/>
      <c r="I248" s="42"/>
    </row>
    <row r="249" spans="1:9" x14ac:dyDescent="0.25">
      <c r="A249" s="39">
        <f t="shared" si="20"/>
        <v>229</v>
      </c>
      <c r="B249" s="39">
        <f t="shared" si="20"/>
        <v>229</v>
      </c>
      <c r="C249" s="39" t="str">
        <f>'Raw Name Splitter'!C249</f>
        <v>Colby</v>
      </c>
      <c r="E249" s="39" t="s">
        <v>472</v>
      </c>
      <c r="F249" s="39">
        <f>'Raw Name Splitter'!F249</f>
        <v>0</v>
      </c>
      <c r="H249" s="42"/>
      <c r="I249" s="42"/>
    </row>
    <row r="250" spans="1:9" x14ac:dyDescent="0.25">
      <c r="A250" s="39">
        <f t="shared" si="20"/>
        <v>230</v>
      </c>
      <c r="B250" s="39">
        <f t="shared" si="20"/>
        <v>230</v>
      </c>
      <c r="C250" s="39" t="str">
        <f>'Raw Name Splitter'!C250</f>
        <v>Katherine</v>
      </c>
      <c r="D250" s="39" t="str">
        <f>'Raw Name Splitter'!D250</f>
        <v>Anne</v>
      </c>
      <c r="E250" s="39" t="str">
        <f>'Raw Name Splitter'!E250</f>
        <v>Van Magness</v>
      </c>
      <c r="F250" s="39">
        <f>'Raw Name Splitter'!F250</f>
        <v>0</v>
      </c>
      <c r="H250" s="42"/>
      <c r="I250" s="42"/>
    </row>
    <row r="251" spans="1:9" x14ac:dyDescent="0.25">
      <c r="A251" s="39">
        <f t="shared" si="20"/>
        <v>231</v>
      </c>
      <c r="B251" s="39">
        <f t="shared" si="20"/>
        <v>231</v>
      </c>
      <c r="C251" s="39" t="str">
        <f>'Raw Name Splitter'!C251</f>
        <v>Justin</v>
      </c>
      <c r="D251" s="39" t="str">
        <f>'Raw Name Splitter'!D251</f>
        <v>Thomas</v>
      </c>
      <c r="E251" s="39" t="str">
        <f>'Raw Name Splitter'!E251</f>
        <v>Ventura</v>
      </c>
      <c r="F251" s="39">
        <f>'Raw Name Splitter'!F251</f>
        <v>0</v>
      </c>
      <c r="H251" s="42"/>
      <c r="I251" s="42"/>
    </row>
    <row r="252" spans="1:9" x14ac:dyDescent="0.25">
      <c r="A252" s="39">
        <f t="shared" si="20"/>
        <v>232</v>
      </c>
      <c r="B252" s="39">
        <f t="shared" si="20"/>
        <v>232</v>
      </c>
      <c r="C252" s="39" t="str">
        <f>'Raw Name Splitter'!C252</f>
        <v>Dario</v>
      </c>
      <c r="D252" s="39" t="str">
        <f>'Raw Name Splitter'!D252</f>
        <v/>
      </c>
      <c r="E252" s="39" t="str">
        <f>'Raw Name Splitter'!E252</f>
        <v>Viliott</v>
      </c>
      <c r="F252" s="39" t="str">
        <f>'Raw Name Splitter'!F252</f>
        <v>Dario Vil-e-ott</v>
      </c>
      <c r="H252" s="42"/>
      <c r="I252" s="42"/>
    </row>
    <row r="253" spans="1:9" x14ac:dyDescent="0.25">
      <c r="A253" s="39">
        <f t="shared" si="20"/>
        <v>233</v>
      </c>
      <c r="B253" s="39">
        <f t="shared" si="20"/>
        <v>233</v>
      </c>
      <c r="C253" s="39" t="str">
        <f>'Raw Name Splitter'!C253</f>
        <v>Nathan</v>
      </c>
      <c r="D253" s="39" t="str">
        <f>'Raw Name Splitter'!D253</f>
        <v/>
      </c>
      <c r="E253" s="39" t="str">
        <f>'Raw Name Splitter'!E253</f>
        <v>Vitarisi</v>
      </c>
      <c r="F253" s="39" t="str">
        <f>'Raw Name Splitter'!F253</f>
        <v>Vit-er-eesee</v>
      </c>
      <c r="H253" s="42"/>
      <c r="I253" s="42"/>
    </row>
    <row r="254" spans="1:9" x14ac:dyDescent="0.25">
      <c r="A254" s="39" t="s">
        <v>40</v>
      </c>
      <c r="B254" s="39" t="s">
        <v>40</v>
      </c>
      <c r="C254" s="39" t="str">
        <f>'Raw Name Splitter'!C254</f>
        <v>Cara</v>
      </c>
      <c r="D254" s="39" t="str">
        <f>'Raw Name Splitter'!D254</f>
        <v/>
      </c>
      <c r="E254" s="39" t="str">
        <f>'Raw Name Splitter'!E254</f>
        <v>Vitarisi</v>
      </c>
      <c r="F254" s="39">
        <f>'Raw Name Splitter'!F254</f>
        <v>0</v>
      </c>
      <c r="H254" s="42"/>
      <c r="I254" s="42"/>
    </row>
    <row r="255" spans="1:9" x14ac:dyDescent="0.25">
      <c r="A255" s="39" t="s">
        <v>33</v>
      </c>
      <c r="B255" s="39" t="s">
        <v>33</v>
      </c>
      <c r="C255" s="39" t="str">
        <f>'Raw Name Splitter'!C255</f>
        <v>Jason</v>
      </c>
      <c r="D255" s="39" t="str">
        <f>'Raw Name Splitter'!D255</f>
        <v/>
      </c>
      <c r="E255" s="39" t="str">
        <f>'Raw Name Splitter'!E255</f>
        <v>Walsh</v>
      </c>
      <c r="F255" s="39">
        <f>'Raw Name Splitter'!F255</f>
        <v>0</v>
      </c>
      <c r="H255" s="42"/>
      <c r="I255" s="42"/>
    </row>
    <row r="256" spans="1:9" x14ac:dyDescent="0.25">
      <c r="A256" s="39">
        <f t="shared" si="20"/>
        <v>234</v>
      </c>
      <c r="B256" s="39">
        <f t="shared" si="20"/>
        <v>234</v>
      </c>
      <c r="C256" s="39" t="str">
        <f>'Raw Name Splitter'!C256</f>
        <v>Jacob</v>
      </c>
      <c r="D256" s="39" t="str">
        <f>'Raw Name Splitter'!D256</f>
        <v>Michael</v>
      </c>
      <c r="E256" s="39" t="str">
        <f>'Raw Name Splitter'!E256</f>
        <v>Ward</v>
      </c>
      <c r="F256" s="39">
        <f>'Raw Name Splitter'!F256</f>
        <v>0</v>
      </c>
      <c r="H256" s="42"/>
      <c r="I256" s="42"/>
    </row>
    <row r="257" spans="1:9" x14ac:dyDescent="0.25">
      <c r="A257" s="39">
        <f t="shared" si="20"/>
        <v>235</v>
      </c>
      <c r="B257" s="39">
        <f t="shared" si="20"/>
        <v>235</v>
      </c>
      <c r="C257" s="39" t="str">
        <f>'Raw Name Splitter'!C257</f>
        <v>Kyle</v>
      </c>
      <c r="D257" s="39" t="str">
        <f>'Raw Name Splitter'!D257</f>
        <v/>
      </c>
      <c r="E257" s="39" t="str">
        <f>'Raw Name Splitter'!E257</f>
        <v>Weaver</v>
      </c>
      <c r="F257" s="39">
        <f>'Raw Name Splitter'!F257</f>
        <v>0</v>
      </c>
      <c r="H257" s="42"/>
      <c r="I257" s="42"/>
    </row>
    <row r="258" spans="1:9" x14ac:dyDescent="0.25">
      <c r="A258" s="39">
        <f t="shared" si="20"/>
        <v>236</v>
      </c>
      <c r="B258" s="39">
        <f t="shared" si="20"/>
        <v>236</v>
      </c>
      <c r="C258" s="39" t="str">
        <f>'Raw Name Splitter'!C258</f>
        <v>Tess</v>
      </c>
      <c r="D258" s="39" t="str">
        <f>'Raw Name Splitter'!D258</f>
        <v/>
      </c>
      <c r="E258" s="39" t="str">
        <f>'Raw Name Splitter'!E258</f>
        <v>Weaver</v>
      </c>
      <c r="F258" s="39">
        <f>'Raw Name Splitter'!F258</f>
        <v>0</v>
      </c>
      <c r="H258" s="42"/>
      <c r="I258" s="42"/>
    </row>
    <row r="259" spans="1:9" x14ac:dyDescent="0.25">
      <c r="A259" s="39">
        <f t="shared" si="20"/>
        <v>237</v>
      </c>
      <c r="B259" s="39">
        <f t="shared" si="20"/>
        <v>237</v>
      </c>
      <c r="C259" s="39" t="str">
        <f>'Raw Name Splitter'!C259</f>
        <v>Leah</v>
      </c>
      <c r="D259" s="39" t="str">
        <f>'Raw Name Splitter'!D259</f>
        <v/>
      </c>
      <c r="E259" s="39" t="str">
        <f>'Raw Name Splitter'!E259</f>
        <v>Weber</v>
      </c>
      <c r="F259" s="39">
        <f>'Raw Name Splitter'!F259</f>
        <v>0</v>
      </c>
      <c r="H259" s="42"/>
      <c r="I259" s="42"/>
    </row>
    <row r="260" spans="1:9" x14ac:dyDescent="0.25">
      <c r="A260" s="39">
        <f t="shared" si="20"/>
        <v>238</v>
      </c>
      <c r="B260" s="39">
        <f t="shared" si="20"/>
        <v>238</v>
      </c>
      <c r="C260" s="39" t="str">
        <f>'Raw Name Splitter'!C260</f>
        <v>Emma</v>
      </c>
      <c r="D260" s="39" t="str">
        <f>'Raw Name Splitter'!D260</f>
        <v/>
      </c>
      <c r="E260" s="39" t="str">
        <f>'Raw Name Splitter'!E260</f>
        <v>White</v>
      </c>
      <c r="F260" s="39">
        <f>'Raw Name Splitter'!F260</f>
        <v>0</v>
      </c>
      <c r="H260" s="42"/>
      <c r="I260" s="42"/>
    </row>
    <row r="261" spans="1:9" x14ac:dyDescent="0.25">
      <c r="A261" s="39">
        <f t="shared" si="20"/>
        <v>239</v>
      </c>
      <c r="B261" s="39">
        <f t="shared" si="20"/>
        <v>239</v>
      </c>
      <c r="C261" s="39" t="str">
        <f>'Raw Name Splitter'!C261</f>
        <v>John</v>
      </c>
      <c r="D261" s="39" t="str">
        <f>'Raw Name Splitter'!D261</f>
        <v/>
      </c>
      <c r="E261" s="39" t="str">
        <f>'Raw Name Splitter'!E261</f>
        <v>Wiggins</v>
      </c>
      <c r="F261" s="39">
        <f>'Raw Name Splitter'!F261</f>
        <v>0</v>
      </c>
      <c r="H261" s="42"/>
      <c r="I261" s="42"/>
    </row>
    <row r="262" spans="1:9" x14ac:dyDescent="0.25">
      <c r="A262" s="39">
        <f t="shared" si="20"/>
        <v>240</v>
      </c>
      <c r="B262" s="39">
        <f t="shared" si="20"/>
        <v>240</v>
      </c>
      <c r="C262" s="39" t="str">
        <f>'Raw Name Splitter'!C262</f>
        <v>Angela</v>
      </c>
      <c r="D262" s="39" t="str">
        <f>'Raw Name Splitter'!D262</f>
        <v/>
      </c>
      <c r="E262" s="39" t="str">
        <f>'Raw Name Splitter'!E262</f>
        <v>Wilder</v>
      </c>
      <c r="F262" s="39">
        <f>'Raw Name Splitter'!F262</f>
        <v>0</v>
      </c>
      <c r="H262" s="42"/>
      <c r="I262" s="42"/>
    </row>
    <row r="263" spans="1:9" x14ac:dyDescent="0.25">
      <c r="A263" s="39">
        <f t="shared" ref="A263:B269" si="21">IF(ISTEXT(A262)=TRUE,IF(ISTEXT(A261)=TRUE,A260+1,A261+1),A262+1)</f>
        <v>241</v>
      </c>
      <c r="B263" s="39">
        <f t="shared" si="21"/>
        <v>241</v>
      </c>
      <c r="C263" s="39" t="str">
        <f>'Raw Name Splitter'!C263</f>
        <v>Aidan</v>
      </c>
      <c r="D263" s="39" t="str">
        <f>'Raw Name Splitter'!D263</f>
        <v>Auddie</v>
      </c>
      <c r="E263" s="39" t="str">
        <f>'Raw Name Splitter'!E263</f>
        <v>Williams</v>
      </c>
      <c r="F263" s="39" t="str">
        <f>'Raw Name Splitter'!F263</f>
        <v>Auddie(Awd-ie)</v>
      </c>
      <c r="H263" s="42"/>
      <c r="I263" s="42"/>
    </row>
    <row r="264" spans="1:9" x14ac:dyDescent="0.25">
      <c r="A264" s="39" t="s">
        <v>32</v>
      </c>
      <c r="B264" s="39" t="s">
        <v>32</v>
      </c>
      <c r="C264" s="39" t="str">
        <f>'Raw Name Splitter'!C264</f>
        <v>Jessica</v>
      </c>
      <c r="D264" s="39" t="str">
        <f>'Raw Name Splitter'!D264</f>
        <v/>
      </c>
      <c r="E264" s="39" t="str">
        <f>'Raw Name Splitter'!E264</f>
        <v>Wong</v>
      </c>
      <c r="F264" s="39">
        <f>'Raw Name Splitter'!F264</f>
        <v>0</v>
      </c>
      <c r="H264" s="42"/>
      <c r="I264" s="42"/>
    </row>
    <row r="265" spans="1:9" x14ac:dyDescent="0.25">
      <c r="A265" s="39">
        <f t="shared" si="21"/>
        <v>242</v>
      </c>
      <c r="B265" s="39">
        <f t="shared" si="21"/>
        <v>242</v>
      </c>
      <c r="C265" s="39" t="str">
        <f>'Raw Name Splitter'!C265</f>
        <v>Jamari</v>
      </c>
      <c r="D265" s="39" t="str">
        <f>'Raw Name Splitter'!D265</f>
        <v/>
      </c>
      <c r="E265" s="39" t="str">
        <f>'Raw Name Splitter'!E265</f>
        <v>Wright</v>
      </c>
      <c r="F265" s="39">
        <f>'Raw Name Splitter'!F265</f>
        <v>0</v>
      </c>
      <c r="H265" s="42"/>
      <c r="I265" s="42"/>
    </row>
    <row r="266" spans="1:9" x14ac:dyDescent="0.25">
      <c r="A266" s="39">
        <f t="shared" si="21"/>
        <v>243</v>
      </c>
      <c r="B266" s="39">
        <f t="shared" si="21"/>
        <v>243</v>
      </c>
      <c r="C266" s="39" t="str">
        <f>'Raw Name Splitter'!C266</f>
        <v>Jared</v>
      </c>
      <c r="D266" s="39" t="str">
        <f>'Raw Name Splitter'!D266</f>
        <v/>
      </c>
      <c r="E266" s="39" t="str">
        <f>'Raw Name Splitter'!E266</f>
        <v>Wright</v>
      </c>
      <c r="F266" s="39">
        <f>'Raw Name Splitter'!F266</f>
        <v>0</v>
      </c>
    </row>
    <row r="267" spans="1:9" x14ac:dyDescent="0.25">
      <c r="A267" s="39">
        <f t="shared" si="21"/>
        <v>244</v>
      </c>
      <c r="B267" s="39">
        <f t="shared" si="21"/>
        <v>244</v>
      </c>
      <c r="C267" s="39" t="str">
        <f>'Raw Name Splitter'!C267</f>
        <v>Quinn</v>
      </c>
      <c r="D267" s="39" t="str">
        <f>'Raw Name Splitter'!D267</f>
        <v/>
      </c>
      <c r="E267" s="39" t="str">
        <f>'Raw Name Splitter'!E267</f>
        <v>Yandle</v>
      </c>
      <c r="F267" s="39">
        <f>'Raw Name Splitter'!F267</f>
        <v>0</v>
      </c>
    </row>
    <row r="268" spans="1:9" x14ac:dyDescent="0.25">
      <c r="A268" s="39">
        <f t="shared" si="21"/>
        <v>245</v>
      </c>
      <c r="B268" s="39">
        <f t="shared" si="21"/>
        <v>245</v>
      </c>
      <c r="C268" s="39" t="str">
        <f>'Raw Name Splitter'!C268</f>
        <v>John</v>
      </c>
      <c r="D268" s="39" t="str">
        <f>'Raw Name Splitter'!D268</f>
        <v/>
      </c>
      <c r="E268" s="39" t="str">
        <f>'Raw Name Splitter'!E268</f>
        <v>Zani</v>
      </c>
      <c r="F268" s="39" t="str">
        <f>'Raw Name Splitter'!F268</f>
        <v>John ZAH-nee</v>
      </c>
    </row>
    <row r="269" spans="1:9" x14ac:dyDescent="0.25">
      <c r="A269" s="39">
        <f t="shared" si="21"/>
        <v>246</v>
      </c>
      <c r="B269" s="39">
        <f t="shared" si="21"/>
        <v>246</v>
      </c>
      <c r="C269" s="39" t="str">
        <f>'Raw Name Splitter'!C269</f>
        <v>Jiayu</v>
      </c>
      <c r="D269" s="39" t="str">
        <f>'Raw Name Splitter'!D269</f>
        <v/>
      </c>
      <c r="E269" s="39" t="str">
        <f>'Raw Name Splitter'!E269</f>
        <v>Zheng</v>
      </c>
      <c r="F269" s="39" t="str">
        <f>'Raw Name Splitter'!F269</f>
        <v>jah-yoo Jung</v>
      </c>
    </row>
    <row r="270" spans="1:9" x14ac:dyDescent="0.25">
      <c r="A270" s="39" t="s">
        <v>87</v>
      </c>
      <c r="B270" s="39" t="s">
        <v>87</v>
      </c>
      <c r="C270" s="39" t="s">
        <v>461</v>
      </c>
      <c r="E270" s="39" t="s">
        <v>461</v>
      </c>
      <c r="F270" s="39" t="s">
        <v>461</v>
      </c>
    </row>
  </sheetData>
  <phoneticPr fontId="3" type="noConversion"/>
  <pageMargins left="0.75" right="0.75" top="1" bottom="1" header="0.5" footer="0.5"/>
  <pageSetup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L290"/>
  <sheetViews>
    <sheetView zoomScale="50" workbookViewId="0">
      <pane ySplit="1" topLeftCell="A225" activePane="bottomLeft" state="frozen"/>
      <selection pane="bottomLeft" activeCell="C265" sqref="C265"/>
    </sheetView>
  </sheetViews>
  <sheetFormatPr defaultRowHeight="18" x14ac:dyDescent="0.25"/>
  <cols>
    <col min="1" max="3" width="21.85546875" style="6" customWidth="1"/>
    <col min="4" max="4" width="21.85546875" style="7" customWidth="1"/>
    <col min="5" max="5" width="21.85546875" style="6" customWidth="1"/>
    <col min="6" max="6" width="21.85546875" style="8" customWidth="1"/>
    <col min="7" max="7" width="21.85546875" style="6" customWidth="1"/>
    <col min="8" max="9" width="21.85546875" style="1" customWidth="1"/>
    <col min="12" max="12" width="55" style="1" customWidth="1"/>
  </cols>
  <sheetData>
    <row r="1" spans="1:12" s="3" customFormat="1" ht="18.75" thickBot="1" x14ac:dyDescent="0.3">
      <c r="A1" s="4" t="s">
        <v>43</v>
      </c>
      <c r="B1" s="4" t="s">
        <v>44</v>
      </c>
      <c r="C1" s="4" t="s">
        <v>45</v>
      </c>
      <c r="D1" s="9" t="s">
        <v>46</v>
      </c>
      <c r="E1" s="4" t="s">
        <v>44</v>
      </c>
      <c r="F1" s="5" t="s">
        <v>45</v>
      </c>
      <c r="G1" s="4" t="s">
        <v>93</v>
      </c>
      <c r="H1" s="2" t="s">
        <v>20</v>
      </c>
      <c r="I1" s="2" t="s">
        <v>18</v>
      </c>
      <c r="K1" s="38" t="s">
        <v>29</v>
      </c>
      <c r="L1" s="1"/>
    </row>
    <row r="2" spans="1:12" ht="18.75" thickTop="1" x14ac:dyDescent="0.25">
      <c r="A2" s="7" t="s">
        <v>47</v>
      </c>
      <c r="B2" s="6" t="s">
        <v>47</v>
      </c>
      <c r="C2" s="8">
        <v>1</v>
      </c>
      <c r="D2" s="7" t="s">
        <v>47</v>
      </c>
      <c r="E2" s="6" t="s">
        <v>47</v>
      </c>
      <c r="F2" s="8" t="s">
        <v>89</v>
      </c>
      <c r="G2" s="6">
        <f>VLOOKUP(J2,'Names with Seat Code'!A:I,9,FALSE)</f>
        <v>0</v>
      </c>
      <c r="H2" s="1" t="str">
        <f>VLOOKUP(J2,'Names with Seat Code'!A:E,5,FALSE)</f>
        <v>Borawski</v>
      </c>
      <c r="I2" s="1" t="str">
        <f>VLOOKUP(J2,'Names with Seat Code'!A:E,3,FALSE)</f>
        <v>Amelia</v>
      </c>
      <c r="J2" s="22" t="s">
        <v>30</v>
      </c>
      <c r="K2" t="str">
        <f>VLOOKUP(J2,'Names with Seat Code'!A:E,4,FALSE)</f>
        <v>Jane</v>
      </c>
      <c r="L2" s="1">
        <f>VLOOKUP(J2,'Names with Seat Code'!A:F,6,FALSE)</f>
        <v>0</v>
      </c>
    </row>
    <row r="3" spans="1:12" x14ac:dyDescent="0.25">
      <c r="A3" s="7" t="s">
        <v>47</v>
      </c>
      <c r="B3" s="6" t="s">
        <v>47</v>
      </c>
      <c r="C3" s="8">
        <v>1</v>
      </c>
      <c r="D3" s="7" t="s">
        <v>47</v>
      </c>
      <c r="E3" s="6" t="s">
        <v>47</v>
      </c>
      <c r="F3" s="8" t="s">
        <v>87</v>
      </c>
      <c r="G3" s="6">
        <f>VLOOKUP(J3,'Names with Seat Code'!A:I,9,FALSE)</f>
        <v>0</v>
      </c>
      <c r="H3" s="1" t="str">
        <f>VLOOKUP(J3,'Names with Seat Code'!A:E,5,FALSE)</f>
        <v>-</v>
      </c>
      <c r="I3" s="1" t="str">
        <f>VLOOKUP(J3,'Names with Seat Code'!A:E,3,FALSE)</f>
        <v>-</v>
      </c>
      <c r="J3" s="22" t="s">
        <v>87</v>
      </c>
    </row>
    <row r="4" spans="1:12" x14ac:dyDescent="0.25">
      <c r="A4" s="7" t="s">
        <v>47</v>
      </c>
      <c r="B4" s="6" t="s">
        <v>47</v>
      </c>
      <c r="C4" s="8">
        <v>2</v>
      </c>
      <c r="D4" s="7" t="s">
        <v>47</v>
      </c>
      <c r="E4" s="6" t="s">
        <v>47</v>
      </c>
      <c r="F4" s="8" t="s">
        <v>31</v>
      </c>
      <c r="G4" s="6">
        <f>VLOOKUP(J4,'Names with Seat Code'!A:I,9,FALSE)</f>
        <v>0</v>
      </c>
      <c r="H4" s="1" t="str">
        <f>VLOOKUP(J4,'Names with Seat Code'!A:E,5,FALSE)</f>
        <v>Boyko</v>
      </c>
      <c r="I4" s="1" t="str">
        <f>VLOOKUP(J4,'Names with Seat Code'!A:E,3,FALSE)</f>
        <v>Indigo</v>
      </c>
      <c r="J4" s="23" t="s">
        <v>31</v>
      </c>
      <c r="K4" t="str">
        <f>VLOOKUP(J4,'Names with Seat Code'!A:E,4,FALSE)</f>
        <v/>
      </c>
      <c r="L4" s="1">
        <f>VLOOKUP(J4,'Names with Seat Code'!A:F,6,FALSE)</f>
        <v>0</v>
      </c>
    </row>
    <row r="5" spans="1:12" x14ac:dyDescent="0.25">
      <c r="A5" s="7" t="s">
        <v>47</v>
      </c>
      <c r="B5" s="6" t="s">
        <v>47</v>
      </c>
      <c r="C5" s="8">
        <v>3</v>
      </c>
      <c r="D5" s="7" t="s">
        <v>47</v>
      </c>
      <c r="E5" s="6" t="s">
        <v>47</v>
      </c>
      <c r="F5" s="8" t="s">
        <v>33</v>
      </c>
      <c r="G5" s="6">
        <f>VLOOKUP(J5,'Names with Seat Code'!A:I,9,FALSE)</f>
        <v>0</v>
      </c>
      <c r="H5" s="1" t="str">
        <f>VLOOKUP(J5,'Names with Seat Code'!A:E,5,FALSE)</f>
        <v>Walsh</v>
      </c>
      <c r="I5" s="1" t="str">
        <f>VLOOKUP(J5,'Names with Seat Code'!A:E,3,FALSE)</f>
        <v>Jason</v>
      </c>
      <c r="J5" t="s">
        <v>33</v>
      </c>
      <c r="K5" t="str">
        <f>VLOOKUP(J5,'Names with Seat Code'!A:E,4,FALSE)</f>
        <v/>
      </c>
      <c r="L5" s="1">
        <f>VLOOKUP(J5,'Names with Seat Code'!A:F,6,FALSE)</f>
        <v>0</v>
      </c>
    </row>
    <row r="6" spans="1:12" ht="18.75" thickBot="1" x14ac:dyDescent="0.3">
      <c r="A6" s="9" t="s">
        <v>47</v>
      </c>
      <c r="B6" s="4" t="s">
        <v>47</v>
      </c>
      <c r="C6" s="5">
        <v>4</v>
      </c>
      <c r="D6" s="9" t="s">
        <v>47</v>
      </c>
      <c r="E6" s="4" t="s">
        <v>47</v>
      </c>
      <c r="F6" s="5" t="s">
        <v>32</v>
      </c>
      <c r="G6" s="6">
        <f>VLOOKUP(J6,'Names with Seat Code'!A:I,9,FALSE)</f>
        <v>0</v>
      </c>
      <c r="H6" s="1" t="str">
        <f>VLOOKUP(J6,'Names with Seat Code'!A:E,5,FALSE)</f>
        <v>Wong</v>
      </c>
      <c r="I6" s="1" t="str">
        <f>VLOOKUP(J6,'Names with Seat Code'!A:E,3,FALSE)</f>
        <v>Jessica</v>
      </c>
      <c r="J6" t="s">
        <v>32</v>
      </c>
      <c r="K6" t="str">
        <f>VLOOKUP(J6,'Names with Seat Code'!A:E,4,FALSE)</f>
        <v/>
      </c>
      <c r="L6" s="1">
        <f>VLOOKUP(J6,'Names with Seat Code'!A:F,6,FALSE)</f>
        <v>0</v>
      </c>
    </row>
    <row r="7" spans="1:12" ht="18.75" thickTop="1" x14ac:dyDescent="0.25">
      <c r="A7" s="6" t="s">
        <v>48</v>
      </c>
      <c r="B7" s="6" t="s">
        <v>49</v>
      </c>
      <c r="C7" s="6">
        <v>101</v>
      </c>
      <c r="D7" s="7" t="s">
        <v>50</v>
      </c>
      <c r="E7" s="6">
        <v>1</v>
      </c>
      <c r="F7" s="8">
        <v>1</v>
      </c>
      <c r="G7" s="6">
        <f>VLOOKUP(J7,'Names with Seat Code'!A:I,9,FALSE)</f>
        <v>0</v>
      </c>
      <c r="H7" s="1" t="str">
        <f>VLOOKUP(J7,'Names with Seat Code'!A:E,5,FALSE)</f>
        <v>Healy</v>
      </c>
      <c r="I7" s="1" t="str">
        <f>VLOOKUP(J7,'Names with Seat Code'!A:E,3,FALSE)</f>
        <v>Clara</v>
      </c>
      <c r="J7" t="s">
        <v>34</v>
      </c>
      <c r="K7" t="str">
        <f>VLOOKUP(J7,'Names with Seat Code'!A:E,4,FALSE)</f>
        <v/>
      </c>
      <c r="L7" s="1">
        <f>VLOOKUP(J7,'Names with Seat Code'!A:F,6,FALSE)</f>
        <v>0</v>
      </c>
    </row>
    <row r="8" spans="1:12" x14ac:dyDescent="0.25">
      <c r="A8" s="6" t="s">
        <v>48</v>
      </c>
      <c r="B8" s="6" t="s">
        <v>49</v>
      </c>
      <c r="C8" s="6">
        <v>102</v>
      </c>
      <c r="D8" s="7" t="s">
        <v>50</v>
      </c>
      <c r="E8" s="6">
        <v>1</v>
      </c>
      <c r="F8" s="8">
        <v>2</v>
      </c>
      <c r="G8" s="6">
        <f>VLOOKUP(J8,'Names with Seat Code'!A:I,9,FALSE)</f>
        <v>0</v>
      </c>
      <c r="H8" s="1" t="str">
        <f>VLOOKUP(J8,'Names with Seat Code'!A:E,5,FALSE)</f>
        <v>Hillery</v>
      </c>
      <c r="I8" s="1" t="str">
        <f>VLOOKUP(J8,'Names with Seat Code'!A:E,3,FALSE)</f>
        <v>Samuel</v>
      </c>
      <c r="J8" t="s">
        <v>35</v>
      </c>
      <c r="K8" t="str">
        <f>VLOOKUP(J8,'Names with Seat Code'!A:E,4,FALSE)</f>
        <v/>
      </c>
      <c r="L8" s="1">
        <f>VLOOKUP(J8,'Names with Seat Code'!A:F,6,FALSE)</f>
        <v>0</v>
      </c>
    </row>
    <row r="9" spans="1:12" x14ac:dyDescent="0.25">
      <c r="A9" s="6" t="s">
        <v>48</v>
      </c>
      <c r="B9" s="6" t="s">
        <v>49</v>
      </c>
      <c r="C9" s="6">
        <v>103</v>
      </c>
      <c r="D9" s="7" t="s">
        <v>50</v>
      </c>
      <c r="E9" s="6">
        <v>1</v>
      </c>
      <c r="F9" s="8">
        <v>3</v>
      </c>
      <c r="G9" s="6">
        <f>VLOOKUP(J9,'Names with Seat Code'!A:I,9,FALSE)</f>
        <v>0</v>
      </c>
      <c r="H9" s="1" t="str">
        <f>VLOOKUP(J9,'Names with Seat Code'!A:E,5,FALSE)</f>
        <v>Martin</v>
      </c>
      <c r="I9" s="1" t="str">
        <f>VLOOKUP(J9,'Names with Seat Code'!A:E,3,FALSE)</f>
        <v>Piper</v>
      </c>
      <c r="J9" t="s">
        <v>36</v>
      </c>
      <c r="K9" t="str">
        <f>VLOOKUP(J9,'Names with Seat Code'!A:E,4,FALSE)</f>
        <v/>
      </c>
      <c r="L9" s="1">
        <f>VLOOKUP(J9,'Names with Seat Code'!A:F,6,FALSE)</f>
        <v>0</v>
      </c>
    </row>
    <row r="10" spans="1:12" x14ac:dyDescent="0.25">
      <c r="A10" s="6" t="s">
        <v>48</v>
      </c>
      <c r="B10" s="6" t="s">
        <v>49</v>
      </c>
      <c r="C10" s="6">
        <v>104</v>
      </c>
      <c r="D10" s="7" t="s">
        <v>50</v>
      </c>
      <c r="E10" s="6">
        <v>1</v>
      </c>
      <c r="F10" s="8">
        <v>4</v>
      </c>
      <c r="G10" s="6">
        <f>VLOOKUP(J10,'Names with Seat Code'!A:I,9,FALSE)</f>
        <v>0</v>
      </c>
      <c r="H10" s="1" t="str">
        <f>VLOOKUP(J10,'Names with Seat Code'!A:E,5,FALSE)</f>
        <v>Mullin</v>
      </c>
      <c r="I10" s="1" t="str">
        <f>VLOOKUP(J10,'Names with Seat Code'!A:E,3,FALSE)</f>
        <v>Aidan</v>
      </c>
      <c r="J10" t="s">
        <v>37</v>
      </c>
      <c r="K10" t="str">
        <f>VLOOKUP(J10,'Names with Seat Code'!A:E,4,FALSE)</f>
        <v/>
      </c>
      <c r="L10" s="1" t="str">
        <f>VLOOKUP(J10,'Names with Seat Code'!A:F,6,FALSE)</f>
        <v>Aidan Mullin</v>
      </c>
    </row>
    <row r="11" spans="1:12" x14ac:dyDescent="0.25">
      <c r="A11" s="6" t="s">
        <v>48</v>
      </c>
      <c r="B11" s="6" t="s">
        <v>49</v>
      </c>
      <c r="C11" s="6">
        <v>105</v>
      </c>
      <c r="D11" s="7" t="s">
        <v>50</v>
      </c>
      <c r="E11" s="6">
        <v>1</v>
      </c>
      <c r="F11" s="8">
        <v>5</v>
      </c>
      <c r="G11" s="6">
        <f>VLOOKUP(J11,'Names with Seat Code'!A:I,9,FALSE)</f>
        <v>0</v>
      </c>
      <c r="H11" s="1" t="str">
        <f>VLOOKUP(J11,'Names with Seat Code'!A:E,5,FALSE)</f>
        <v>Nelson</v>
      </c>
      <c r="I11" s="1" t="str">
        <f>VLOOKUP(J11,'Names with Seat Code'!A:E,3,FALSE)</f>
        <v>Emma</v>
      </c>
      <c r="J11" t="s">
        <v>38</v>
      </c>
      <c r="K11" t="str">
        <f>VLOOKUP(J11,'Names with Seat Code'!A:E,4,FALSE)</f>
        <v>Elizabeth</v>
      </c>
      <c r="L11" s="1">
        <f>VLOOKUP(J11,'Names with Seat Code'!A:F,6,FALSE)</f>
        <v>0</v>
      </c>
    </row>
    <row r="12" spans="1:12" x14ac:dyDescent="0.25">
      <c r="A12" s="6" t="s">
        <v>48</v>
      </c>
      <c r="B12" s="6" t="s">
        <v>49</v>
      </c>
      <c r="C12" s="6">
        <v>106</v>
      </c>
      <c r="D12" s="7" t="s">
        <v>50</v>
      </c>
      <c r="E12" s="6">
        <v>1</v>
      </c>
      <c r="F12" s="8">
        <v>6</v>
      </c>
      <c r="G12" s="6">
        <f>VLOOKUP(J12,'Names with Seat Code'!A:I,9,FALSE)</f>
        <v>0</v>
      </c>
      <c r="H12" s="1" t="str">
        <f>VLOOKUP(J12,'Names with Seat Code'!A:E,5,FALSE)</f>
        <v>Stathoulopoulos</v>
      </c>
      <c r="I12" s="1" t="str">
        <f>VLOOKUP(J12,'Names with Seat Code'!A:E,3,FALSE)</f>
        <v>Thomas</v>
      </c>
      <c r="J12" t="s">
        <v>39</v>
      </c>
      <c r="K12" t="str">
        <f>VLOOKUP(J12,'Names with Seat Code'!A:E,4,FALSE)</f>
        <v/>
      </c>
      <c r="L12" s="1" t="str">
        <f>VLOOKUP(J12,'Names with Seat Code'!A:F,6,FALSE)</f>
        <v>Thomas Stath-oh-lop-oh-lus</v>
      </c>
    </row>
    <row r="13" spans="1:12" x14ac:dyDescent="0.25">
      <c r="A13" s="6" t="s">
        <v>48</v>
      </c>
      <c r="B13" s="6" t="s">
        <v>49</v>
      </c>
      <c r="C13" s="6">
        <v>107</v>
      </c>
      <c r="D13" s="7" t="s">
        <v>50</v>
      </c>
      <c r="E13" s="6">
        <v>1</v>
      </c>
      <c r="F13" s="8">
        <v>7</v>
      </c>
      <c r="G13" s="6">
        <f>VLOOKUP(J13,'Names with Seat Code'!A:I,9,FALSE)</f>
        <v>0</v>
      </c>
      <c r="H13" s="1" t="str">
        <f>VLOOKUP(J13,'Names with Seat Code'!A:E,5,FALSE)</f>
        <v>Vitarisi</v>
      </c>
      <c r="I13" s="1" t="str">
        <f>VLOOKUP(J13,'Names with Seat Code'!A:E,3,FALSE)</f>
        <v>Cara</v>
      </c>
      <c r="J13" t="s">
        <v>40</v>
      </c>
      <c r="K13" t="str">
        <f>VLOOKUP(J13,'Names with Seat Code'!A:E,4,FALSE)</f>
        <v/>
      </c>
      <c r="L13" s="1">
        <f>VLOOKUP(J13,'Names with Seat Code'!A:F,6,FALSE)</f>
        <v>0</v>
      </c>
    </row>
    <row r="14" spans="1:12" ht="18.75" thickBot="1" x14ac:dyDescent="0.3">
      <c r="A14" s="6" t="s">
        <v>48</v>
      </c>
      <c r="B14" s="6" t="s">
        <v>49</v>
      </c>
      <c r="C14" s="6">
        <v>108</v>
      </c>
      <c r="D14" s="7" t="s">
        <v>50</v>
      </c>
      <c r="E14" s="6">
        <v>1</v>
      </c>
      <c r="F14" s="8">
        <v>8</v>
      </c>
      <c r="G14" s="6">
        <f>VLOOKUP(J14,'Names with Seat Code'!A:I,9,FALSE)</f>
        <v>0</v>
      </c>
      <c r="H14" s="1" t="str">
        <f>VLOOKUP(J14,'Names with Seat Code'!A:E,5,FALSE)</f>
        <v>Abate</v>
      </c>
      <c r="I14" s="1" t="str">
        <f>VLOOKUP(J14,'Names with Seat Code'!A:E,3,FALSE)</f>
        <v>Jillian</v>
      </c>
      <c r="J14" s="3">
        <v>1</v>
      </c>
      <c r="K14" t="str">
        <f>VLOOKUP(J14,'Names with Seat Code'!A:E,4,FALSE)</f>
        <v>Kate</v>
      </c>
      <c r="L14" s="1" t="str">
        <f>VLOOKUP(J14,'Names with Seat Code'!A:F,6,FALSE)</f>
        <v>a-bod-ee</v>
      </c>
    </row>
    <row r="15" spans="1:12" ht="18.75" thickTop="1" x14ac:dyDescent="0.25">
      <c r="A15" s="6" t="s">
        <v>48</v>
      </c>
      <c r="B15" s="6" t="s">
        <v>49</v>
      </c>
      <c r="C15" s="6">
        <v>109</v>
      </c>
      <c r="D15" s="7" t="s">
        <v>50</v>
      </c>
      <c r="E15" s="6">
        <v>1</v>
      </c>
      <c r="F15" s="8">
        <v>9</v>
      </c>
      <c r="G15" s="6">
        <f>VLOOKUP(J15,'Names with Seat Code'!A:I,9,FALSE)</f>
        <v>0</v>
      </c>
      <c r="H15" s="1" t="str">
        <f>VLOOKUP(J15,'Names with Seat Code'!A:E,5,FALSE)</f>
        <v>Abrams</v>
      </c>
      <c r="I15" s="1" t="str">
        <f>VLOOKUP(J15,'Names with Seat Code'!A:E,3,FALSE)</f>
        <v>Logan</v>
      </c>
      <c r="J15">
        <v>2</v>
      </c>
      <c r="K15" t="str">
        <f>VLOOKUP(J15,'Names with Seat Code'!A:E,4,FALSE)</f>
        <v>Ford</v>
      </c>
    </row>
    <row r="16" spans="1:12" x14ac:dyDescent="0.25">
      <c r="A16" s="6" t="s">
        <v>48</v>
      </c>
      <c r="B16" s="6" t="s">
        <v>49</v>
      </c>
      <c r="C16" s="6">
        <v>110</v>
      </c>
      <c r="D16" s="7" t="s">
        <v>50</v>
      </c>
      <c r="E16" s="6">
        <v>1</v>
      </c>
      <c r="F16" s="8">
        <v>10</v>
      </c>
      <c r="G16" s="6">
        <f>VLOOKUP(J16,'Names with Seat Code'!A:I,9,FALSE)</f>
        <v>0</v>
      </c>
      <c r="H16" s="1" t="str">
        <f>VLOOKUP(J16,'Names with Seat Code'!A:E,5,FALSE)</f>
        <v>Abubakar</v>
      </c>
      <c r="I16" s="1" t="str">
        <f>VLOOKUP(J16,'Names with Seat Code'!A:E,3,FALSE)</f>
        <v>Raniya</v>
      </c>
      <c r="J16">
        <v>3</v>
      </c>
      <c r="K16" t="str">
        <f>VLOOKUP(J16,'Names with Seat Code'!A:E,4,FALSE)</f>
        <v/>
      </c>
    </row>
    <row r="17" spans="1:12" x14ac:dyDescent="0.25">
      <c r="A17" s="6" t="s">
        <v>48</v>
      </c>
      <c r="B17" s="6" t="s">
        <v>49</v>
      </c>
      <c r="C17" s="6">
        <v>111</v>
      </c>
      <c r="D17" s="7" t="s">
        <v>50</v>
      </c>
      <c r="E17" s="6">
        <v>1</v>
      </c>
      <c r="F17" s="8">
        <v>11</v>
      </c>
      <c r="G17" s="6">
        <f>VLOOKUP(J17,'Names with Seat Code'!A:I,9,FALSE)</f>
        <v>0</v>
      </c>
      <c r="H17" s="1" t="str">
        <f>VLOOKUP(J17,'Names with Seat Code'!A:E,5,FALSE)</f>
        <v>Aburto Campos</v>
      </c>
      <c r="I17" s="1" t="str">
        <f>VLOOKUP(J17,'Names with Seat Code'!A:E,3,FALSE)</f>
        <v>Luis</v>
      </c>
      <c r="J17">
        <v>4</v>
      </c>
      <c r="K17" t="str">
        <f>VLOOKUP(J17,'Names with Seat Code'!A:E,4,FALSE)</f>
        <v xml:space="preserve"> </v>
      </c>
    </row>
    <row r="18" spans="1:12" ht="18.75" thickBot="1" x14ac:dyDescent="0.3">
      <c r="A18" s="4" t="s">
        <v>48</v>
      </c>
      <c r="B18" s="4" t="s">
        <v>49</v>
      </c>
      <c r="C18" s="4">
        <v>112</v>
      </c>
      <c r="D18" s="9" t="s">
        <v>50</v>
      </c>
      <c r="E18" s="4">
        <v>1</v>
      </c>
      <c r="F18" s="5">
        <v>12</v>
      </c>
      <c r="G18" s="6">
        <f>VLOOKUP(J18,'Names with Seat Code'!A:I,9,FALSE)</f>
        <v>0</v>
      </c>
      <c r="H18" s="37" t="str">
        <f>VLOOKUP(J18,'Names with Seat Code'!A:E,5,FALSE)</f>
        <v>Ahlert</v>
      </c>
      <c r="I18" s="2" t="str">
        <f>VLOOKUP(J18,'Names with Seat Code'!A:E,3,FALSE)</f>
        <v>Devyn</v>
      </c>
      <c r="J18">
        <v>5</v>
      </c>
      <c r="K18" t="str">
        <f>VLOOKUP(J18,'Names with Seat Code'!A:E,4,FALSE)</f>
        <v/>
      </c>
      <c r="L18" s="1" t="str">
        <f>VLOOKUP(J18,'Names with Seat Code'!A:F,6,FALSE)</f>
        <v xml:space="preserve">Dev-in AL-ert </v>
      </c>
    </row>
    <row r="19" spans="1:12" ht="18.75" thickTop="1" x14ac:dyDescent="0.25">
      <c r="A19" s="6" t="s">
        <v>51</v>
      </c>
      <c r="B19" s="6" t="s">
        <v>52</v>
      </c>
      <c r="C19" s="6">
        <v>122</v>
      </c>
      <c r="D19" s="7" t="s">
        <v>53</v>
      </c>
      <c r="E19" s="6">
        <v>1</v>
      </c>
      <c r="F19" s="8">
        <v>1</v>
      </c>
      <c r="G19" s="6">
        <f>VLOOKUP(J19,'Names with Seat Code'!A:I,9,FALSE)</f>
        <v>0</v>
      </c>
      <c r="H19" s="1" t="str">
        <f>VLOOKUP(J19,'Names with Seat Code'!A:E,5,FALSE)</f>
        <v>Aiello</v>
      </c>
      <c r="I19" s="1" t="str">
        <f>VLOOKUP(J19,'Names with Seat Code'!A:E,3,FALSE)</f>
        <v>Alexander</v>
      </c>
      <c r="J19">
        <v>6</v>
      </c>
      <c r="K19" t="str">
        <f>VLOOKUP(J19,'Names with Seat Code'!A:E,4,FALSE)</f>
        <v/>
      </c>
      <c r="L19" s="1" t="str">
        <f>VLOOKUP(J19,'Names with Seat Code'!A:F,6,FALSE)</f>
        <v>Aiello (I-L-O)</v>
      </c>
    </row>
    <row r="20" spans="1:12" x14ac:dyDescent="0.25">
      <c r="A20" s="6" t="s">
        <v>51</v>
      </c>
      <c r="B20" s="6" t="s">
        <v>52</v>
      </c>
      <c r="C20" s="6">
        <v>120</v>
      </c>
      <c r="D20" s="7" t="s">
        <v>53</v>
      </c>
      <c r="E20" s="6">
        <v>1</v>
      </c>
      <c r="F20" s="8">
        <v>2</v>
      </c>
      <c r="G20" s="6">
        <f>VLOOKUP(J20,'Names with Seat Code'!A:I,9,FALSE)</f>
        <v>0</v>
      </c>
      <c r="H20" s="1" t="str">
        <f>VLOOKUP(J20,'Names with Seat Code'!A:E,5,FALSE)</f>
        <v>Allen</v>
      </c>
      <c r="I20" s="1" t="str">
        <f>VLOOKUP(J20,'Names with Seat Code'!A:E,3,FALSE)</f>
        <v>Reese</v>
      </c>
      <c r="J20">
        <v>7</v>
      </c>
      <c r="K20" t="str">
        <f>VLOOKUP(J20,'Names with Seat Code'!A:E,4,FALSE)</f>
        <v/>
      </c>
      <c r="L20" s="1" t="str">
        <f>VLOOKUP(J20,'Names with Seat Code'!A:F,6,FALSE)</f>
        <v>Reese Allen</v>
      </c>
    </row>
    <row r="21" spans="1:12" x14ac:dyDescent="0.25">
      <c r="A21" s="6" t="s">
        <v>51</v>
      </c>
      <c r="B21" s="6" t="s">
        <v>52</v>
      </c>
      <c r="C21" s="6">
        <v>118</v>
      </c>
      <c r="D21" s="7" t="s">
        <v>53</v>
      </c>
      <c r="E21" s="6">
        <v>1</v>
      </c>
      <c r="F21" s="8">
        <v>3</v>
      </c>
      <c r="G21" s="6">
        <f>VLOOKUP(J21,'Names with Seat Code'!A:I,9,FALSE)</f>
        <v>0</v>
      </c>
      <c r="H21" s="1" t="str">
        <f>VLOOKUP(J21,'Names with Seat Code'!A:E,5,FALSE)</f>
        <v>Amado</v>
      </c>
      <c r="I21" s="1" t="str">
        <f>VLOOKUP(J21,'Names with Seat Code'!A:E,3,FALSE)</f>
        <v>Fabricio</v>
      </c>
      <c r="J21">
        <v>8</v>
      </c>
      <c r="K21" t="str">
        <f>VLOOKUP(J21,'Names with Seat Code'!A:E,4,FALSE)</f>
        <v/>
      </c>
      <c r="L21" s="1" t="str">
        <f>VLOOKUP(J21,'Names with Seat Code'!A:F,6,FALSE)</f>
        <v>Fah-bree-cee-oh Ah-mod-oh</v>
      </c>
    </row>
    <row r="22" spans="1:12" x14ac:dyDescent="0.25">
      <c r="A22" s="6" t="s">
        <v>51</v>
      </c>
      <c r="B22" s="6" t="s">
        <v>52</v>
      </c>
      <c r="C22" s="6">
        <v>116</v>
      </c>
      <c r="D22" s="7" t="s">
        <v>53</v>
      </c>
      <c r="E22" s="6">
        <v>1</v>
      </c>
      <c r="F22" s="8">
        <v>4</v>
      </c>
      <c r="G22" s="6">
        <f>VLOOKUP(J22,'Names with Seat Code'!A:I,9,FALSE)</f>
        <v>0</v>
      </c>
      <c r="H22" s="1" t="str">
        <f>VLOOKUP(J22,'Names with Seat Code'!A:E,5,FALSE)</f>
        <v>Amirault</v>
      </c>
      <c r="I22" s="1" t="str">
        <f>VLOOKUP(J22,'Names with Seat Code'!A:E,3,FALSE)</f>
        <v>Joseph</v>
      </c>
      <c r="J22">
        <v>9</v>
      </c>
      <c r="K22" t="str">
        <f>VLOOKUP(J22,'Names with Seat Code'!A:E,4,FALSE)</f>
        <v/>
      </c>
      <c r="L22" s="1">
        <f>VLOOKUP(J22,'Names with Seat Code'!A:F,6,FALSE)</f>
        <v>0</v>
      </c>
    </row>
    <row r="23" spans="1:12" x14ac:dyDescent="0.25">
      <c r="A23" s="6" t="s">
        <v>51</v>
      </c>
      <c r="B23" s="6" t="s">
        <v>52</v>
      </c>
      <c r="C23" s="6">
        <v>114</v>
      </c>
      <c r="D23" s="7" t="s">
        <v>53</v>
      </c>
      <c r="E23" s="6">
        <v>1</v>
      </c>
      <c r="F23" s="8">
        <v>5</v>
      </c>
      <c r="G23" s="6">
        <f>VLOOKUP(J23,'Names with Seat Code'!A:I,9,FALSE)</f>
        <v>0</v>
      </c>
      <c r="H23" s="1" t="str">
        <f>VLOOKUP(J23,'Names with Seat Code'!A:E,5,FALSE)</f>
        <v>Anderson</v>
      </c>
      <c r="I23" s="1" t="str">
        <f>VLOOKUP(J23,'Names with Seat Code'!A:E,3,FALSE)</f>
        <v>Brady</v>
      </c>
      <c r="J23">
        <v>10</v>
      </c>
      <c r="K23" t="str">
        <f>VLOOKUP(J23,'Names with Seat Code'!A:E,4,FALSE)</f>
        <v/>
      </c>
      <c r="L23" s="1">
        <f>VLOOKUP(J23,'Names with Seat Code'!A:F,6,FALSE)</f>
        <v>0</v>
      </c>
    </row>
    <row r="24" spans="1:12" x14ac:dyDescent="0.25">
      <c r="A24" s="6" t="s">
        <v>51</v>
      </c>
      <c r="B24" s="6" t="s">
        <v>52</v>
      </c>
      <c r="C24" s="6">
        <v>112</v>
      </c>
      <c r="D24" s="7" t="s">
        <v>53</v>
      </c>
      <c r="E24" s="6">
        <v>1</v>
      </c>
      <c r="F24" s="8">
        <v>6</v>
      </c>
      <c r="G24" s="6">
        <f>VLOOKUP(J24,'Names with Seat Code'!A:I,9,FALSE)</f>
        <v>0</v>
      </c>
      <c r="H24" s="1" t="str">
        <f>VLOOKUP(J24,'Names with Seat Code'!A:E,5,FALSE)</f>
        <v>Anderson</v>
      </c>
      <c r="I24" s="1" t="str">
        <f>VLOOKUP(J24,'Names with Seat Code'!A:E,3,FALSE)</f>
        <v>Barrington</v>
      </c>
      <c r="J24">
        <v>11</v>
      </c>
      <c r="K24" t="str">
        <f>VLOOKUP(J24,'Names with Seat Code'!A:E,4,FALSE)</f>
        <v/>
      </c>
      <c r="L24" s="1">
        <f>VLOOKUP(J24,'Names with Seat Code'!A:F,6,FALSE)</f>
        <v>0</v>
      </c>
    </row>
    <row r="25" spans="1:12" x14ac:dyDescent="0.25">
      <c r="A25" s="6" t="s">
        <v>51</v>
      </c>
      <c r="B25" s="6" t="s">
        <v>52</v>
      </c>
      <c r="C25" s="6">
        <v>110</v>
      </c>
      <c r="D25" s="7" t="s">
        <v>53</v>
      </c>
      <c r="E25" s="6">
        <v>1</v>
      </c>
      <c r="F25" s="8">
        <v>7</v>
      </c>
      <c r="G25" s="6">
        <f>VLOOKUP(J25,'Names with Seat Code'!A:I,9,FALSE)</f>
        <v>0</v>
      </c>
      <c r="H25" s="1" t="str">
        <f>VLOOKUP(J25,'Names with Seat Code'!A:E,5,FALSE)</f>
        <v>Aquino</v>
      </c>
      <c r="I25" s="1" t="str">
        <f>VLOOKUP(J25,'Names with Seat Code'!A:E,3,FALSE)</f>
        <v>Isabella</v>
      </c>
      <c r="J25">
        <v>12</v>
      </c>
      <c r="K25" t="str">
        <f>VLOOKUP(J25,'Names with Seat Code'!A:E,4,FALSE)</f>
        <v/>
      </c>
      <c r="L25" s="1" t="str">
        <f>VLOOKUP(J25,'Names with Seat Code'!A:F,6,FALSE)</f>
        <v>Isabell-uh Ah-kee-no</v>
      </c>
    </row>
    <row r="26" spans="1:12" ht="18.75" thickBot="1" x14ac:dyDescent="0.3">
      <c r="A26" s="6" t="s">
        <v>51</v>
      </c>
      <c r="B26" s="6" t="s">
        <v>52</v>
      </c>
      <c r="C26" s="6">
        <v>108</v>
      </c>
      <c r="D26" s="7" t="s">
        <v>53</v>
      </c>
      <c r="E26" s="6">
        <v>1</v>
      </c>
      <c r="F26" s="8">
        <v>8</v>
      </c>
      <c r="G26" s="6">
        <f>VLOOKUP(J26,'Names with Seat Code'!A:I,9,FALSE)</f>
        <v>0</v>
      </c>
      <c r="H26" s="1" t="str">
        <f>VLOOKUP(J26,'Names with Seat Code'!A:E,5,FALSE)</f>
        <v>Aquino</v>
      </c>
      <c r="I26" s="1" t="str">
        <f>VLOOKUP(J26,'Names with Seat Code'!A:E,3,FALSE)</f>
        <v>Lucas</v>
      </c>
      <c r="J26" s="3">
        <v>13</v>
      </c>
      <c r="K26" t="str">
        <f>VLOOKUP(J26,'Names with Seat Code'!A:E,4,FALSE)</f>
        <v/>
      </c>
      <c r="L26" s="1">
        <f>VLOOKUP(J26,'Names with Seat Code'!A:F,6,FALSE)</f>
        <v>0</v>
      </c>
    </row>
    <row r="27" spans="1:12" ht="18.75" thickTop="1" x14ac:dyDescent="0.25">
      <c r="A27" s="6" t="s">
        <v>51</v>
      </c>
      <c r="B27" s="6" t="s">
        <v>52</v>
      </c>
      <c r="C27" s="6">
        <v>106</v>
      </c>
      <c r="D27" s="7" t="s">
        <v>53</v>
      </c>
      <c r="E27" s="6">
        <v>1</v>
      </c>
      <c r="F27" s="8">
        <v>9</v>
      </c>
      <c r="G27" s="6">
        <f>VLOOKUP(J27,'Names with Seat Code'!A:I,9,FALSE)</f>
        <v>0</v>
      </c>
      <c r="H27" s="1" t="str">
        <f>VLOOKUP(J27,'Names with Seat Code'!A:E,5,FALSE)</f>
        <v>Araujo</v>
      </c>
      <c r="I27" s="1" t="str">
        <f>VLOOKUP(J27,'Names with Seat Code'!A:E,3,FALSE)</f>
        <v>Tiago</v>
      </c>
      <c r="J27">
        <v>14</v>
      </c>
      <c r="K27" t="str">
        <f>VLOOKUP(J27,'Names with Seat Code'!A:E,4,FALSE)</f>
        <v/>
      </c>
      <c r="L27" s="1" t="str">
        <f>VLOOKUP(J27,'Names with Seat Code'!A:F,6,FALSE)</f>
        <v>TEE-ah-go AH-ra-joe</v>
      </c>
    </row>
    <row r="28" spans="1:12" x14ac:dyDescent="0.25">
      <c r="A28" s="6" t="s">
        <v>51</v>
      </c>
      <c r="B28" s="6" t="s">
        <v>52</v>
      </c>
      <c r="C28" s="6">
        <v>104</v>
      </c>
      <c r="D28" s="7" t="s">
        <v>53</v>
      </c>
      <c r="E28" s="6">
        <v>1</v>
      </c>
      <c r="F28" s="8">
        <v>10</v>
      </c>
      <c r="G28" s="6">
        <f>VLOOKUP(J28,'Names with Seat Code'!A:I,9,FALSE)</f>
        <v>0</v>
      </c>
      <c r="H28" s="1" t="str">
        <f>VLOOKUP(J28,'Names with Seat Code'!A:E,5,FALSE)</f>
        <v>Aretusi</v>
      </c>
      <c r="I28" s="1" t="str">
        <f>VLOOKUP(J28,'Names with Seat Code'!A:E,3,FALSE)</f>
        <v>Chloe</v>
      </c>
      <c r="J28">
        <v>15</v>
      </c>
      <c r="K28" t="str">
        <f>VLOOKUP(J28,'Names with Seat Code'!A:E,4,FALSE)</f>
        <v/>
      </c>
      <c r="L28" s="1" t="str">
        <f>VLOOKUP(J28,'Names with Seat Code'!A:F,6,FALSE)</f>
        <v>ah-reh-toozy</v>
      </c>
    </row>
    <row r="29" spans="1:12" x14ac:dyDescent="0.25">
      <c r="A29" s="6" t="s">
        <v>51</v>
      </c>
      <c r="B29" s="6" t="s">
        <v>52</v>
      </c>
      <c r="C29" s="6">
        <v>102</v>
      </c>
      <c r="D29" s="7" t="s">
        <v>53</v>
      </c>
      <c r="E29" s="6">
        <v>1</v>
      </c>
      <c r="F29" s="8">
        <v>11</v>
      </c>
      <c r="G29" s="6">
        <f>VLOOKUP(J29,'Names with Seat Code'!A:I,9,FALSE)</f>
        <v>0</v>
      </c>
      <c r="H29" s="1" t="str">
        <f>VLOOKUP(J29,'Names with Seat Code'!A:E,5,FALSE)</f>
        <v>Audley</v>
      </c>
      <c r="I29" s="1" t="str">
        <f>VLOOKUP(J29,'Names with Seat Code'!A:E,3,FALSE)</f>
        <v>Evan</v>
      </c>
      <c r="J29">
        <v>16</v>
      </c>
      <c r="K29" t="str">
        <f>VLOOKUP(J29,'Names with Seat Code'!A:E,4,FALSE)</f>
        <v/>
      </c>
      <c r="L29" s="1">
        <f>VLOOKUP(J29,'Names with Seat Code'!A:F,6,FALSE)</f>
        <v>0</v>
      </c>
    </row>
    <row r="30" spans="1:12" s="3" customFormat="1" ht="18.75" thickBot="1" x14ac:dyDescent="0.3">
      <c r="A30" s="4" t="s">
        <v>51</v>
      </c>
      <c r="B30" s="4" t="s">
        <v>52</v>
      </c>
      <c r="C30" s="4">
        <v>101</v>
      </c>
      <c r="D30" s="9" t="s">
        <v>53</v>
      </c>
      <c r="E30" s="4">
        <v>1</v>
      </c>
      <c r="F30" s="5">
        <v>12</v>
      </c>
      <c r="G30" s="6">
        <f>VLOOKUP(J30,'Names with Seat Code'!A:I,9,FALSE)</f>
        <v>0</v>
      </c>
      <c r="H30" s="37" t="str">
        <f>VLOOKUP(J30,'Names with Seat Code'!A:E,5,FALSE)</f>
        <v>Austin</v>
      </c>
      <c r="I30" s="2" t="str">
        <f>VLOOKUP(J30,'Names with Seat Code'!A:E,3,FALSE)</f>
        <v>Natalie</v>
      </c>
      <c r="J30">
        <v>17</v>
      </c>
      <c r="K30" s="3" t="str">
        <f>VLOOKUP(J30,'Names with Seat Code'!A:E,4,FALSE)</f>
        <v/>
      </c>
      <c r="L30" s="1">
        <f>VLOOKUP(J30,'Names with Seat Code'!A:F,6,FALSE)</f>
        <v>0</v>
      </c>
    </row>
    <row r="31" spans="1:12" ht="18.75" thickTop="1" x14ac:dyDescent="0.25">
      <c r="A31" s="6" t="s">
        <v>48</v>
      </c>
      <c r="B31" s="6" t="s">
        <v>54</v>
      </c>
      <c r="C31" s="6">
        <v>101</v>
      </c>
      <c r="D31" s="7" t="s">
        <v>50</v>
      </c>
      <c r="E31" s="6">
        <v>2</v>
      </c>
      <c r="F31" s="8">
        <v>1</v>
      </c>
      <c r="G31" s="6">
        <f>VLOOKUP(J31,'Names with Seat Code'!A:I,9,FALSE)</f>
        <v>0</v>
      </c>
      <c r="H31" s="1" t="str">
        <f>VLOOKUP(J31,'Names with Seat Code'!A:E,5,FALSE)</f>
        <v>Balas</v>
      </c>
      <c r="I31" s="1" t="str">
        <f>VLOOKUP(J31,'Names with Seat Code'!A:E,3,FALSE)</f>
        <v>Vivian</v>
      </c>
      <c r="J31">
        <v>18</v>
      </c>
      <c r="K31" t="str">
        <f>VLOOKUP(J31,'Names with Seat Code'!A:E,4,FALSE)</f>
        <v/>
      </c>
      <c r="L31" s="1">
        <f>VLOOKUP(J31,'Names with Seat Code'!A:F,6,FALSE)</f>
        <v>0</v>
      </c>
    </row>
    <row r="32" spans="1:12" x14ac:dyDescent="0.25">
      <c r="A32" s="6" t="s">
        <v>48</v>
      </c>
      <c r="B32" s="6" t="s">
        <v>54</v>
      </c>
      <c r="C32" s="6">
        <v>102</v>
      </c>
      <c r="D32" s="7" t="s">
        <v>50</v>
      </c>
      <c r="E32" s="6">
        <v>2</v>
      </c>
      <c r="F32" s="8">
        <v>2</v>
      </c>
      <c r="G32" s="6">
        <f>VLOOKUP(J32,'Names with Seat Code'!A:I,9,FALSE)</f>
        <v>0</v>
      </c>
      <c r="H32" s="1" t="str">
        <f>VLOOKUP(J32,'Names with Seat Code'!A:E,5,FALSE)</f>
        <v>Batista</v>
      </c>
      <c r="I32" s="1" t="str">
        <f>VLOOKUP(J32,'Names with Seat Code'!A:E,3,FALSE)</f>
        <v>Kaua</v>
      </c>
      <c r="J32">
        <v>19</v>
      </c>
      <c r="K32" t="str">
        <f>VLOOKUP(J32,'Names with Seat Code'!A:E,4,FALSE)</f>
        <v/>
      </c>
      <c r="L32" s="1" t="str">
        <f>VLOOKUP(J32,'Names with Seat Code'!A:F,6,FALSE)</f>
        <v xml:space="preserve">Quan </v>
      </c>
    </row>
    <row r="33" spans="1:12" x14ac:dyDescent="0.25">
      <c r="A33" s="6" t="s">
        <v>48</v>
      </c>
      <c r="B33" s="6" t="s">
        <v>54</v>
      </c>
      <c r="C33" s="6">
        <v>103</v>
      </c>
      <c r="D33" s="7" t="s">
        <v>50</v>
      </c>
      <c r="E33" s="6">
        <v>2</v>
      </c>
      <c r="F33" s="8">
        <v>3</v>
      </c>
      <c r="G33" s="6">
        <f>VLOOKUP(J33,'Names with Seat Code'!A:I,9,FALSE)</f>
        <v>0</v>
      </c>
      <c r="H33" s="1" t="str">
        <f>VLOOKUP(J33,'Names with Seat Code'!A:E,5,FALSE)</f>
        <v>Beaulieu</v>
      </c>
      <c r="I33" s="1" t="str">
        <f>VLOOKUP(J33,'Names with Seat Code'!A:E,3,FALSE)</f>
        <v>Carson</v>
      </c>
      <c r="J33">
        <v>20</v>
      </c>
      <c r="K33" t="str">
        <f>VLOOKUP(J33,'Names with Seat Code'!A:E,4,FALSE)</f>
        <v/>
      </c>
      <c r="L33" s="1" t="str">
        <f>VLOOKUP(J33,'Names with Seat Code'!A:F,6,FALSE)</f>
        <v>Bowl-ee-oh</v>
      </c>
    </row>
    <row r="34" spans="1:12" x14ac:dyDescent="0.25">
      <c r="A34" s="6" t="s">
        <v>48</v>
      </c>
      <c r="B34" s="6" t="s">
        <v>54</v>
      </c>
      <c r="C34" s="6">
        <v>104</v>
      </c>
      <c r="D34" s="7" t="s">
        <v>50</v>
      </c>
      <c r="E34" s="6">
        <v>2</v>
      </c>
      <c r="F34" s="8">
        <v>4</v>
      </c>
      <c r="G34" s="6">
        <f>VLOOKUP(J34,'Names with Seat Code'!A:I,9,FALSE)</f>
        <v>0</v>
      </c>
      <c r="H34" s="1" t="str">
        <f>VLOOKUP(J34,'Names with Seat Code'!A:E,5,FALSE)</f>
        <v>Belfon</v>
      </c>
      <c r="I34" s="1" t="str">
        <f>VLOOKUP(J34,'Names with Seat Code'!A:E,3,FALSE)</f>
        <v>Jahnai</v>
      </c>
      <c r="J34">
        <v>21</v>
      </c>
      <c r="K34" t="str">
        <f>VLOOKUP(J34,'Names with Seat Code'!A:E,4,FALSE)</f>
        <v/>
      </c>
      <c r="L34" s="1" t="str">
        <f>VLOOKUP(J34,'Names with Seat Code'!A:F,6,FALSE)</f>
        <v>Jah-nye</v>
      </c>
    </row>
    <row r="35" spans="1:12" x14ac:dyDescent="0.25">
      <c r="A35" s="6" t="s">
        <v>48</v>
      </c>
      <c r="B35" s="6" t="s">
        <v>54</v>
      </c>
      <c r="C35" s="6">
        <v>105</v>
      </c>
      <c r="D35" s="7" t="s">
        <v>50</v>
      </c>
      <c r="E35" s="6">
        <v>2</v>
      </c>
      <c r="F35" s="8">
        <v>5</v>
      </c>
      <c r="G35" s="6">
        <f>VLOOKUP(J35,'Names with Seat Code'!A:I,9,FALSE)</f>
        <v>0</v>
      </c>
      <c r="H35" s="1" t="str">
        <f>VLOOKUP(J35,'Names with Seat Code'!A:E,5,FALSE)</f>
        <v>Benedict</v>
      </c>
      <c r="I35" s="1" t="str">
        <f>VLOOKUP(J35,'Names with Seat Code'!A:E,3,FALSE)</f>
        <v>Amelia</v>
      </c>
      <c r="J35">
        <v>22</v>
      </c>
      <c r="K35" t="str">
        <f>VLOOKUP(J35,'Names with Seat Code'!A:E,4,FALSE)</f>
        <v/>
      </c>
      <c r="L35" s="1">
        <f>VLOOKUP(J35,'Names with Seat Code'!A:F,6,FALSE)</f>
        <v>0</v>
      </c>
    </row>
    <row r="36" spans="1:12" x14ac:dyDescent="0.25">
      <c r="A36" s="6" t="s">
        <v>48</v>
      </c>
      <c r="B36" s="6" t="s">
        <v>54</v>
      </c>
      <c r="C36" s="6">
        <v>106</v>
      </c>
      <c r="D36" s="7" t="s">
        <v>50</v>
      </c>
      <c r="E36" s="6">
        <v>2</v>
      </c>
      <c r="F36" s="8">
        <v>6</v>
      </c>
      <c r="G36" s="6">
        <f>VLOOKUP(J36,'Names with Seat Code'!A:I,9,FALSE)</f>
        <v>0</v>
      </c>
      <c r="H36" s="1" t="str">
        <f>VLOOKUP(J36,'Names with Seat Code'!A:E,5,FALSE)</f>
        <v>Bentley</v>
      </c>
      <c r="I36" s="1" t="str">
        <f>VLOOKUP(J36,'Names with Seat Code'!A:E,3,FALSE)</f>
        <v>Jamison</v>
      </c>
      <c r="J36">
        <v>23</v>
      </c>
      <c r="K36" t="str">
        <f>VLOOKUP(J36,'Names with Seat Code'!A:E,4,FALSE)</f>
        <v/>
      </c>
      <c r="L36" s="1">
        <f>VLOOKUP(J36,'Names with Seat Code'!A:F,6,FALSE)</f>
        <v>0</v>
      </c>
    </row>
    <row r="37" spans="1:12" x14ac:dyDescent="0.25">
      <c r="A37" s="6" t="s">
        <v>48</v>
      </c>
      <c r="B37" s="6" t="s">
        <v>54</v>
      </c>
      <c r="C37" s="6">
        <v>107</v>
      </c>
      <c r="D37" s="7" t="s">
        <v>50</v>
      </c>
      <c r="E37" s="6">
        <v>2</v>
      </c>
      <c r="F37" s="8">
        <v>7</v>
      </c>
      <c r="G37" s="6">
        <f>VLOOKUP(J37,'Names with Seat Code'!A:I,9,FALSE)</f>
        <v>0</v>
      </c>
      <c r="H37" s="1" t="str">
        <f>VLOOKUP(J37,'Names with Seat Code'!A:E,5,FALSE)</f>
        <v>Bhola</v>
      </c>
      <c r="I37" s="1" t="str">
        <f>VLOOKUP(J37,'Names with Seat Code'!A:E,3,FALSE)</f>
        <v>Dhanya</v>
      </c>
      <c r="J37">
        <v>24</v>
      </c>
      <c r="K37" t="str">
        <f>VLOOKUP(J37,'Names with Seat Code'!A:E,4,FALSE)</f>
        <v/>
      </c>
      <c r="L37" s="1" t="str">
        <f>VLOOKUP(J37,'Names with Seat Code'!A:F,6,FALSE)</f>
        <v xml:space="preserve">D- anya </v>
      </c>
    </row>
    <row r="38" spans="1:12" ht="18.75" thickBot="1" x14ac:dyDescent="0.3">
      <c r="A38" s="6" t="s">
        <v>48</v>
      </c>
      <c r="B38" s="6" t="s">
        <v>54</v>
      </c>
      <c r="C38" s="6">
        <v>108</v>
      </c>
      <c r="D38" s="7" t="s">
        <v>50</v>
      </c>
      <c r="E38" s="6">
        <v>2</v>
      </c>
      <c r="F38" s="8">
        <v>8</v>
      </c>
      <c r="G38" s="6">
        <f>VLOOKUP(J38,'Names with Seat Code'!A:I,9,FALSE)</f>
        <v>0</v>
      </c>
      <c r="H38" s="1" t="str">
        <f>VLOOKUP(J38,'Names with Seat Code'!A:E,5,FALSE)</f>
        <v>Boucher</v>
      </c>
      <c r="I38" s="1" t="str">
        <f>VLOOKUP(J38,'Names with Seat Code'!A:E,3,FALSE)</f>
        <v>Elizabeth</v>
      </c>
      <c r="J38" s="3">
        <v>25</v>
      </c>
      <c r="K38" t="str">
        <f>VLOOKUP(J38,'Names with Seat Code'!A:E,4,FALSE)</f>
        <v/>
      </c>
      <c r="L38" s="1" t="str">
        <f>VLOOKUP(J38,'Names with Seat Code'!A:F,6,FALSE)</f>
        <v>BOO-SHAY</v>
      </c>
    </row>
    <row r="39" spans="1:12" ht="18.75" thickTop="1" x14ac:dyDescent="0.25">
      <c r="A39" s="6" t="s">
        <v>48</v>
      </c>
      <c r="B39" s="6" t="s">
        <v>54</v>
      </c>
      <c r="C39" s="6">
        <v>109</v>
      </c>
      <c r="D39" s="7" t="s">
        <v>50</v>
      </c>
      <c r="E39" s="6">
        <v>2</v>
      </c>
      <c r="F39" s="8">
        <v>9</v>
      </c>
      <c r="G39" s="6">
        <f>VLOOKUP(J39,'Names with Seat Code'!A:I,9,FALSE)</f>
        <v>0</v>
      </c>
      <c r="H39" s="1" t="str">
        <f>VLOOKUP(J39,'Names with Seat Code'!A:E,5,FALSE)</f>
        <v>Bowers</v>
      </c>
      <c r="I39" s="1" t="str">
        <f>VLOOKUP(J39,'Names with Seat Code'!A:E,3,FALSE)</f>
        <v>Danielle</v>
      </c>
      <c r="J39">
        <v>26</v>
      </c>
      <c r="K39" t="str">
        <f>VLOOKUP(J39,'Names with Seat Code'!A:E,4,FALSE)</f>
        <v/>
      </c>
      <c r="L39" s="1">
        <f>VLOOKUP(J39,'Names with Seat Code'!A:F,6,FALSE)</f>
        <v>0</v>
      </c>
    </row>
    <row r="40" spans="1:12" x14ac:dyDescent="0.25">
      <c r="A40" s="6" t="s">
        <v>48</v>
      </c>
      <c r="B40" s="6" t="s">
        <v>54</v>
      </c>
      <c r="C40" s="6">
        <v>110</v>
      </c>
      <c r="D40" s="7" t="s">
        <v>50</v>
      </c>
      <c r="E40" s="6">
        <v>2</v>
      </c>
      <c r="F40" s="8">
        <v>10</v>
      </c>
      <c r="G40" s="6">
        <f>VLOOKUP(J40,'Names with Seat Code'!A:I,9,FALSE)</f>
        <v>0</v>
      </c>
      <c r="H40" s="1" t="str">
        <f>VLOOKUP(J40,'Names with Seat Code'!A:E,5,FALSE)</f>
        <v>Bowlin</v>
      </c>
      <c r="I40" s="1" t="str">
        <f>VLOOKUP(J40,'Names with Seat Code'!A:E,3,FALSE)</f>
        <v>Lucas</v>
      </c>
      <c r="J40">
        <v>27</v>
      </c>
      <c r="K40" t="str">
        <f>VLOOKUP(J40,'Names with Seat Code'!A:E,4,FALSE)</f>
        <v/>
      </c>
      <c r="L40" s="1" t="str">
        <f>VLOOKUP(J40,'Names with Seat Code'!A:F,6,FALSE)</f>
        <v>bohl-in</v>
      </c>
    </row>
    <row r="41" spans="1:12" x14ac:dyDescent="0.25">
      <c r="A41" s="6" t="s">
        <v>48</v>
      </c>
      <c r="B41" s="6" t="s">
        <v>54</v>
      </c>
      <c r="C41" s="6">
        <v>111</v>
      </c>
      <c r="D41" s="7" t="s">
        <v>50</v>
      </c>
      <c r="E41" s="6">
        <v>2</v>
      </c>
      <c r="F41" s="8">
        <v>11</v>
      </c>
      <c r="G41" s="6">
        <f>VLOOKUP(J41,'Names with Seat Code'!A:I,9,FALSE)</f>
        <v>0</v>
      </c>
      <c r="H41" s="1" t="str">
        <f>VLOOKUP(J41,'Names with Seat Code'!A:E,5,FALSE)</f>
        <v>Brady</v>
      </c>
      <c r="I41" s="1" t="str">
        <f>VLOOKUP(J41,'Names with Seat Code'!A:E,3,FALSE)</f>
        <v>Kaleb</v>
      </c>
      <c r="J41">
        <v>28</v>
      </c>
      <c r="K41" t="str">
        <f>VLOOKUP(J41,'Names with Seat Code'!A:E,4,FALSE)</f>
        <v/>
      </c>
      <c r="L41" s="1">
        <f>VLOOKUP(J41,'Names with Seat Code'!A:F,6,FALSE)</f>
        <v>0</v>
      </c>
    </row>
    <row r="42" spans="1:12" s="3" customFormat="1" ht="18.75" thickBot="1" x14ac:dyDescent="0.3">
      <c r="A42" s="4" t="s">
        <v>48</v>
      </c>
      <c r="B42" s="4" t="s">
        <v>54</v>
      </c>
      <c r="C42" s="4">
        <v>112</v>
      </c>
      <c r="D42" s="9" t="s">
        <v>50</v>
      </c>
      <c r="E42" s="4">
        <v>2</v>
      </c>
      <c r="F42" s="5">
        <v>12</v>
      </c>
      <c r="G42" s="6">
        <f>VLOOKUP(J42,'Names with Seat Code'!A:I,9,FALSE)</f>
        <v>0</v>
      </c>
      <c r="H42" s="37" t="str">
        <f>VLOOKUP(J42,'Names with Seat Code'!A:E,5,FALSE)</f>
        <v>Bramante</v>
      </c>
      <c r="I42" s="2" t="str">
        <f>VLOOKUP(J42,'Names with Seat Code'!A:E,3,FALSE)</f>
        <v>A.J.</v>
      </c>
      <c r="J42">
        <v>29</v>
      </c>
      <c r="K42" s="3" t="str">
        <f>VLOOKUP(J42,'Names with Seat Code'!A:E,4,FALSE)</f>
        <v/>
      </c>
      <c r="L42" s="1">
        <f>VLOOKUP(J42,'Names with Seat Code'!A:F,6,FALSE)</f>
        <v>0</v>
      </c>
    </row>
    <row r="43" spans="1:12" ht="18.75" thickTop="1" x14ac:dyDescent="0.25">
      <c r="A43" s="6" t="s">
        <v>51</v>
      </c>
      <c r="B43" s="6" t="s">
        <v>52</v>
      </c>
      <c r="C43" s="6">
        <v>103</v>
      </c>
      <c r="D43" s="7" t="s">
        <v>53</v>
      </c>
      <c r="E43" s="6">
        <v>2</v>
      </c>
      <c r="F43" s="8">
        <v>1</v>
      </c>
      <c r="G43" s="6">
        <f>VLOOKUP(J43,'Names with Seat Code'!A:I,9,FALSE)</f>
        <v>0</v>
      </c>
      <c r="H43" s="1" t="str">
        <f>VLOOKUP(J43,'Names with Seat Code'!A:E,5,FALSE)</f>
        <v>Brown</v>
      </c>
      <c r="I43" s="1" t="str">
        <f>VLOOKUP(J43,'Names with Seat Code'!A:E,3,FALSE)</f>
        <v>Ashley</v>
      </c>
      <c r="J43">
        <v>30</v>
      </c>
      <c r="K43" t="str">
        <f>VLOOKUP(J43,'Names with Seat Code'!A:E,4,FALSE)</f>
        <v/>
      </c>
      <c r="L43" s="1">
        <f>VLOOKUP(J43,'Names with Seat Code'!A:F,6,FALSE)</f>
        <v>0</v>
      </c>
    </row>
    <row r="44" spans="1:12" x14ac:dyDescent="0.25">
      <c r="A44" s="6" t="s">
        <v>51</v>
      </c>
      <c r="B44" s="6" t="s">
        <v>52</v>
      </c>
      <c r="C44" s="6">
        <v>105</v>
      </c>
      <c r="D44" s="7" t="s">
        <v>53</v>
      </c>
      <c r="E44" s="6">
        <v>2</v>
      </c>
      <c r="F44" s="8">
        <v>2</v>
      </c>
      <c r="G44" s="6">
        <f>VLOOKUP(J44,'Names with Seat Code'!A:I,9,FALSE)</f>
        <v>0</v>
      </c>
      <c r="H44" s="1" t="str">
        <f>VLOOKUP(J44,'Names with Seat Code'!A:E,5,FALSE)</f>
        <v>Brown</v>
      </c>
      <c r="I44" s="1" t="str">
        <f>VLOOKUP(J44,'Names with Seat Code'!A:E,3,FALSE)</f>
        <v>Elijah</v>
      </c>
      <c r="J44">
        <v>31</v>
      </c>
      <c r="K44" t="str">
        <f>VLOOKUP(J44,'Names with Seat Code'!A:E,4,FALSE)</f>
        <v/>
      </c>
      <c r="L44" s="1">
        <f>VLOOKUP(J44,'Names with Seat Code'!A:F,6,FALSE)</f>
        <v>0</v>
      </c>
    </row>
    <row r="45" spans="1:12" x14ac:dyDescent="0.25">
      <c r="A45" s="6" t="s">
        <v>51</v>
      </c>
      <c r="B45" s="6" t="s">
        <v>52</v>
      </c>
      <c r="C45" s="6">
        <v>107</v>
      </c>
      <c r="D45" s="7" t="s">
        <v>53</v>
      </c>
      <c r="E45" s="6">
        <v>2</v>
      </c>
      <c r="F45" s="8">
        <v>3</v>
      </c>
      <c r="G45" s="6">
        <f>VLOOKUP(J45,'Names with Seat Code'!A:I,9,FALSE)</f>
        <v>0</v>
      </c>
      <c r="H45" s="1" t="str">
        <f>VLOOKUP(J45,'Names with Seat Code'!A:E,5,FALSE)</f>
        <v>Callan</v>
      </c>
      <c r="I45" s="1" t="str">
        <f>VLOOKUP(J45,'Names with Seat Code'!A:E,3,FALSE)</f>
        <v>Braeden</v>
      </c>
      <c r="J45">
        <v>32</v>
      </c>
      <c r="K45" t="str">
        <f>VLOOKUP(J45,'Names with Seat Code'!A:E,4,FALSE)</f>
        <v/>
      </c>
      <c r="L45" s="1">
        <f>VLOOKUP(J45,'Names with Seat Code'!A:F,6,FALSE)</f>
        <v>0</v>
      </c>
    </row>
    <row r="46" spans="1:12" x14ac:dyDescent="0.25">
      <c r="A46" s="6" t="s">
        <v>51</v>
      </c>
      <c r="B46" s="6" t="s">
        <v>52</v>
      </c>
      <c r="C46" s="6">
        <v>109</v>
      </c>
      <c r="D46" s="7" t="s">
        <v>53</v>
      </c>
      <c r="E46" s="6">
        <v>2</v>
      </c>
      <c r="F46" s="8">
        <v>4</v>
      </c>
      <c r="G46" s="6">
        <f>VLOOKUP(J46,'Names with Seat Code'!A:I,9,FALSE)</f>
        <v>0</v>
      </c>
      <c r="H46" s="1" t="str">
        <f>VLOOKUP(J46,'Names with Seat Code'!A:E,5,FALSE)</f>
        <v>Campos</v>
      </c>
      <c r="I46" s="1" t="str">
        <f>VLOOKUP(J46,'Names with Seat Code'!A:E,3,FALSE)</f>
        <v>Nilton</v>
      </c>
      <c r="J46">
        <v>33</v>
      </c>
      <c r="K46" t="str">
        <f>VLOOKUP(J46,'Names with Seat Code'!A:E,4,FALSE)</f>
        <v/>
      </c>
      <c r="L46" s="1">
        <f>VLOOKUP(J46,'Names with Seat Code'!A:F,6,FALSE)</f>
        <v>0</v>
      </c>
    </row>
    <row r="47" spans="1:12" x14ac:dyDescent="0.25">
      <c r="A47" s="6" t="s">
        <v>51</v>
      </c>
      <c r="B47" s="6" t="s">
        <v>52</v>
      </c>
      <c r="C47" s="6">
        <v>111</v>
      </c>
      <c r="D47" s="7" t="s">
        <v>53</v>
      </c>
      <c r="E47" s="6">
        <v>2</v>
      </c>
      <c r="F47" s="8">
        <v>5</v>
      </c>
      <c r="G47" s="6">
        <f>VLOOKUP(J47,'Names with Seat Code'!A:I,9,FALSE)</f>
        <v>0</v>
      </c>
      <c r="H47" s="1" t="str">
        <f>VLOOKUP(J47,'Names with Seat Code'!A:E,5,FALSE)</f>
        <v>Cannon</v>
      </c>
      <c r="I47" s="1" t="str">
        <f>VLOOKUP(J47,'Names with Seat Code'!A:E,3,FALSE)</f>
        <v>Ethan</v>
      </c>
      <c r="J47">
        <v>34</v>
      </c>
      <c r="K47" t="str">
        <f>VLOOKUP(J47,'Names with Seat Code'!A:E,4,FALSE)</f>
        <v/>
      </c>
      <c r="L47" s="1">
        <f>VLOOKUP(J47,'Names with Seat Code'!A:F,6,FALSE)</f>
        <v>0</v>
      </c>
    </row>
    <row r="48" spans="1:12" x14ac:dyDescent="0.25">
      <c r="A48" s="6" t="s">
        <v>51</v>
      </c>
      <c r="B48" s="6" t="s">
        <v>52</v>
      </c>
      <c r="C48" s="6">
        <v>113</v>
      </c>
      <c r="D48" s="7" t="s">
        <v>53</v>
      </c>
      <c r="E48" s="6">
        <v>2</v>
      </c>
      <c r="F48" s="8">
        <v>6</v>
      </c>
      <c r="G48" s="6">
        <f>VLOOKUP(J48,'Names with Seat Code'!A:I,9,FALSE)</f>
        <v>0</v>
      </c>
      <c r="H48" s="1" t="str">
        <f>VLOOKUP(J48,'Names with Seat Code'!A:E,5,FALSE)</f>
        <v>Carcione</v>
      </c>
      <c r="I48" s="1" t="str">
        <f>VLOOKUP(J48,'Names with Seat Code'!A:E,3,FALSE)</f>
        <v>Lucas</v>
      </c>
      <c r="J48">
        <v>35</v>
      </c>
      <c r="K48" t="str">
        <f>VLOOKUP(J48,'Names with Seat Code'!A:E,4,FALSE)</f>
        <v/>
      </c>
      <c r="L48" s="1" t="str">
        <f>VLOOKUP(J48,'Names with Seat Code'!A:F,6,FALSE)</f>
        <v>Car-See-O-Nee</v>
      </c>
    </row>
    <row r="49" spans="1:12" x14ac:dyDescent="0.25">
      <c r="A49" s="6" t="s">
        <v>51</v>
      </c>
      <c r="B49" s="6" t="s">
        <v>52</v>
      </c>
      <c r="C49" s="6">
        <v>115</v>
      </c>
      <c r="D49" s="7" t="s">
        <v>53</v>
      </c>
      <c r="E49" s="6">
        <v>2</v>
      </c>
      <c r="F49" s="8">
        <v>7</v>
      </c>
      <c r="G49" s="6">
        <f>VLOOKUP(J49,'Names with Seat Code'!A:I,9,FALSE)</f>
        <v>0</v>
      </c>
      <c r="H49" s="1" t="str">
        <f>VLOOKUP(J49,'Names with Seat Code'!A:E,5,FALSE)</f>
        <v>Casarano</v>
      </c>
      <c r="I49" s="1" t="str">
        <f>VLOOKUP(J49,'Names with Seat Code'!A:E,3,FALSE)</f>
        <v>Nicholas</v>
      </c>
      <c r="J49">
        <v>36</v>
      </c>
      <c r="K49" t="str">
        <f>VLOOKUP(J49,'Names with Seat Code'!A:E,4,FALSE)</f>
        <v>Joseph</v>
      </c>
      <c r="L49" s="1">
        <f>VLOOKUP(J49,'Names with Seat Code'!A:F,6,FALSE)</f>
        <v>0</v>
      </c>
    </row>
    <row r="50" spans="1:12" ht="18.75" thickBot="1" x14ac:dyDescent="0.3">
      <c r="A50" s="6" t="s">
        <v>51</v>
      </c>
      <c r="B50" s="6" t="s">
        <v>52</v>
      </c>
      <c r="C50" s="6">
        <v>117</v>
      </c>
      <c r="D50" s="7" t="s">
        <v>53</v>
      </c>
      <c r="E50" s="6">
        <v>2</v>
      </c>
      <c r="F50" s="8">
        <v>8</v>
      </c>
      <c r="G50" s="6">
        <f>VLOOKUP(J50,'Names with Seat Code'!A:I,9,FALSE)</f>
        <v>0</v>
      </c>
      <c r="H50" s="1" t="str">
        <f>VLOOKUP(J50,'Names with Seat Code'!A:E,5,FALSE)</f>
        <v>Champlin-Scharff</v>
      </c>
      <c r="I50" s="1" t="str">
        <f>VLOOKUP(J50,'Names with Seat Code'!A:E,3,FALSE)</f>
        <v>Maggie</v>
      </c>
      <c r="J50" s="3">
        <v>37</v>
      </c>
      <c r="K50" t="str">
        <f>VLOOKUP(J50,'Names with Seat Code'!A:E,4,FALSE)</f>
        <v/>
      </c>
      <c r="L50" s="1">
        <f>VLOOKUP(J50,'Names with Seat Code'!A:F,6,FALSE)</f>
        <v>0</v>
      </c>
    </row>
    <row r="51" spans="1:12" ht="18.75" thickTop="1" x14ac:dyDescent="0.25">
      <c r="A51" s="6" t="s">
        <v>51</v>
      </c>
      <c r="B51" s="6" t="s">
        <v>52</v>
      </c>
      <c r="C51" s="6">
        <v>119</v>
      </c>
      <c r="D51" s="7" t="s">
        <v>53</v>
      </c>
      <c r="E51" s="6">
        <v>2</v>
      </c>
      <c r="F51" s="8">
        <v>9</v>
      </c>
      <c r="G51" s="6">
        <f>VLOOKUP(J51,'Names with Seat Code'!A:I,9,FALSE)</f>
        <v>0</v>
      </c>
      <c r="H51" s="1" t="str">
        <f>VLOOKUP(J51,'Names with Seat Code'!A:E,5,FALSE)</f>
        <v>Chow</v>
      </c>
      <c r="I51" s="1" t="str">
        <f>VLOOKUP(J51,'Names with Seat Code'!A:E,3,FALSE)</f>
        <v>Elsa</v>
      </c>
      <c r="J51">
        <v>38</v>
      </c>
      <c r="K51" t="str">
        <f>VLOOKUP(J51,'Names with Seat Code'!A:E,4,FALSE)</f>
        <v/>
      </c>
      <c r="L51" s="1">
        <f>VLOOKUP(J51,'Names with Seat Code'!A:F,6,FALSE)</f>
        <v>0</v>
      </c>
    </row>
    <row r="52" spans="1:12" x14ac:dyDescent="0.25">
      <c r="A52" s="6" t="s">
        <v>51</v>
      </c>
      <c r="B52" s="6" t="s">
        <v>52</v>
      </c>
      <c r="C52" s="6">
        <v>121</v>
      </c>
      <c r="D52" s="7" t="s">
        <v>53</v>
      </c>
      <c r="E52" s="6">
        <v>2</v>
      </c>
      <c r="F52" s="8">
        <v>10</v>
      </c>
      <c r="G52" s="6">
        <f>VLOOKUP(J52,'Names with Seat Code'!A:I,9,FALSE)</f>
        <v>0</v>
      </c>
      <c r="H52" s="1" t="str">
        <f>VLOOKUP(J52,'Names with Seat Code'!A:E,5,FALSE)</f>
        <v>Chute</v>
      </c>
      <c r="I52" s="1" t="str">
        <f>VLOOKUP(J52,'Names with Seat Code'!A:E,3,FALSE)</f>
        <v>Will</v>
      </c>
      <c r="J52">
        <v>39</v>
      </c>
      <c r="K52" t="str">
        <f>VLOOKUP(J52,'Names with Seat Code'!A:E,4,FALSE)</f>
        <v/>
      </c>
      <c r="L52" s="1">
        <f>VLOOKUP(J52,'Names with Seat Code'!A:F,6,FALSE)</f>
        <v>0</v>
      </c>
    </row>
    <row r="53" spans="1:12" x14ac:dyDescent="0.25">
      <c r="A53" s="6" t="s">
        <v>51</v>
      </c>
      <c r="B53" s="6" t="s">
        <v>52</v>
      </c>
      <c r="C53" s="6">
        <v>1</v>
      </c>
      <c r="D53" s="7" t="s">
        <v>53</v>
      </c>
      <c r="E53" s="6">
        <v>2</v>
      </c>
      <c r="F53" s="8">
        <v>11</v>
      </c>
      <c r="G53" s="6">
        <f>VLOOKUP(J53,'Names with Seat Code'!A:I,9,FALSE)</f>
        <v>0</v>
      </c>
      <c r="H53" s="1" t="str">
        <f>VLOOKUP(J53,'Names with Seat Code'!A:E,5,FALSE)</f>
        <v>Cinelli</v>
      </c>
      <c r="I53" s="1" t="str">
        <f>VLOOKUP(J53,'Names with Seat Code'!A:E,3,FALSE)</f>
        <v>Max</v>
      </c>
      <c r="J53">
        <v>40</v>
      </c>
      <c r="K53" t="str">
        <f>VLOOKUP(J53,'Names with Seat Code'!A:E,4,FALSE)</f>
        <v/>
      </c>
      <c r="L53" s="1">
        <f>VLOOKUP(J53,'Names with Seat Code'!A:F,6,FALSE)</f>
        <v>0</v>
      </c>
    </row>
    <row r="54" spans="1:12" s="3" customFormat="1" ht="18.75" thickBot="1" x14ac:dyDescent="0.3">
      <c r="A54" s="4" t="s">
        <v>51</v>
      </c>
      <c r="B54" s="4" t="s">
        <v>52</v>
      </c>
      <c r="C54" s="5">
        <v>3</v>
      </c>
      <c r="D54" s="9" t="s">
        <v>53</v>
      </c>
      <c r="E54" s="4">
        <v>2</v>
      </c>
      <c r="F54" s="5">
        <v>12</v>
      </c>
      <c r="G54" s="6">
        <f>VLOOKUP(J54,'Names with Seat Code'!A:I,9,FALSE)</f>
        <v>0</v>
      </c>
      <c r="H54" s="37" t="str">
        <f>VLOOKUP(J54,'Names with Seat Code'!A:E,5,FALSE)</f>
        <v>Cirrone</v>
      </c>
      <c r="I54" s="2" t="str">
        <f>VLOOKUP(J54,'Names with Seat Code'!A:E,3,FALSE)</f>
        <v>Olivia</v>
      </c>
      <c r="J54">
        <v>41</v>
      </c>
      <c r="K54" s="3" t="str">
        <f>VLOOKUP(J54,'Names with Seat Code'!A:E,4,FALSE)</f>
        <v>Marie</v>
      </c>
      <c r="L54" s="1" t="str">
        <f>VLOOKUP(J54,'Names with Seat Code'!A:F,6,FALSE)</f>
        <v xml:space="preserve">Suh-row-nee </v>
      </c>
    </row>
    <row r="55" spans="1:12" ht="18.75" thickTop="1" x14ac:dyDescent="0.25">
      <c r="A55" s="6" t="s">
        <v>48</v>
      </c>
      <c r="B55" s="6" t="s">
        <v>55</v>
      </c>
      <c r="C55" s="6">
        <v>101</v>
      </c>
      <c r="D55" s="7" t="s">
        <v>50</v>
      </c>
      <c r="E55" s="6">
        <v>3</v>
      </c>
      <c r="F55" s="8">
        <v>1</v>
      </c>
      <c r="G55" s="6">
        <f>VLOOKUP(J55,'Names with Seat Code'!A:I,9,FALSE)</f>
        <v>0</v>
      </c>
      <c r="H55" s="1" t="str">
        <f>VLOOKUP(J55,'Names with Seat Code'!A:E,5,FALSE)</f>
        <v>Civil</v>
      </c>
      <c r="I55" s="1" t="str">
        <f>VLOOKUP(J55,'Names with Seat Code'!A:E,3,FALSE)</f>
        <v>Chadley</v>
      </c>
      <c r="J55">
        <v>42</v>
      </c>
      <c r="K55" t="str">
        <f>VLOOKUP(J55,'Names with Seat Code'!A:E,4,FALSE)</f>
        <v/>
      </c>
      <c r="L55" s="1">
        <f>VLOOKUP(J55,'Names with Seat Code'!A:F,6,FALSE)</f>
        <v>0</v>
      </c>
    </row>
    <row r="56" spans="1:12" x14ac:dyDescent="0.25">
      <c r="A56" s="6" t="s">
        <v>48</v>
      </c>
      <c r="B56" s="6" t="s">
        <v>55</v>
      </c>
      <c r="C56" s="6">
        <v>102</v>
      </c>
      <c r="D56" s="7" t="s">
        <v>50</v>
      </c>
      <c r="E56" s="6">
        <v>3</v>
      </c>
      <c r="F56" s="8">
        <v>2</v>
      </c>
      <c r="G56" s="6">
        <f>VLOOKUP(J56,'Names with Seat Code'!A:I,9,FALSE)</f>
        <v>0</v>
      </c>
      <c r="H56" s="1" t="str">
        <f>VLOOKUP(J56,'Names with Seat Code'!A:E,5,FALSE)</f>
        <v>Clark</v>
      </c>
      <c r="I56" s="1" t="str">
        <f>VLOOKUP(J56,'Names with Seat Code'!A:E,3,FALSE)</f>
        <v>Sam</v>
      </c>
      <c r="J56">
        <v>43</v>
      </c>
      <c r="K56" t="str">
        <f>VLOOKUP(J56,'Names with Seat Code'!A:E,4,FALSE)</f>
        <v/>
      </c>
      <c r="L56" s="1">
        <f>VLOOKUP(J56,'Names with Seat Code'!A:F,6,FALSE)</f>
        <v>0</v>
      </c>
    </row>
    <row r="57" spans="1:12" x14ac:dyDescent="0.25">
      <c r="A57" s="6" t="s">
        <v>48</v>
      </c>
      <c r="B57" s="6" t="s">
        <v>55</v>
      </c>
      <c r="C57" s="6">
        <v>103</v>
      </c>
      <c r="D57" s="7" t="s">
        <v>50</v>
      </c>
      <c r="E57" s="6">
        <v>3</v>
      </c>
      <c r="F57" s="8">
        <v>3</v>
      </c>
      <c r="G57" s="6">
        <f>VLOOKUP(J57,'Names with Seat Code'!A:I,9,FALSE)</f>
        <v>0</v>
      </c>
      <c r="H57" s="1" t="str">
        <f>VLOOKUP(J57,'Names with Seat Code'!A:E,5,FALSE)</f>
        <v>Cockrell</v>
      </c>
      <c r="I57" s="1" t="str">
        <f>VLOOKUP(J57,'Names with Seat Code'!A:E,3,FALSE)</f>
        <v>Thomas</v>
      </c>
      <c r="J57">
        <v>44</v>
      </c>
      <c r="K57" t="str">
        <f>VLOOKUP(J57,'Names with Seat Code'!A:E,4,FALSE)</f>
        <v/>
      </c>
      <c r="L57" s="1">
        <f>VLOOKUP(J57,'Names with Seat Code'!A:F,6,FALSE)</f>
        <v>0</v>
      </c>
    </row>
    <row r="58" spans="1:12" x14ac:dyDescent="0.25">
      <c r="A58" s="6" t="s">
        <v>48</v>
      </c>
      <c r="B58" s="6" t="s">
        <v>55</v>
      </c>
      <c r="C58" s="6">
        <v>104</v>
      </c>
      <c r="D58" s="7" t="s">
        <v>50</v>
      </c>
      <c r="E58" s="6">
        <v>3</v>
      </c>
      <c r="F58" s="8">
        <v>4</v>
      </c>
      <c r="G58" s="6">
        <f>VLOOKUP(J58,'Names with Seat Code'!A:I,9,FALSE)</f>
        <v>0</v>
      </c>
      <c r="H58" s="1" t="str">
        <f>VLOOKUP(J58,'Names with Seat Code'!A:E,5,FALSE)</f>
        <v>Comenos</v>
      </c>
      <c r="I58" s="1" t="str">
        <f>VLOOKUP(J58,'Names with Seat Code'!A:E,3,FALSE)</f>
        <v>Brady</v>
      </c>
      <c r="J58">
        <v>45</v>
      </c>
      <c r="K58" t="str">
        <f>VLOOKUP(J58,'Names with Seat Code'!A:E,4,FALSE)</f>
        <v/>
      </c>
      <c r="L58" s="1" t="str">
        <f>VLOOKUP(J58,'Names with Seat Code'!A:F,6,FALSE)</f>
        <v>Brady Com-e-nose</v>
      </c>
    </row>
    <row r="59" spans="1:12" x14ac:dyDescent="0.25">
      <c r="A59" s="6" t="s">
        <v>48</v>
      </c>
      <c r="B59" s="6" t="s">
        <v>55</v>
      </c>
      <c r="C59" s="6">
        <v>105</v>
      </c>
      <c r="D59" s="7" t="s">
        <v>50</v>
      </c>
      <c r="E59" s="6">
        <v>3</v>
      </c>
      <c r="F59" s="8">
        <v>5</v>
      </c>
      <c r="G59" s="6">
        <f>VLOOKUP(J59,'Names with Seat Code'!A:I,9,FALSE)</f>
        <v>0</v>
      </c>
      <c r="H59" s="1" t="str">
        <f>VLOOKUP(J59,'Names with Seat Code'!A:E,5,FALSE)</f>
        <v>Connelly</v>
      </c>
      <c r="I59" s="1" t="str">
        <f>VLOOKUP(J59,'Names with Seat Code'!A:E,3,FALSE)</f>
        <v>Landen</v>
      </c>
      <c r="J59">
        <v>46</v>
      </c>
      <c r="K59" t="str">
        <f>VLOOKUP(J59,'Names with Seat Code'!A:E,4,FALSE)</f>
        <v/>
      </c>
      <c r="L59" s="1" t="str">
        <f>VLOOKUP(J59,'Names with Seat Code'!A:F,6,FALSE)</f>
        <v xml:space="preserve">Landen connelly </v>
      </c>
    </row>
    <row r="60" spans="1:12" x14ac:dyDescent="0.25">
      <c r="A60" s="6" t="s">
        <v>48</v>
      </c>
      <c r="B60" s="6" t="s">
        <v>55</v>
      </c>
      <c r="C60" s="6">
        <v>106</v>
      </c>
      <c r="D60" s="7" t="s">
        <v>50</v>
      </c>
      <c r="E60" s="6">
        <v>3</v>
      </c>
      <c r="F60" s="8">
        <v>6</v>
      </c>
      <c r="G60" s="6">
        <f>VLOOKUP(J60,'Names with Seat Code'!A:I,9,FALSE)</f>
        <v>0</v>
      </c>
      <c r="H60" s="1" t="str">
        <f>VLOOKUP(J60,'Names with Seat Code'!A:E,5,FALSE)</f>
        <v>Connolly</v>
      </c>
      <c r="I60" s="1" t="str">
        <f>VLOOKUP(J60,'Names with Seat Code'!A:E,3,FALSE)</f>
        <v>Tim</v>
      </c>
      <c r="J60">
        <v>47</v>
      </c>
      <c r="K60" t="str">
        <f>VLOOKUP(J60,'Names with Seat Code'!A:E,4,FALSE)</f>
        <v/>
      </c>
      <c r="L60" s="1">
        <f>VLOOKUP(J60,'Names with Seat Code'!A:F,6,FALSE)</f>
        <v>0</v>
      </c>
    </row>
    <row r="61" spans="1:12" x14ac:dyDescent="0.25">
      <c r="A61" s="6" t="s">
        <v>48</v>
      </c>
      <c r="B61" s="6" t="s">
        <v>55</v>
      </c>
      <c r="C61" s="6">
        <v>107</v>
      </c>
      <c r="D61" s="7" t="s">
        <v>50</v>
      </c>
      <c r="E61" s="6">
        <v>3</v>
      </c>
      <c r="F61" s="8">
        <v>7</v>
      </c>
      <c r="G61" s="6">
        <f>VLOOKUP(J61,'Names with Seat Code'!A:I,9,FALSE)</f>
        <v>0</v>
      </c>
      <c r="H61" s="1" t="str">
        <f>VLOOKUP(J61,'Names with Seat Code'!A:E,5,FALSE)</f>
        <v>Connor</v>
      </c>
      <c r="I61" s="1" t="str">
        <f>VLOOKUP(J61,'Names with Seat Code'!A:E,3,FALSE)</f>
        <v>Derek</v>
      </c>
      <c r="J61">
        <v>48</v>
      </c>
      <c r="K61" t="str">
        <f>VLOOKUP(J61,'Names with Seat Code'!A:E,4,FALSE)</f>
        <v/>
      </c>
      <c r="L61" s="1" t="str">
        <f>VLOOKUP(J61,'Names with Seat Code'!A:F,6,FALSE)</f>
        <v>Derek Connor</v>
      </c>
    </row>
    <row r="62" spans="1:12" ht="18.75" thickBot="1" x14ac:dyDescent="0.3">
      <c r="A62" s="6" t="s">
        <v>48</v>
      </c>
      <c r="B62" s="6" t="s">
        <v>55</v>
      </c>
      <c r="C62" s="6">
        <v>108</v>
      </c>
      <c r="D62" s="7" t="s">
        <v>50</v>
      </c>
      <c r="E62" s="6">
        <v>3</v>
      </c>
      <c r="F62" s="8">
        <v>8</v>
      </c>
      <c r="G62" s="6">
        <f>VLOOKUP(J62,'Names with Seat Code'!A:I,9,FALSE)</f>
        <v>0</v>
      </c>
      <c r="H62" s="1" t="str">
        <f>VLOOKUP(J62,'Names with Seat Code'!A:E,5,FALSE)</f>
        <v>Cox</v>
      </c>
      <c r="I62" s="1" t="str">
        <f>VLOOKUP(J62,'Names with Seat Code'!A:E,3,FALSE)</f>
        <v>Kayla</v>
      </c>
      <c r="J62" s="3">
        <v>49</v>
      </c>
      <c r="K62" t="str">
        <f>VLOOKUP(J62,'Names with Seat Code'!A:E,4,FALSE)</f>
        <v/>
      </c>
      <c r="L62" s="1">
        <f>VLOOKUP(J62,'Names with Seat Code'!A:F,6,FALSE)</f>
        <v>0</v>
      </c>
    </row>
    <row r="63" spans="1:12" ht="18.75" thickTop="1" x14ac:dyDescent="0.25">
      <c r="A63" s="6" t="s">
        <v>48</v>
      </c>
      <c r="B63" s="6" t="s">
        <v>55</v>
      </c>
      <c r="C63" s="6">
        <v>109</v>
      </c>
      <c r="D63" s="7" t="s">
        <v>50</v>
      </c>
      <c r="E63" s="6">
        <v>3</v>
      </c>
      <c r="F63" s="8">
        <v>9</v>
      </c>
      <c r="G63" s="6">
        <f>VLOOKUP(J63,'Names with Seat Code'!A:I,9,FALSE)</f>
        <v>0</v>
      </c>
      <c r="H63" s="1" t="str">
        <f>VLOOKUP(J63,'Names with Seat Code'!A:E,5,FALSE)</f>
        <v>Coyne</v>
      </c>
      <c r="I63" s="1" t="str">
        <f>VLOOKUP(J63,'Names with Seat Code'!A:E,3,FALSE)</f>
        <v>John</v>
      </c>
      <c r="J63">
        <v>50</v>
      </c>
      <c r="K63" t="str">
        <f>VLOOKUP(J63,'Names with Seat Code'!A:E,4,FALSE)</f>
        <v/>
      </c>
      <c r="L63" s="1">
        <f>VLOOKUP(J63,'Names with Seat Code'!A:F,6,FALSE)</f>
        <v>0</v>
      </c>
    </row>
    <row r="64" spans="1:12" x14ac:dyDescent="0.25">
      <c r="A64" s="6" t="s">
        <v>48</v>
      </c>
      <c r="B64" s="6" t="s">
        <v>55</v>
      </c>
      <c r="C64" s="6">
        <v>110</v>
      </c>
      <c r="D64" s="7" t="s">
        <v>50</v>
      </c>
      <c r="E64" s="6">
        <v>3</v>
      </c>
      <c r="F64" s="8">
        <v>10</v>
      </c>
      <c r="G64" s="6">
        <f>VLOOKUP(J64,'Names with Seat Code'!A:I,9,FALSE)</f>
        <v>0</v>
      </c>
      <c r="H64" s="1" t="str">
        <f>VLOOKUP(J64,'Names with Seat Code'!A:E,5,FALSE)</f>
        <v>Crosby</v>
      </c>
      <c r="I64" s="1" t="str">
        <f>VLOOKUP(J64,'Names with Seat Code'!A:E,3,FALSE)</f>
        <v>Lily</v>
      </c>
      <c r="J64">
        <v>51</v>
      </c>
      <c r="K64" t="str">
        <f>VLOOKUP(J64,'Names with Seat Code'!A:E,4,FALSE)</f>
        <v/>
      </c>
      <c r="L64" s="1">
        <f>VLOOKUP(J64,'Names with Seat Code'!A:F,6,FALSE)</f>
        <v>0</v>
      </c>
    </row>
    <row r="65" spans="1:12" x14ac:dyDescent="0.25">
      <c r="A65" s="6" t="s">
        <v>48</v>
      </c>
      <c r="B65" s="6" t="s">
        <v>55</v>
      </c>
      <c r="C65" s="6">
        <v>111</v>
      </c>
      <c r="D65" s="7" t="s">
        <v>50</v>
      </c>
      <c r="E65" s="6">
        <v>3</v>
      </c>
      <c r="F65" s="8">
        <v>11</v>
      </c>
      <c r="G65" s="6">
        <f>VLOOKUP(J65,'Names with Seat Code'!A:I,9,FALSE)</f>
        <v>0</v>
      </c>
      <c r="H65" s="1" t="str">
        <f>VLOOKUP(J65,'Names with Seat Code'!A:E,5,FALSE)</f>
        <v>Crowley</v>
      </c>
      <c r="I65" s="1" t="str">
        <f>VLOOKUP(J65,'Names with Seat Code'!A:E,3,FALSE)</f>
        <v>Molly</v>
      </c>
      <c r="J65">
        <v>52</v>
      </c>
      <c r="K65" t="str">
        <f>VLOOKUP(J65,'Names with Seat Code'!A:E,4,FALSE)</f>
        <v/>
      </c>
      <c r="L65" s="1">
        <f>VLOOKUP(J65,'Names with Seat Code'!A:F,6,FALSE)</f>
        <v>0</v>
      </c>
    </row>
    <row r="66" spans="1:12" s="3" customFormat="1" ht="18.75" thickBot="1" x14ac:dyDescent="0.3">
      <c r="A66" s="4" t="s">
        <v>48</v>
      </c>
      <c r="B66" s="4" t="s">
        <v>55</v>
      </c>
      <c r="C66" s="4">
        <v>112</v>
      </c>
      <c r="D66" s="9" t="s">
        <v>50</v>
      </c>
      <c r="E66" s="4">
        <v>3</v>
      </c>
      <c r="F66" s="5">
        <v>12</v>
      </c>
      <c r="G66" s="6">
        <f>VLOOKUP(J66,'Names with Seat Code'!A:I,9,FALSE)</f>
        <v>0</v>
      </c>
      <c r="H66" s="37" t="str">
        <f>VLOOKUP(J66,'Names with Seat Code'!A:E,5,FALSE)</f>
        <v>Cullen</v>
      </c>
      <c r="I66" s="2" t="str">
        <f>VLOOKUP(J66,'Names with Seat Code'!A:E,3,FALSE)</f>
        <v>Shea</v>
      </c>
      <c r="J66">
        <v>53</v>
      </c>
      <c r="K66" s="3" t="str">
        <f>VLOOKUP(J66,'Names with Seat Code'!A:E,4,FALSE)</f>
        <v/>
      </c>
      <c r="L66" s="1">
        <f>VLOOKUP(J66,'Names with Seat Code'!A:F,6,FALSE)</f>
        <v>0</v>
      </c>
    </row>
    <row r="67" spans="1:12" ht="18.75" thickTop="1" x14ac:dyDescent="0.25">
      <c r="A67" s="6" t="s">
        <v>51</v>
      </c>
      <c r="B67" s="6" t="s">
        <v>56</v>
      </c>
      <c r="C67" s="6">
        <v>122</v>
      </c>
      <c r="D67" s="7" t="s">
        <v>53</v>
      </c>
      <c r="E67" s="6">
        <v>3</v>
      </c>
      <c r="F67" s="8">
        <v>1</v>
      </c>
      <c r="G67" s="6">
        <f>VLOOKUP(J67,'Names with Seat Code'!A:I,9,FALSE)</f>
        <v>0</v>
      </c>
      <c r="H67" s="1" t="str">
        <f>VLOOKUP(J67,'Names with Seat Code'!A:E,5,FALSE)</f>
        <v>Cusolito</v>
      </c>
      <c r="I67" s="1" t="str">
        <f>VLOOKUP(J67,'Names with Seat Code'!A:E,3,FALSE)</f>
        <v>Jacklyn</v>
      </c>
      <c r="J67">
        <v>54</v>
      </c>
      <c r="K67" t="str">
        <f>VLOOKUP(J67,'Names with Seat Code'!A:E,4,FALSE)</f>
        <v/>
      </c>
      <c r="L67" s="1">
        <f>VLOOKUP(J67,'Names with Seat Code'!A:F,6,FALSE)</f>
        <v>0</v>
      </c>
    </row>
    <row r="68" spans="1:12" x14ac:dyDescent="0.25">
      <c r="A68" s="6" t="s">
        <v>51</v>
      </c>
      <c r="B68" s="6" t="s">
        <v>56</v>
      </c>
      <c r="C68" s="6">
        <v>120</v>
      </c>
      <c r="D68" s="7" t="s">
        <v>53</v>
      </c>
      <c r="E68" s="6">
        <v>3</v>
      </c>
      <c r="F68" s="8">
        <v>2</v>
      </c>
      <c r="G68" s="6">
        <f>VLOOKUP(J68,'Names with Seat Code'!A:I,9,FALSE)</f>
        <v>0</v>
      </c>
      <c r="H68" s="1" t="str">
        <f>VLOOKUP(J68,'Names with Seat Code'!A:E,5,FALSE)</f>
        <v>Cusolito</v>
      </c>
      <c r="I68" s="1" t="str">
        <f>VLOOKUP(J68,'Names with Seat Code'!A:E,3,FALSE)</f>
        <v>Paige</v>
      </c>
      <c r="J68">
        <v>55</v>
      </c>
      <c r="K68" t="str">
        <f>VLOOKUP(J68,'Names with Seat Code'!A:E,4,FALSE)</f>
        <v/>
      </c>
      <c r="L68" s="1">
        <f>VLOOKUP(J68,'Names with Seat Code'!A:F,6,FALSE)</f>
        <v>0</v>
      </c>
    </row>
    <row r="69" spans="1:12" x14ac:dyDescent="0.25">
      <c r="A69" s="6" t="s">
        <v>51</v>
      </c>
      <c r="B69" s="6" t="s">
        <v>56</v>
      </c>
      <c r="C69" s="6">
        <v>118</v>
      </c>
      <c r="D69" s="7" t="s">
        <v>53</v>
      </c>
      <c r="E69" s="6">
        <v>3</v>
      </c>
      <c r="F69" s="8">
        <v>3</v>
      </c>
      <c r="G69" s="6">
        <f>VLOOKUP(J69,'Names with Seat Code'!A:I,9,FALSE)</f>
        <v>0</v>
      </c>
      <c r="H69" s="1" t="str">
        <f>VLOOKUP(J69,'Names with Seat Code'!A:E,5,FALSE)</f>
        <v>Da Silva</v>
      </c>
      <c r="I69" s="1" t="str">
        <f>VLOOKUP(J69,'Names with Seat Code'!A:E,3,FALSE)</f>
        <v>Walick</v>
      </c>
      <c r="J69">
        <v>56</v>
      </c>
      <c r="K69">
        <f>VLOOKUP(J69,'Names with Seat Code'!A:E,4,FALSE)</f>
        <v>0</v>
      </c>
      <c r="L69" s="1" t="str">
        <f>VLOOKUP(J69,'Names with Seat Code'!A:F,6,FALSE)</f>
        <v>Wall-lick Duh Silva</v>
      </c>
    </row>
    <row r="70" spans="1:12" x14ac:dyDescent="0.25">
      <c r="A70" s="6" t="s">
        <v>51</v>
      </c>
      <c r="B70" s="6" t="s">
        <v>56</v>
      </c>
      <c r="C70" s="6">
        <v>116</v>
      </c>
      <c r="D70" s="7" t="s">
        <v>53</v>
      </c>
      <c r="E70" s="6">
        <v>3</v>
      </c>
      <c r="F70" s="8">
        <v>4</v>
      </c>
      <c r="G70" s="6">
        <f>VLOOKUP(J70,'Names with Seat Code'!A:I,9,FALSE)</f>
        <v>0</v>
      </c>
      <c r="H70" s="1" t="str">
        <f>VLOOKUP(J70,'Names with Seat Code'!A:E,5,FALSE)</f>
        <v>Dean</v>
      </c>
      <c r="I70" s="1" t="str">
        <f>VLOOKUP(J70,'Names with Seat Code'!A:E,3,FALSE)</f>
        <v>Cooper</v>
      </c>
      <c r="J70">
        <v>57</v>
      </c>
      <c r="K70" t="str">
        <f>VLOOKUP(J70,'Names with Seat Code'!A:E,4,FALSE)</f>
        <v>Joseph</v>
      </c>
      <c r="L70" s="1" t="str">
        <f>VLOOKUP(J70,'Names with Seat Code'!A:F,6,FALSE)</f>
        <v>(Coo-pur) (Joe-Sef) (Deen)</v>
      </c>
    </row>
    <row r="71" spans="1:12" x14ac:dyDescent="0.25">
      <c r="A71" s="6" t="s">
        <v>51</v>
      </c>
      <c r="B71" s="6" t="s">
        <v>56</v>
      </c>
      <c r="C71" s="6">
        <v>114</v>
      </c>
      <c r="D71" s="7" t="s">
        <v>53</v>
      </c>
      <c r="E71" s="6">
        <v>3</v>
      </c>
      <c r="F71" s="8">
        <v>5</v>
      </c>
      <c r="G71" s="6">
        <f>VLOOKUP(J71,'Names with Seat Code'!A:I,9,FALSE)</f>
        <v>0</v>
      </c>
      <c r="H71" s="1" t="str">
        <f>VLOOKUP(J71,'Names with Seat Code'!A:E,5,FALSE)</f>
        <v>Deji</v>
      </c>
      <c r="I71" s="1" t="str">
        <f>VLOOKUP(J71,'Names with Seat Code'!A:E,3,FALSE)</f>
        <v>Happiness</v>
      </c>
      <c r="J71">
        <v>58</v>
      </c>
      <c r="K71" t="str">
        <f>VLOOKUP(J71,'Names with Seat Code'!A:E,4,FALSE)</f>
        <v>Osarugue</v>
      </c>
      <c r="L71" s="1" t="str">
        <f>VLOOKUP(J71,'Names with Seat Code'!A:F,6,FALSE)</f>
        <v xml:space="preserve">o sa ru gue </v>
      </c>
    </row>
    <row r="72" spans="1:12" x14ac:dyDescent="0.25">
      <c r="A72" s="6" t="s">
        <v>51</v>
      </c>
      <c r="B72" s="6" t="s">
        <v>56</v>
      </c>
      <c r="C72" s="6">
        <v>112</v>
      </c>
      <c r="D72" s="7" t="s">
        <v>53</v>
      </c>
      <c r="E72" s="6">
        <v>3</v>
      </c>
      <c r="F72" s="8">
        <v>6</v>
      </c>
      <c r="G72" s="6">
        <f>VLOOKUP(J72,'Names with Seat Code'!A:I,9,FALSE)</f>
        <v>0</v>
      </c>
      <c r="H72" s="1" t="str">
        <f>VLOOKUP(J72,'Names with Seat Code'!A:E,5,FALSE)</f>
        <v>Denmark</v>
      </c>
      <c r="I72" s="1" t="str">
        <f>VLOOKUP(J72,'Names with Seat Code'!A:E,3,FALSE)</f>
        <v>Jack</v>
      </c>
      <c r="J72">
        <v>59</v>
      </c>
      <c r="K72" t="str">
        <f>VLOOKUP(J72,'Names with Seat Code'!A:E,4,FALSE)</f>
        <v/>
      </c>
      <c r="L72" s="1">
        <f>VLOOKUP(J72,'Names with Seat Code'!A:F,6,FALSE)</f>
        <v>0</v>
      </c>
    </row>
    <row r="73" spans="1:12" x14ac:dyDescent="0.25">
      <c r="A73" s="6" t="s">
        <v>51</v>
      </c>
      <c r="B73" s="6" t="s">
        <v>56</v>
      </c>
      <c r="C73" s="6">
        <v>110</v>
      </c>
      <c r="D73" s="7" t="s">
        <v>53</v>
      </c>
      <c r="E73" s="6">
        <v>3</v>
      </c>
      <c r="F73" s="8">
        <v>7</v>
      </c>
      <c r="G73" s="6">
        <f>VLOOKUP(J73,'Names with Seat Code'!A:I,9,FALSE)</f>
        <v>0</v>
      </c>
      <c r="H73" s="1" t="str">
        <f>VLOOKUP(J73,'Names with Seat Code'!A:E,5,FALSE)</f>
        <v>DiDonato</v>
      </c>
      <c r="I73" s="1" t="str">
        <f>VLOOKUP(J73,'Names with Seat Code'!A:E,3,FALSE)</f>
        <v>Julie</v>
      </c>
      <c r="J73">
        <v>60</v>
      </c>
      <c r="K73" t="str">
        <f>VLOOKUP(J73,'Names with Seat Code'!A:E,4,FALSE)</f>
        <v/>
      </c>
      <c r="L73" s="1" t="str">
        <f>VLOOKUP(J73,'Names with Seat Code'!A:F,6,FALSE)</f>
        <v>Dee-doe-na-to</v>
      </c>
    </row>
    <row r="74" spans="1:12" ht="18.75" thickBot="1" x14ac:dyDescent="0.3">
      <c r="A74" s="6" t="s">
        <v>51</v>
      </c>
      <c r="B74" s="6" t="s">
        <v>56</v>
      </c>
      <c r="C74" s="6">
        <v>108</v>
      </c>
      <c r="D74" s="7" t="s">
        <v>53</v>
      </c>
      <c r="E74" s="6">
        <v>3</v>
      </c>
      <c r="F74" s="8">
        <v>8</v>
      </c>
      <c r="G74" s="6">
        <f>VLOOKUP(J74,'Names with Seat Code'!A:I,9,FALSE)</f>
        <v>0</v>
      </c>
      <c r="H74" s="1" t="str">
        <f>VLOOKUP(J74,'Names with Seat Code'!A:E,5,FALSE)</f>
        <v>DiSerio</v>
      </c>
      <c r="I74" s="1" t="str">
        <f>VLOOKUP(J74,'Names with Seat Code'!A:E,3,FALSE)</f>
        <v>Antonio</v>
      </c>
      <c r="J74" s="3">
        <v>61</v>
      </c>
      <c r="K74" t="str">
        <f>VLOOKUP(J74,'Names with Seat Code'!A:E,4,FALSE)</f>
        <v>Joseph</v>
      </c>
      <c r="L74" s="1">
        <f>VLOOKUP(J74,'Names with Seat Code'!A:F,6,FALSE)</f>
        <v>0</v>
      </c>
    </row>
    <row r="75" spans="1:12" ht="18.75" thickTop="1" x14ac:dyDescent="0.25">
      <c r="A75" s="6" t="s">
        <v>51</v>
      </c>
      <c r="B75" s="6" t="s">
        <v>56</v>
      </c>
      <c r="C75" s="6">
        <v>106</v>
      </c>
      <c r="D75" s="7" t="s">
        <v>53</v>
      </c>
      <c r="E75" s="6">
        <v>3</v>
      </c>
      <c r="F75" s="8">
        <v>9</v>
      </c>
      <c r="G75" s="6">
        <f>VLOOKUP(J75,'Names with Seat Code'!A:I,9,FALSE)</f>
        <v>0</v>
      </c>
      <c r="H75" s="1" t="str">
        <f>VLOOKUP(J75,'Names with Seat Code'!A:E,5,FALSE)</f>
        <v>DiSerio</v>
      </c>
      <c r="I75" s="1" t="str">
        <f>VLOOKUP(J75,'Names with Seat Code'!A:E,3,FALSE)</f>
        <v>Dante</v>
      </c>
      <c r="J75">
        <v>62</v>
      </c>
      <c r="K75" t="str">
        <f>VLOOKUP(J75,'Names with Seat Code'!A:E,4,FALSE)</f>
        <v/>
      </c>
      <c r="L75" s="1" t="str">
        <f>VLOOKUP(J75,'Names with Seat Code'!A:F,6,FALSE)</f>
        <v>Dis-ear-e-o</v>
      </c>
    </row>
    <row r="76" spans="1:12" x14ac:dyDescent="0.25">
      <c r="A76" s="6" t="s">
        <v>51</v>
      </c>
      <c r="B76" s="6" t="s">
        <v>56</v>
      </c>
      <c r="C76" s="6">
        <v>104</v>
      </c>
      <c r="D76" s="7" t="s">
        <v>53</v>
      </c>
      <c r="E76" s="6">
        <v>3</v>
      </c>
      <c r="F76" s="8">
        <v>10</v>
      </c>
      <c r="G76" s="6">
        <f>VLOOKUP(J76,'Names with Seat Code'!A:I,9,FALSE)</f>
        <v>0</v>
      </c>
      <c r="H76" s="1" t="str">
        <f>VLOOKUP(J76,'Names with Seat Code'!A:E,5,FALSE)</f>
        <v>Donaghey</v>
      </c>
      <c r="I76" s="1" t="str">
        <f>VLOOKUP(J76,'Names with Seat Code'!A:E,3,FALSE)</f>
        <v>Caitlin</v>
      </c>
      <c r="J76">
        <v>63</v>
      </c>
      <c r="K76" t="str">
        <f>VLOOKUP(J76,'Names with Seat Code'!A:E,4,FALSE)</f>
        <v>Anne</v>
      </c>
      <c r="L76" s="1" t="str">
        <f>VLOOKUP(J76,'Names with Seat Code'!A:F,6,FALSE)</f>
        <v>Don-a-hee</v>
      </c>
    </row>
    <row r="77" spans="1:12" x14ac:dyDescent="0.25">
      <c r="A77" s="6" t="s">
        <v>51</v>
      </c>
      <c r="B77" s="6" t="s">
        <v>56</v>
      </c>
      <c r="C77" s="6">
        <v>102</v>
      </c>
      <c r="D77" s="7" t="s">
        <v>53</v>
      </c>
      <c r="E77" s="6">
        <v>3</v>
      </c>
      <c r="F77" s="8">
        <v>11</v>
      </c>
      <c r="G77" s="6">
        <f>VLOOKUP(J77,'Names with Seat Code'!A:I,9,FALSE)</f>
        <v>0</v>
      </c>
      <c r="H77" s="1" t="str">
        <f>VLOOKUP(J77,'Names with Seat Code'!A:E,5,FALSE)</f>
        <v>Donahue</v>
      </c>
      <c r="I77" s="1" t="str">
        <f>VLOOKUP(J77,'Names with Seat Code'!A:E,3,FALSE)</f>
        <v>Quinn</v>
      </c>
      <c r="J77">
        <v>64</v>
      </c>
      <c r="K77" t="str">
        <f>VLOOKUP(J77,'Names with Seat Code'!A:E,4,FALSE)</f>
        <v>Kendall</v>
      </c>
      <c r="L77" s="1">
        <f>VLOOKUP(J77,'Names with Seat Code'!A:F,6,FALSE)</f>
        <v>0</v>
      </c>
    </row>
    <row r="78" spans="1:12" s="3" customFormat="1" ht="18.75" thickBot="1" x14ac:dyDescent="0.3">
      <c r="A78" s="4" t="s">
        <v>51</v>
      </c>
      <c r="B78" s="4" t="s">
        <v>56</v>
      </c>
      <c r="C78" s="4">
        <v>101</v>
      </c>
      <c r="D78" s="9" t="s">
        <v>53</v>
      </c>
      <c r="E78" s="4">
        <v>3</v>
      </c>
      <c r="F78" s="5">
        <v>12</v>
      </c>
      <c r="G78" s="6">
        <f>VLOOKUP(J78,'Names with Seat Code'!A:I,9,FALSE)</f>
        <v>0</v>
      </c>
      <c r="H78" s="37" t="str">
        <f>VLOOKUP(J78,'Names with Seat Code'!A:E,5,FALSE)</f>
        <v>Doroquez</v>
      </c>
      <c r="I78" s="2" t="str">
        <f>VLOOKUP(J78,'Names with Seat Code'!A:E,3,FALSE)</f>
        <v>Alana</v>
      </c>
      <c r="J78">
        <v>65</v>
      </c>
      <c r="K78" s="3" t="str">
        <f>VLOOKUP(J78,'Names with Seat Code'!A:E,4,FALSE)</f>
        <v>Mei-Lin Yamaki</v>
      </c>
      <c r="L78" s="1" t="str">
        <f>VLOOKUP(J78,'Names with Seat Code'!A:F,6,FALSE)</f>
        <v>Ah-lah-na May-Lynn Yah-mah-key Door-o-kez</v>
      </c>
    </row>
    <row r="79" spans="1:12" ht="18.75" thickTop="1" x14ac:dyDescent="0.25">
      <c r="A79" s="6" t="s">
        <v>48</v>
      </c>
      <c r="B79" s="6" t="s">
        <v>57</v>
      </c>
      <c r="C79" s="6">
        <v>101</v>
      </c>
      <c r="D79" s="7" t="s">
        <v>50</v>
      </c>
      <c r="E79" s="6">
        <v>4</v>
      </c>
      <c r="F79" s="8">
        <v>1</v>
      </c>
      <c r="G79" s="6">
        <f>VLOOKUP(J79,'Names with Seat Code'!A:I,9,FALSE)</f>
        <v>0</v>
      </c>
      <c r="H79" s="1" t="str">
        <f>VLOOKUP(J79,'Names with Seat Code'!A:E,5,FALSE)</f>
        <v>Duca</v>
      </c>
      <c r="I79" s="1" t="str">
        <f>VLOOKUP(J79,'Names with Seat Code'!A:E,3,FALSE)</f>
        <v>Cassidy</v>
      </c>
      <c r="J79">
        <v>66</v>
      </c>
      <c r="K79" t="str">
        <f>VLOOKUP(J79,'Names with Seat Code'!A:E,4,FALSE)</f>
        <v/>
      </c>
      <c r="L79" s="1">
        <f>VLOOKUP(J79,'Names with Seat Code'!A:F,6,FALSE)</f>
        <v>0</v>
      </c>
    </row>
    <row r="80" spans="1:12" x14ac:dyDescent="0.25">
      <c r="A80" s="6" t="s">
        <v>48</v>
      </c>
      <c r="B80" s="6" t="s">
        <v>57</v>
      </c>
      <c r="C80" s="6">
        <v>102</v>
      </c>
      <c r="D80" s="7" t="s">
        <v>50</v>
      </c>
      <c r="E80" s="6">
        <v>4</v>
      </c>
      <c r="F80" s="8">
        <v>2</v>
      </c>
      <c r="G80" s="6">
        <f>VLOOKUP(J80,'Names with Seat Code'!A:I,9,FALSE)</f>
        <v>0</v>
      </c>
      <c r="H80" s="1" t="str">
        <f>VLOOKUP(J80,'Names with Seat Code'!A:E,5,FALSE)</f>
        <v>DuRoss</v>
      </c>
      <c r="I80" s="1" t="str">
        <f>VLOOKUP(J80,'Names with Seat Code'!A:E,3,FALSE)</f>
        <v>Kyle</v>
      </c>
      <c r="J80">
        <v>67</v>
      </c>
      <c r="K80" t="str">
        <f>VLOOKUP(J80,'Names with Seat Code'!A:E,4,FALSE)</f>
        <v/>
      </c>
      <c r="L80" s="1" t="str">
        <f>VLOOKUP(J80,'Names with Seat Code'!A:F,6,FALSE)</f>
        <v>Dew-Ross</v>
      </c>
    </row>
    <row r="81" spans="1:12" x14ac:dyDescent="0.25">
      <c r="A81" s="6" t="s">
        <v>48</v>
      </c>
      <c r="B81" s="6" t="s">
        <v>57</v>
      </c>
      <c r="C81" s="6">
        <v>103</v>
      </c>
      <c r="D81" s="7" t="s">
        <v>50</v>
      </c>
      <c r="E81" s="6">
        <v>4</v>
      </c>
      <c r="F81" s="8">
        <v>3</v>
      </c>
      <c r="G81" s="6">
        <f>VLOOKUP(J81,'Names with Seat Code'!A:I,9,FALSE)</f>
        <v>0</v>
      </c>
      <c r="H81" s="1" t="str">
        <f>VLOOKUP(J81,'Names with Seat Code'!A:E,5,FALSE)</f>
        <v>DuRoss</v>
      </c>
      <c r="I81" s="1" t="str">
        <f>VLOOKUP(J81,'Names with Seat Code'!A:E,3,FALSE)</f>
        <v>Sean</v>
      </c>
      <c r="J81">
        <v>68</v>
      </c>
      <c r="K81" t="str">
        <f>VLOOKUP(J81,'Names with Seat Code'!A:E,4,FALSE)</f>
        <v/>
      </c>
      <c r="L81" s="1">
        <f>VLOOKUP(J81,'Names with Seat Code'!A:F,6,FALSE)</f>
        <v>0</v>
      </c>
    </row>
    <row r="82" spans="1:12" x14ac:dyDescent="0.25">
      <c r="A82" s="6" t="s">
        <v>48</v>
      </c>
      <c r="B82" s="6" t="s">
        <v>57</v>
      </c>
      <c r="C82" s="6">
        <v>104</v>
      </c>
      <c r="D82" s="7" t="s">
        <v>50</v>
      </c>
      <c r="E82" s="6">
        <v>4</v>
      </c>
      <c r="F82" s="8">
        <v>4</v>
      </c>
      <c r="G82" s="6">
        <f>VLOOKUP(J82,'Names with Seat Code'!A:I,9,FALSE)</f>
        <v>0</v>
      </c>
      <c r="H82" s="1" t="str">
        <f>VLOOKUP(J82,'Names with Seat Code'!A:E,5,FALSE)</f>
        <v>Dyment</v>
      </c>
      <c r="I82" s="1" t="str">
        <f>VLOOKUP(J82,'Names with Seat Code'!A:E,3,FALSE)</f>
        <v>William</v>
      </c>
      <c r="J82">
        <v>69</v>
      </c>
      <c r="K82" t="str">
        <f>VLOOKUP(J82,'Names with Seat Code'!A:E,4,FALSE)</f>
        <v/>
      </c>
      <c r="L82" s="1">
        <f>VLOOKUP(J82,'Names with Seat Code'!A:F,6,FALSE)</f>
        <v>0</v>
      </c>
    </row>
    <row r="83" spans="1:12" x14ac:dyDescent="0.25">
      <c r="A83" s="6" t="s">
        <v>48</v>
      </c>
      <c r="B83" s="6" t="s">
        <v>57</v>
      </c>
      <c r="C83" s="6">
        <v>105</v>
      </c>
      <c r="D83" s="7" t="s">
        <v>50</v>
      </c>
      <c r="E83" s="6">
        <v>4</v>
      </c>
      <c r="F83" s="8">
        <v>5</v>
      </c>
      <c r="G83" s="6">
        <f>VLOOKUP(J83,'Names with Seat Code'!A:I,9,FALSE)</f>
        <v>0</v>
      </c>
      <c r="H83" s="1" t="str">
        <f>VLOOKUP(J83,'Names with Seat Code'!A:E,5,FALSE)</f>
        <v>Ellis</v>
      </c>
      <c r="I83" s="1" t="str">
        <f>VLOOKUP(J83,'Names with Seat Code'!A:E,3,FALSE)</f>
        <v>Finn</v>
      </c>
      <c r="J83">
        <v>70</v>
      </c>
      <c r="K83" t="str">
        <f>VLOOKUP(J83,'Names with Seat Code'!A:E,4,FALSE)</f>
        <v/>
      </c>
      <c r="L83" s="1">
        <f>VLOOKUP(J83,'Names with Seat Code'!A:F,6,FALSE)</f>
        <v>0</v>
      </c>
    </row>
    <row r="84" spans="1:12" x14ac:dyDescent="0.25">
      <c r="A84" s="6" t="s">
        <v>48</v>
      </c>
      <c r="B84" s="6" t="s">
        <v>57</v>
      </c>
      <c r="C84" s="6">
        <v>106</v>
      </c>
      <c r="D84" s="7" t="s">
        <v>50</v>
      </c>
      <c r="E84" s="6">
        <v>4</v>
      </c>
      <c r="F84" s="8">
        <v>6</v>
      </c>
      <c r="G84" s="6">
        <f>VLOOKUP(J84,'Names with Seat Code'!A:I,9,FALSE)</f>
        <v>0</v>
      </c>
      <c r="H84" s="1" t="str">
        <f>VLOOKUP(J84,'Names with Seat Code'!A:E,5,FALSE)</f>
        <v>Emmanuel</v>
      </c>
      <c r="I84" s="1" t="str">
        <f>VLOOKUP(J84,'Names with Seat Code'!A:E,3,FALSE)</f>
        <v>Levi</v>
      </c>
      <c r="J84">
        <v>71</v>
      </c>
      <c r="K84" t="str">
        <f>VLOOKUP(J84,'Names with Seat Code'!A:E,4,FALSE)</f>
        <v/>
      </c>
      <c r="L84" s="1">
        <f>VLOOKUP(J84,'Names with Seat Code'!A:F,6,FALSE)</f>
        <v>0</v>
      </c>
    </row>
    <row r="85" spans="1:12" x14ac:dyDescent="0.25">
      <c r="A85" s="6" t="s">
        <v>48</v>
      </c>
      <c r="B85" s="6" t="s">
        <v>57</v>
      </c>
      <c r="C85" s="6">
        <v>107</v>
      </c>
      <c r="D85" s="7" t="s">
        <v>50</v>
      </c>
      <c r="E85" s="6">
        <v>4</v>
      </c>
      <c r="F85" s="8">
        <v>7</v>
      </c>
      <c r="G85" s="6">
        <f>VLOOKUP(J85,'Names with Seat Code'!A:I,9,FALSE)</f>
        <v>0</v>
      </c>
      <c r="H85" s="1" t="str">
        <f>VLOOKUP(J85,'Names with Seat Code'!A:E,5,FALSE)</f>
        <v>Encarnacao</v>
      </c>
      <c r="I85" s="1" t="str">
        <f>VLOOKUP(J85,'Names with Seat Code'!A:E,3,FALSE)</f>
        <v>Kamryn</v>
      </c>
      <c r="J85">
        <v>72</v>
      </c>
      <c r="K85" t="str">
        <f>VLOOKUP(J85,'Names with Seat Code'!A:E,4,FALSE)</f>
        <v/>
      </c>
      <c r="L85" s="1" t="str">
        <f>VLOOKUP(J85,'Names with Seat Code'!A:F,6,FALSE)</f>
        <v>In - car - naw - see - oh</v>
      </c>
    </row>
    <row r="86" spans="1:12" ht="18.75" thickBot="1" x14ac:dyDescent="0.3">
      <c r="A86" s="6" t="s">
        <v>48</v>
      </c>
      <c r="B86" s="6" t="s">
        <v>57</v>
      </c>
      <c r="C86" s="6">
        <v>108</v>
      </c>
      <c r="D86" s="7" t="s">
        <v>50</v>
      </c>
      <c r="E86" s="6">
        <v>4</v>
      </c>
      <c r="F86" s="8">
        <v>8</v>
      </c>
      <c r="G86" s="6">
        <f>VLOOKUP(J86,'Names with Seat Code'!A:I,9,FALSE)</f>
        <v>0</v>
      </c>
      <c r="H86" s="1" t="str">
        <f>VLOOKUP(J86,'Names with Seat Code'!A:E,5,FALSE)</f>
        <v>Ewald</v>
      </c>
      <c r="I86" s="1" t="str">
        <f>VLOOKUP(J86,'Names with Seat Code'!A:E,3,FALSE)</f>
        <v>Samuel</v>
      </c>
      <c r="J86" s="3">
        <v>73</v>
      </c>
      <c r="K86" t="str">
        <f>VLOOKUP(J86,'Names with Seat Code'!A:E,4,FALSE)</f>
        <v/>
      </c>
      <c r="L86" s="1" t="str">
        <f>VLOOKUP(J86,'Names with Seat Code'!A:F,6,FALSE)</f>
        <v xml:space="preserve">Eee-wald </v>
      </c>
    </row>
    <row r="87" spans="1:12" ht="18.75" thickTop="1" x14ac:dyDescent="0.25">
      <c r="A87" s="6" t="s">
        <v>48</v>
      </c>
      <c r="B87" s="6" t="s">
        <v>57</v>
      </c>
      <c r="C87" s="6">
        <v>109</v>
      </c>
      <c r="D87" s="7" t="s">
        <v>50</v>
      </c>
      <c r="E87" s="6">
        <v>4</v>
      </c>
      <c r="F87" s="8">
        <v>9</v>
      </c>
      <c r="G87" s="6">
        <f>VLOOKUP(J87,'Names with Seat Code'!A:I,9,FALSE)</f>
        <v>0</v>
      </c>
      <c r="H87" s="1" t="str">
        <f>VLOOKUP(J87,'Names with Seat Code'!A:E,5,FALSE)</f>
        <v>Fantasia</v>
      </c>
      <c r="I87" s="1" t="str">
        <f>VLOOKUP(J87,'Names with Seat Code'!A:E,3,FALSE)</f>
        <v>Kaylie</v>
      </c>
      <c r="J87">
        <v>74</v>
      </c>
      <c r="K87" t="str">
        <f>VLOOKUP(J87,'Names with Seat Code'!A:E,4,FALSE)</f>
        <v/>
      </c>
      <c r="L87" s="1" t="str">
        <f>VLOOKUP(J87,'Names with Seat Code'!A:F,6,FALSE)</f>
        <v>kay-lee</v>
      </c>
    </row>
    <row r="88" spans="1:12" x14ac:dyDescent="0.25">
      <c r="A88" s="6" t="s">
        <v>48</v>
      </c>
      <c r="B88" s="6" t="s">
        <v>57</v>
      </c>
      <c r="C88" s="6">
        <v>110</v>
      </c>
      <c r="D88" s="7" t="s">
        <v>50</v>
      </c>
      <c r="E88" s="6">
        <v>4</v>
      </c>
      <c r="F88" s="8">
        <v>10</v>
      </c>
      <c r="G88" s="6">
        <f>VLOOKUP(J88,'Names with Seat Code'!A:I,9,FALSE)</f>
        <v>0</v>
      </c>
      <c r="H88" s="1" t="str">
        <f>VLOOKUP(J88,'Names with Seat Code'!A:E,5,FALSE)</f>
        <v>Farnham</v>
      </c>
      <c r="I88" s="1" t="str">
        <f>VLOOKUP(J88,'Names with Seat Code'!A:E,3,FALSE)</f>
        <v>Vince</v>
      </c>
      <c r="J88">
        <v>75</v>
      </c>
      <c r="K88" t="str">
        <f>VLOOKUP(J88,'Names with Seat Code'!A:E,4,FALSE)</f>
        <v/>
      </c>
      <c r="L88" s="1">
        <f>VLOOKUP(J88,'Names with Seat Code'!A:F,6,FALSE)</f>
        <v>0</v>
      </c>
    </row>
    <row r="89" spans="1:12" x14ac:dyDescent="0.25">
      <c r="A89" s="6" t="s">
        <v>48</v>
      </c>
      <c r="B89" s="6" t="s">
        <v>57</v>
      </c>
      <c r="C89" s="6">
        <v>111</v>
      </c>
      <c r="D89" s="7" t="s">
        <v>50</v>
      </c>
      <c r="E89" s="6">
        <v>4</v>
      </c>
      <c r="F89" s="8">
        <v>11</v>
      </c>
      <c r="G89" s="6">
        <f>VLOOKUP(J89,'Names with Seat Code'!A:I,9,FALSE)</f>
        <v>0</v>
      </c>
      <c r="H89" s="1" t="str">
        <f>VLOOKUP(J89,'Names with Seat Code'!A:E,5,FALSE)</f>
        <v>Farris</v>
      </c>
      <c r="I89" s="1" t="str">
        <f>VLOOKUP(J89,'Names with Seat Code'!A:E,3,FALSE)</f>
        <v>Colby</v>
      </c>
      <c r="J89">
        <v>76</v>
      </c>
      <c r="K89" t="str">
        <f>VLOOKUP(J89,'Names with Seat Code'!A:E,4,FALSE)</f>
        <v/>
      </c>
      <c r="L89" s="1">
        <f>VLOOKUP(J89,'Names with Seat Code'!A:F,6,FALSE)</f>
        <v>0</v>
      </c>
    </row>
    <row r="90" spans="1:12" ht="18.75" thickBot="1" x14ac:dyDescent="0.3">
      <c r="A90" s="4" t="s">
        <v>48</v>
      </c>
      <c r="B90" s="4" t="s">
        <v>57</v>
      </c>
      <c r="C90" s="4">
        <v>112</v>
      </c>
      <c r="D90" s="9" t="s">
        <v>50</v>
      </c>
      <c r="E90" s="4">
        <v>4</v>
      </c>
      <c r="F90" s="5">
        <v>12</v>
      </c>
      <c r="G90" s="6">
        <f>VLOOKUP(J90,'Names with Seat Code'!A:I,9,FALSE)</f>
        <v>0</v>
      </c>
      <c r="H90" s="37" t="str">
        <f>VLOOKUP(J90,'Names with Seat Code'!A:E,5,FALSE)</f>
        <v>Fernandez</v>
      </c>
      <c r="I90" s="2" t="str">
        <f>VLOOKUP(J90,'Names with Seat Code'!A:E,3,FALSE)</f>
        <v>Bryan</v>
      </c>
      <c r="J90">
        <v>77</v>
      </c>
      <c r="K90" s="3" t="str">
        <f>VLOOKUP(J90,'Names with Seat Code'!A:E,4,FALSE)</f>
        <v/>
      </c>
      <c r="L90" s="1">
        <f>VLOOKUP(J90,'Names with Seat Code'!A:F,6,FALSE)</f>
        <v>0</v>
      </c>
    </row>
    <row r="91" spans="1:12" ht="18.75" thickTop="1" x14ac:dyDescent="0.25">
      <c r="A91" s="6" t="s">
        <v>51</v>
      </c>
      <c r="B91" s="6" t="s">
        <v>56</v>
      </c>
      <c r="C91" s="6">
        <v>103</v>
      </c>
      <c r="D91" s="7" t="s">
        <v>53</v>
      </c>
      <c r="E91" s="6">
        <v>4</v>
      </c>
      <c r="F91" s="8">
        <v>1</v>
      </c>
      <c r="G91" s="6">
        <f>VLOOKUP(J91,'Names with Seat Code'!A:I,9,FALSE)</f>
        <v>0</v>
      </c>
      <c r="H91" s="1" t="str">
        <f>VLOOKUP(J91,'Names with Seat Code'!A:E,5,FALSE)</f>
        <v>Fiore</v>
      </c>
      <c r="I91" s="1" t="str">
        <f>VLOOKUP(J91,'Names with Seat Code'!A:E,3,FALSE)</f>
        <v>Thomas</v>
      </c>
      <c r="J91">
        <v>78</v>
      </c>
      <c r="K91" t="str">
        <f>VLOOKUP(J91,'Names with Seat Code'!A:E,4,FALSE)</f>
        <v/>
      </c>
      <c r="L91" s="1">
        <f>VLOOKUP(J91,'Names with Seat Code'!A:F,6,FALSE)</f>
        <v>0</v>
      </c>
    </row>
    <row r="92" spans="1:12" x14ac:dyDescent="0.25">
      <c r="A92" s="6" t="s">
        <v>51</v>
      </c>
      <c r="B92" s="6" t="s">
        <v>56</v>
      </c>
      <c r="C92" s="6">
        <v>105</v>
      </c>
      <c r="D92" s="7" t="s">
        <v>53</v>
      </c>
      <c r="E92" s="6">
        <v>4</v>
      </c>
      <c r="F92" s="8">
        <v>2</v>
      </c>
      <c r="G92" s="6">
        <f>VLOOKUP(J92,'Names with Seat Code'!A:I,9,FALSE)</f>
        <v>0</v>
      </c>
      <c r="H92" s="1" t="str">
        <f>VLOOKUP(J92,'Names with Seat Code'!A:E,5,FALSE)</f>
        <v>Flaherty</v>
      </c>
      <c r="I92" s="1" t="str">
        <f>VLOOKUP(J92,'Names with Seat Code'!A:E,3,FALSE)</f>
        <v>Finn</v>
      </c>
      <c r="J92">
        <v>79</v>
      </c>
      <c r="K92" t="str">
        <f>VLOOKUP(J92,'Names with Seat Code'!A:E,4,FALSE)</f>
        <v>Patrick</v>
      </c>
      <c r="L92" s="1">
        <f>VLOOKUP(J92,'Names with Seat Code'!A:F,6,FALSE)</f>
        <v>0</v>
      </c>
    </row>
    <row r="93" spans="1:12" x14ac:dyDescent="0.25">
      <c r="A93" s="6" t="s">
        <v>51</v>
      </c>
      <c r="B93" s="6" t="s">
        <v>56</v>
      </c>
      <c r="C93" s="6">
        <v>107</v>
      </c>
      <c r="D93" s="7" t="s">
        <v>53</v>
      </c>
      <c r="E93" s="6">
        <v>4</v>
      </c>
      <c r="F93" s="8">
        <v>3</v>
      </c>
      <c r="G93" s="6">
        <f>VLOOKUP(J93,'Names with Seat Code'!A:I,9,FALSE)</f>
        <v>0</v>
      </c>
      <c r="H93" s="1" t="str">
        <f>VLOOKUP(J93,'Names with Seat Code'!A:E,5,FALSE)</f>
        <v>Forse</v>
      </c>
      <c r="I93" s="1" t="str">
        <f>VLOOKUP(J93,'Names with Seat Code'!A:E,3,FALSE)</f>
        <v>Matthew</v>
      </c>
      <c r="J93">
        <v>80</v>
      </c>
      <c r="K93" t="str">
        <f>VLOOKUP(J93,'Names with Seat Code'!A:E,4,FALSE)</f>
        <v/>
      </c>
      <c r="L93" s="1" t="str">
        <f>VLOOKUP(J93,'Names with Seat Code'!A:F,6,FALSE)</f>
        <v xml:space="preserve">"Force",   rhymes with HORSE </v>
      </c>
    </row>
    <row r="94" spans="1:12" x14ac:dyDescent="0.25">
      <c r="A94" s="6" t="s">
        <v>51</v>
      </c>
      <c r="B94" s="6" t="s">
        <v>56</v>
      </c>
      <c r="C94" s="6">
        <v>109</v>
      </c>
      <c r="D94" s="7" t="s">
        <v>53</v>
      </c>
      <c r="E94" s="6">
        <v>4</v>
      </c>
      <c r="F94" s="8">
        <v>4</v>
      </c>
      <c r="G94" s="6">
        <f>VLOOKUP(J94,'Names with Seat Code'!A:I,9,FALSE)</f>
        <v>0</v>
      </c>
      <c r="H94" s="1" t="str">
        <f>VLOOKUP(J94,'Names with Seat Code'!A:E,5,FALSE)</f>
        <v>Frank</v>
      </c>
      <c r="I94" s="1" t="str">
        <f>VLOOKUP(J94,'Names with Seat Code'!A:E,3,FALSE)</f>
        <v>Jacob</v>
      </c>
      <c r="J94">
        <v>81</v>
      </c>
      <c r="K94" t="str">
        <f>VLOOKUP(J94,'Names with Seat Code'!A:E,4,FALSE)</f>
        <v/>
      </c>
      <c r="L94" s="1">
        <f>VLOOKUP(J94,'Names with Seat Code'!A:F,6,FALSE)</f>
        <v>0</v>
      </c>
    </row>
    <row r="95" spans="1:12" x14ac:dyDescent="0.25">
      <c r="A95" s="6" t="s">
        <v>51</v>
      </c>
      <c r="B95" s="6" t="s">
        <v>56</v>
      </c>
      <c r="C95" s="6">
        <v>111</v>
      </c>
      <c r="D95" s="7" t="s">
        <v>53</v>
      </c>
      <c r="E95" s="6">
        <v>4</v>
      </c>
      <c r="F95" s="8">
        <v>5</v>
      </c>
      <c r="G95" s="6">
        <f>VLOOKUP(J95,'Names with Seat Code'!A:I,9,FALSE)</f>
        <v>0</v>
      </c>
      <c r="H95" s="1" t="str">
        <f>VLOOKUP(J95,'Names with Seat Code'!A:E,5,FALSE)</f>
        <v>Fratto</v>
      </c>
      <c r="I95" s="1" t="str">
        <f>VLOOKUP(J95,'Names with Seat Code'!A:E,3,FALSE)</f>
        <v>Anthony</v>
      </c>
      <c r="J95">
        <v>82</v>
      </c>
      <c r="K95" t="str">
        <f>VLOOKUP(J95,'Names with Seat Code'!A:E,4,FALSE)</f>
        <v/>
      </c>
      <c r="L95" s="1">
        <f>VLOOKUP(J95,'Names with Seat Code'!A:F,6,FALSE)</f>
        <v>0</v>
      </c>
    </row>
    <row r="96" spans="1:12" x14ac:dyDescent="0.25">
      <c r="A96" s="6" t="s">
        <v>51</v>
      </c>
      <c r="B96" s="6" t="s">
        <v>56</v>
      </c>
      <c r="C96" s="6">
        <v>113</v>
      </c>
      <c r="D96" s="7" t="s">
        <v>53</v>
      </c>
      <c r="E96" s="6">
        <v>4</v>
      </c>
      <c r="F96" s="8">
        <v>6</v>
      </c>
      <c r="G96" s="6">
        <f>VLOOKUP(J96,'Names with Seat Code'!A:I,9,FALSE)</f>
        <v>0</v>
      </c>
      <c r="H96" s="1" t="str">
        <f>VLOOKUP(J96,'Names with Seat Code'!A:E,5,FALSE)</f>
        <v>Fucarile</v>
      </c>
      <c r="I96" s="1" t="str">
        <f>VLOOKUP(J96,'Names with Seat Code'!A:E,3,FALSE)</f>
        <v>Gavin</v>
      </c>
      <c r="J96">
        <v>83</v>
      </c>
      <c r="K96" t="str">
        <f>VLOOKUP(J96,'Names with Seat Code'!A:E,4,FALSE)</f>
        <v/>
      </c>
      <c r="L96" s="1" t="str">
        <f>VLOOKUP(J96,'Names with Seat Code'!A:F,6,FALSE)</f>
        <v>Fuke-ah-rill</v>
      </c>
    </row>
    <row r="97" spans="1:12" x14ac:dyDescent="0.25">
      <c r="A97" s="6" t="s">
        <v>51</v>
      </c>
      <c r="B97" s="6" t="s">
        <v>56</v>
      </c>
      <c r="C97" s="6">
        <v>115</v>
      </c>
      <c r="D97" s="7" t="s">
        <v>53</v>
      </c>
      <c r="E97" s="6">
        <v>4</v>
      </c>
      <c r="F97" s="8">
        <v>7</v>
      </c>
      <c r="G97" s="6">
        <f>VLOOKUP(J97,'Names with Seat Code'!A:I,9,FALSE)</f>
        <v>0</v>
      </c>
      <c r="H97" s="1" t="str">
        <f>VLOOKUP(J97,'Names with Seat Code'!A:E,5,FALSE)</f>
        <v>Fusco</v>
      </c>
      <c r="I97" s="1" t="str">
        <f>VLOOKUP(J97,'Names with Seat Code'!A:E,3,FALSE)</f>
        <v>Cole</v>
      </c>
      <c r="J97">
        <v>84</v>
      </c>
      <c r="K97" t="str">
        <f>VLOOKUP(J97,'Names with Seat Code'!A:E,4,FALSE)</f>
        <v/>
      </c>
      <c r="L97" s="1">
        <f>VLOOKUP(J97,'Names with Seat Code'!A:F,6,FALSE)</f>
        <v>0</v>
      </c>
    </row>
    <row r="98" spans="1:12" ht="18.75" thickBot="1" x14ac:dyDescent="0.3">
      <c r="A98" s="6" t="s">
        <v>51</v>
      </c>
      <c r="B98" s="6" t="s">
        <v>56</v>
      </c>
      <c r="C98" s="6">
        <v>117</v>
      </c>
      <c r="D98" s="7" t="s">
        <v>53</v>
      </c>
      <c r="E98" s="6">
        <v>4</v>
      </c>
      <c r="F98" s="8">
        <v>8</v>
      </c>
      <c r="G98" s="6">
        <f>VLOOKUP(J98,'Names with Seat Code'!A:I,9,FALSE)</f>
        <v>0</v>
      </c>
      <c r="H98" s="1" t="str">
        <f>VLOOKUP(J98,'Names with Seat Code'!A:E,5,FALSE)</f>
        <v>Gaeta</v>
      </c>
      <c r="I98" s="1" t="str">
        <f>VLOOKUP(J98,'Names with Seat Code'!A:E,3,FALSE)</f>
        <v>Paul</v>
      </c>
      <c r="J98" s="3">
        <v>85</v>
      </c>
      <c r="K98" t="str">
        <f>VLOOKUP(J98,'Names with Seat Code'!A:E,4,FALSE)</f>
        <v>Richard</v>
      </c>
      <c r="L98" s="1">
        <f>VLOOKUP(J98,'Names with Seat Code'!A:F,6,FALSE)</f>
        <v>0</v>
      </c>
    </row>
    <row r="99" spans="1:12" ht="18.75" thickTop="1" x14ac:dyDescent="0.25">
      <c r="A99" s="6" t="s">
        <v>51</v>
      </c>
      <c r="B99" s="6" t="s">
        <v>56</v>
      </c>
      <c r="C99" s="6">
        <v>119</v>
      </c>
      <c r="D99" s="7" t="s">
        <v>53</v>
      </c>
      <c r="E99" s="6">
        <v>4</v>
      </c>
      <c r="F99" s="8">
        <v>9</v>
      </c>
      <c r="G99" s="6">
        <f>VLOOKUP(J99,'Names with Seat Code'!A:I,9,FALSE)</f>
        <v>0</v>
      </c>
      <c r="H99" s="1" t="str">
        <f>VLOOKUP(J99,'Names with Seat Code'!A:E,5,FALSE)</f>
        <v>Gager</v>
      </c>
      <c r="I99" s="1" t="str">
        <f>VLOOKUP(J99,'Names with Seat Code'!A:E,3,FALSE)</f>
        <v>Lucas</v>
      </c>
      <c r="J99">
        <v>86</v>
      </c>
      <c r="K99" t="str">
        <f>VLOOKUP(J99,'Names with Seat Code'!A:E,4,FALSE)</f>
        <v/>
      </c>
      <c r="L99" s="1" t="str">
        <f>VLOOKUP(J99,'Names with Seat Code'!A:F,6,FALSE)</f>
        <v>Gay-jer</v>
      </c>
    </row>
    <row r="100" spans="1:12" x14ac:dyDescent="0.25">
      <c r="A100" s="6" t="s">
        <v>51</v>
      </c>
      <c r="B100" s="6" t="s">
        <v>56</v>
      </c>
      <c r="C100" s="6">
        <v>121</v>
      </c>
      <c r="D100" s="7" t="s">
        <v>53</v>
      </c>
      <c r="E100" s="6">
        <v>4</v>
      </c>
      <c r="F100" s="8">
        <v>10</v>
      </c>
      <c r="G100" s="6">
        <f>VLOOKUP(J100,'Names with Seat Code'!A:I,9,FALSE)</f>
        <v>0</v>
      </c>
      <c r="H100" s="1" t="str">
        <f>VLOOKUP(J100,'Names with Seat Code'!A:E,5,FALSE)</f>
        <v>Galindo</v>
      </c>
      <c r="I100" s="1" t="str">
        <f>VLOOKUP(J100,'Names with Seat Code'!A:E,3,FALSE)</f>
        <v>Nevaeh</v>
      </c>
      <c r="J100">
        <v>87</v>
      </c>
      <c r="K100" t="str">
        <f>VLOOKUP(J100,'Names with Seat Code'!A:E,4,FALSE)</f>
        <v/>
      </c>
      <c r="L100" s="1">
        <f>VLOOKUP(J100,'Names with Seat Code'!A:F,6,FALSE)</f>
        <v>0</v>
      </c>
    </row>
    <row r="101" spans="1:12" x14ac:dyDescent="0.25">
      <c r="A101" s="6" t="s">
        <v>51</v>
      </c>
      <c r="B101" s="6" t="s">
        <v>56</v>
      </c>
      <c r="C101" s="6">
        <v>1</v>
      </c>
      <c r="D101" s="7" t="s">
        <v>53</v>
      </c>
      <c r="E101" s="6">
        <v>4</v>
      </c>
      <c r="F101" s="8">
        <v>11</v>
      </c>
      <c r="G101" s="6">
        <f>VLOOKUP(J101,'Names with Seat Code'!A:I,9,FALSE)</f>
        <v>0</v>
      </c>
      <c r="H101" s="1" t="str">
        <f>VLOOKUP(J101,'Names with Seat Code'!A:E,5,FALSE)</f>
        <v>Gallagher</v>
      </c>
      <c r="I101" s="1" t="str">
        <f>VLOOKUP(J101,'Names with Seat Code'!A:E,3,FALSE)</f>
        <v>Joseph</v>
      </c>
      <c r="J101">
        <v>88</v>
      </c>
      <c r="K101" t="str">
        <f>VLOOKUP(J101,'Names with Seat Code'!A:E,4,FALSE)</f>
        <v/>
      </c>
      <c r="L101" s="1" t="str">
        <f>VLOOKUP(J101,'Names with Seat Code'!A:F,6,FALSE)</f>
        <v>Joseph Gallagher</v>
      </c>
    </row>
    <row r="102" spans="1:12" ht="18.75" thickBot="1" x14ac:dyDescent="0.3">
      <c r="A102" s="4" t="s">
        <v>51</v>
      </c>
      <c r="B102" s="4" t="s">
        <v>56</v>
      </c>
      <c r="C102" s="5">
        <v>3</v>
      </c>
      <c r="D102" s="9" t="s">
        <v>53</v>
      </c>
      <c r="E102" s="4">
        <v>4</v>
      </c>
      <c r="F102" s="5">
        <v>12</v>
      </c>
      <c r="G102" s="6">
        <f>VLOOKUP(J102,'Names with Seat Code'!A:I,9,FALSE)</f>
        <v>0</v>
      </c>
      <c r="H102" s="37" t="str">
        <f>VLOOKUP(J102,'Names with Seat Code'!A:E,5,FALSE)</f>
        <v>Gauvin</v>
      </c>
      <c r="I102" s="2" t="str">
        <f>VLOOKUP(J102,'Names with Seat Code'!A:E,3,FALSE)</f>
        <v>Brendan</v>
      </c>
      <c r="J102">
        <v>89</v>
      </c>
      <c r="K102" s="3" t="str">
        <f>VLOOKUP(J102,'Names with Seat Code'!A:E,4,FALSE)</f>
        <v/>
      </c>
      <c r="L102" s="1" t="str">
        <f>VLOOKUP(J102,'Names with Seat Code'!A:F,6,FALSE)</f>
        <v>Gau-vin</v>
      </c>
    </row>
    <row r="103" spans="1:12" ht="18.75" thickTop="1" x14ac:dyDescent="0.25">
      <c r="A103" s="6" t="s">
        <v>48</v>
      </c>
      <c r="B103" s="6" t="s">
        <v>58</v>
      </c>
      <c r="C103" s="6">
        <v>101</v>
      </c>
      <c r="D103" s="7" t="s">
        <v>50</v>
      </c>
      <c r="E103" s="6">
        <f>E79+1</f>
        <v>5</v>
      </c>
      <c r="F103" s="8">
        <v>1</v>
      </c>
      <c r="G103" s="6">
        <f>VLOOKUP(J103,'Names with Seat Code'!A:I,9,FALSE)</f>
        <v>0</v>
      </c>
      <c r="H103" s="1" t="str">
        <f>VLOOKUP(J103,'Names with Seat Code'!A:E,5,FALSE)</f>
        <v>Gebeyaw</v>
      </c>
      <c r="I103" s="1" t="str">
        <f>VLOOKUP(J103,'Names with Seat Code'!A:E,3,FALSE)</f>
        <v>Bereket</v>
      </c>
      <c r="J103">
        <v>90</v>
      </c>
      <c r="K103" t="str">
        <f>VLOOKUP(J103,'Names with Seat Code'!A:E,4,FALSE)</f>
        <v/>
      </c>
      <c r="L103" s="1">
        <f>VLOOKUP(J103,'Names with Seat Code'!A:F,6,FALSE)</f>
        <v>0</v>
      </c>
    </row>
    <row r="104" spans="1:12" x14ac:dyDescent="0.25">
      <c r="A104" s="6" t="s">
        <v>48</v>
      </c>
      <c r="B104" s="6" t="s">
        <v>58</v>
      </c>
      <c r="C104" s="6">
        <v>102</v>
      </c>
      <c r="D104" s="7" t="s">
        <v>50</v>
      </c>
      <c r="E104" s="6">
        <f t="shared" ref="E104:E167" si="0">E80+1</f>
        <v>5</v>
      </c>
      <c r="F104" s="8">
        <v>2</v>
      </c>
      <c r="G104" s="6">
        <f>VLOOKUP(J104,'Names with Seat Code'!A:I,9,FALSE)</f>
        <v>0</v>
      </c>
      <c r="H104" s="1" t="str">
        <f>VLOOKUP(J104,'Names with Seat Code'!A:E,5,FALSE)</f>
        <v>Gellot</v>
      </c>
      <c r="I104" s="1" t="str">
        <f>VLOOKUP(J104,'Names with Seat Code'!A:E,3,FALSE)</f>
        <v>Alix</v>
      </c>
      <c r="J104">
        <v>91</v>
      </c>
      <c r="K104" t="str">
        <f>VLOOKUP(J104,'Names with Seat Code'!A:E,4,FALSE)</f>
        <v/>
      </c>
      <c r="L104" s="1">
        <f>VLOOKUP(J104,'Names with Seat Code'!A:F,6,FALSE)</f>
        <v>0</v>
      </c>
    </row>
    <row r="105" spans="1:12" x14ac:dyDescent="0.25">
      <c r="A105" s="6" t="s">
        <v>48</v>
      </c>
      <c r="B105" s="6" t="s">
        <v>58</v>
      </c>
      <c r="C105" s="6">
        <v>103</v>
      </c>
      <c r="D105" s="7" t="s">
        <v>50</v>
      </c>
      <c r="E105" s="6">
        <f t="shared" si="0"/>
        <v>5</v>
      </c>
      <c r="F105" s="8">
        <v>3</v>
      </c>
      <c r="G105" s="6">
        <f>VLOOKUP(J105,'Names with Seat Code'!A:I,9,FALSE)</f>
        <v>0</v>
      </c>
      <c r="H105" s="1" t="str">
        <f>VLOOKUP(J105,'Names with Seat Code'!A:E,5,FALSE)</f>
        <v>Gigler</v>
      </c>
      <c r="I105" s="1" t="str">
        <f>VLOOKUP(J105,'Names with Seat Code'!A:E,3,FALSE)</f>
        <v>Cameron</v>
      </c>
      <c r="J105">
        <v>92</v>
      </c>
      <c r="K105" t="str">
        <f>VLOOKUP(J105,'Names with Seat Code'!A:E,4,FALSE)</f>
        <v/>
      </c>
      <c r="L105" s="1">
        <f>VLOOKUP(J105,'Names with Seat Code'!A:F,6,FALSE)</f>
        <v>0</v>
      </c>
    </row>
    <row r="106" spans="1:12" x14ac:dyDescent="0.25">
      <c r="A106" s="6" t="s">
        <v>48</v>
      </c>
      <c r="B106" s="6" t="s">
        <v>58</v>
      </c>
      <c r="C106" s="6">
        <v>104</v>
      </c>
      <c r="D106" s="7" t="s">
        <v>50</v>
      </c>
      <c r="E106" s="6">
        <f t="shared" si="0"/>
        <v>5</v>
      </c>
      <c r="F106" s="8">
        <v>4</v>
      </c>
      <c r="G106" s="6">
        <f>VLOOKUP(J106,'Names with Seat Code'!A:I,9,FALSE)</f>
        <v>0</v>
      </c>
      <c r="H106" s="1" t="str">
        <f>VLOOKUP(J106,'Names with Seat Code'!A:E,5,FALSE)</f>
        <v>Gisetto</v>
      </c>
      <c r="I106" s="1" t="str">
        <f>VLOOKUP(J106,'Names with Seat Code'!A:E,3,FALSE)</f>
        <v>Alex</v>
      </c>
      <c r="J106">
        <v>93</v>
      </c>
      <c r="K106" t="str">
        <f>VLOOKUP(J106,'Names with Seat Code'!A:E,4,FALSE)</f>
        <v/>
      </c>
      <c r="L106" s="1">
        <f>VLOOKUP(J106,'Names with Seat Code'!A:F,6,FALSE)</f>
        <v>0</v>
      </c>
    </row>
    <row r="107" spans="1:12" x14ac:dyDescent="0.25">
      <c r="A107" s="6" t="s">
        <v>48</v>
      </c>
      <c r="B107" s="6" t="s">
        <v>58</v>
      </c>
      <c r="C107" s="6">
        <v>105</v>
      </c>
      <c r="D107" s="7" t="s">
        <v>50</v>
      </c>
      <c r="E107" s="6">
        <f t="shared" si="0"/>
        <v>5</v>
      </c>
      <c r="F107" s="8">
        <v>5</v>
      </c>
      <c r="G107" s="6">
        <f>VLOOKUP(J107,'Names with Seat Code'!A:I,9,FALSE)</f>
        <v>0</v>
      </c>
      <c r="H107" s="1" t="str">
        <f>VLOOKUP(J107,'Names with Seat Code'!A:E,5,FALSE)</f>
        <v>Goldlust</v>
      </c>
      <c r="I107" s="1" t="str">
        <f>VLOOKUP(J107,'Names with Seat Code'!A:E,3,FALSE)</f>
        <v>Benjamin</v>
      </c>
      <c r="J107">
        <v>94</v>
      </c>
      <c r="K107" t="str">
        <f>VLOOKUP(J107,'Names with Seat Code'!A:E,4,FALSE)</f>
        <v/>
      </c>
      <c r="L107" s="1">
        <f>VLOOKUP(J107,'Names with Seat Code'!A:F,6,FALSE)</f>
        <v>0</v>
      </c>
    </row>
    <row r="108" spans="1:12" x14ac:dyDescent="0.25">
      <c r="A108" s="6" t="s">
        <v>48</v>
      </c>
      <c r="B108" s="6" t="s">
        <v>58</v>
      </c>
      <c r="C108" s="6">
        <v>106</v>
      </c>
      <c r="D108" s="7" t="s">
        <v>50</v>
      </c>
      <c r="E108" s="6">
        <f t="shared" si="0"/>
        <v>5</v>
      </c>
      <c r="F108" s="8">
        <v>6</v>
      </c>
      <c r="G108" s="6">
        <f>VLOOKUP(J108,'Names with Seat Code'!A:I,9,FALSE)</f>
        <v>0</v>
      </c>
      <c r="H108" s="1" t="str">
        <f>VLOOKUP(J108,'Names with Seat Code'!A:E,5,FALSE)</f>
        <v>Goodfellow</v>
      </c>
      <c r="I108" s="1" t="str">
        <f>VLOOKUP(J108,'Names with Seat Code'!A:E,3,FALSE)</f>
        <v>Jack</v>
      </c>
      <c r="J108">
        <v>95</v>
      </c>
      <c r="K108" t="str">
        <f>VLOOKUP(J108,'Names with Seat Code'!A:E,4,FALSE)</f>
        <v/>
      </c>
      <c r="L108" s="1">
        <f>VLOOKUP(J108,'Names with Seat Code'!A:F,6,FALSE)</f>
        <v>0</v>
      </c>
    </row>
    <row r="109" spans="1:12" x14ac:dyDescent="0.25">
      <c r="A109" s="6" t="s">
        <v>48</v>
      </c>
      <c r="B109" s="6" t="s">
        <v>58</v>
      </c>
      <c r="C109" s="6">
        <v>107</v>
      </c>
      <c r="D109" s="7" t="s">
        <v>50</v>
      </c>
      <c r="E109" s="6">
        <f t="shared" si="0"/>
        <v>5</v>
      </c>
      <c r="F109" s="8">
        <v>7</v>
      </c>
      <c r="G109" s="6">
        <f>VLOOKUP(J109,'Names with Seat Code'!A:I,9,FALSE)</f>
        <v>0</v>
      </c>
      <c r="H109" s="1" t="str">
        <f>VLOOKUP(J109,'Names with Seat Code'!A:E,5,FALSE)</f>
        <v>Gorski</v>
      </c>
      <c r="I109" s="1" t="str">
        <f>VLOOKUP(J109,'Names with Seat Code'!A:E,3,FALSE)</f>
        <v>Drew</v>
      </c>
      <c r="J109">
        <v>96</v>
      </c>
      <c r="K109" t="str">
        <f>VLOOKUP(J109,'Names with Seat Code'!A:E,4,FALSE)</f>
        <v/>
      </c>
      <c r="L109" s="1" t="str">
        <f>VLOOKUP(J109,'Names with Seat Code'!A:F,6,FALSE)</f>
        <v>Drew</v>
      </c>
    </row>
    <row r="110" spans="1:12" ht="18.75" thickBot="1" x14ac:dyDescent="0.3">
      <c r="A110" s="6" t="s">
        <v>48</v>
      </c>
      <c r="B110" s="6" t="s">
        <v>58</v>
      </c>
      <c r="C110" s="6">
        <v>108</v>
      </c>
      <c r="D110" s="7" t="s">
        <v>50</v>
      </c>
      <c r="E110" s="6">
        <f t="shared" si="0"/>
        <v>5</v>
      </c>
      <c r="F110" s="8">
        <v>8</v>
      </c>
      <c r="G110" s="6">
        <f>VLOOKUP(J110,'Names with Seat Code'!A:I,9,FALSE)</f>
        <v>0</v>
      </c>
      <c r="H110" s="1" t="str">
        <f>VLOOKUP(J110,'Names with Seat Code'!A:E,5,FALSE)</f>
        <v>Gosdanian</v>
      </c>
      <c r="I110" s="1" t="str">
        <f>VLOOKUP(J110,'Names with Seat Code'!A:E,3,FALSE)</f>
        <v>Lila</v>
      </c>
      <c r="J110" s="3">
        <v>97</v>
      </c>
      <c r="K110" t="str">
        <f>VLOOKUP(J110,'Names with Seat Code'!A:E,4,FALSE)</f>
        <v/>
      </c>
      <c r="L110" s="1" t="str">
        <f>VLOOKUP(J110,'Names with Seat Code'!A:F,6,FALSE)</f>
        <v>Lylah Gosdainian</v>
      </c>
    </row>
    <row r="111" spans="1:12" ht="18.75" thickTop="1" x14ac:dyDescent="0.25">
      <c r="A111" s="6" t="s">
        <v>48</v>
      </c>
      <c r="B111" s="6" t="s">
        <v>58</v>
      </c>
      <c r="C111" s="6">
        <v>109</v>
      </c>
      <c r="D111" s="7" t="s">
        <v>50</v>
      </c>
      <c r="E111" s="6">
        <f t="shared" si="0"/>
        <v>5</v>
      </c>
      <c r="F111" s="8">
        <v>9</v>
      </c>
      <c r="G111" s="6">
        <f>VLOOKUP(J111,'Names with Seat Code'!A:I,9,FALSE)</f>
        <v>0</v>
      </c>
      <c r="H111" s="1" t="str">
        <f>VLOOKUP(J111,'Names with Seat Code'!A:E,5,FALSE)</f>
        <v>Grant</v>
      </c>
      <c r="I111" s="1" t="str">
        <f>VLOOKUP(J111,'Names with Seat Code'!A:E,3,FALSE)</f>
        <v>Cole</v>
      </c>
      <c r="J111">
        <v>98</v>
      </c>
      <c r="K111" t="str">
        <f>VLOOKUP(J111,'Names with Seat Code'!A:E,4,FALSE)</f>
        <v>Sebastian</v>
      </c>
      <c r="L111" s="1">
        <f>VLOOKUP(J111,'Names with Seat Code'!A:F,6,FALSE)</f>
        <v>0</v>
      </c>
    </row>
    <row r="112" spans="1:12" x14ac:dyDescent="0.25">
      <c r="A112" s="6" t="s">
        <v>48</v>
      </c>
      <c r="B112" s="6" t="s">
        <v>58</v>
      </c>
      <c r="C112" s="6">
        <v>110</v>
      </c>
      <c r="D112" s="7" t="s">
        <v>50</v>
      </c>
      <c r="E112" s="6">
        <f t="shared" si="0"/>
        <v>5</v>
      </c>
      <c r="F112" s="8">
        <v>10</v>
      </c>
      <c r="G112" s="6">
        <f>VLOOKUP(J112,'Names with Seat Code'!A:I,9,FALSE)</f>
        <v>0</v>
      </c>
      <c r="H112" s="1" t="str">
        <f>VLOOKUP(J112,'Names with Seat Code'!A:E,5,FALSE)</f>
        <v>Graves</v>
      </c>
      <c r="I112" s="1" t="str">
        <f>VLOOKUP(J112,'Names with Seat Code'!A:E,3,FALSE)</f>
        <v>Kendall</v>
      </c>
      <c r="J112">
        <v>99</v>
      </c>
      <c r="K112" t="str">
        <f>VLOOKUP(J112,'Names with Seat Code'!A:E,4,FALSE)</f>
        <v/>
      </c>
      <c r="L112" s="1">
        <f>VLOOKUP(J112,'Names with Seat Code'!A:F,6,FALSE)</f>
        <v>0</v>
      </c>
    </row>
    <row r="113" spans="1:12" x14ac:dyDescent="0.25">
      <c r="A113" s="6" t="s">
        <v>48</v>
      </c>
      <c r="B113" s="6" t="s">
        <v>58</v>
      </c>
      <c r="C113" s="6">
        <v>111</v>
      </c>
      <c r="D113" s="7" t="s">
        <v>50</v>
      </c>
      <c r="E113" s="6">
        <f t="shared" si="0"/>
        <v>5</v>
      </c>
      <c r="F113" s="8">
        <v>11</v>
      </c>
      <c r="G113" s="6">
        <f>VLOOKUP(J113,'Names with Seat Code'!A:I,9,FALSE)</f>
        <v>0</v>
      </c>
      <c r="H113" s="1" t="str">
        <f>VLOOKUP(J113,'Names with Seat Code'!A:E,5,FALSE)</f>
        <v>Haggerty</v>
      </c>
      <c r="I113" s="1" t="str">
        <f>VLOOKUP(J113,'Names with Seat Code'!A:E,3,FALSE)</f>
        <v>Griffin</v>
      </c>
      <c r="J113">
        <v>100</v>
      </c>
      <c r="K113" t="str">
        <f>VLOOKUP(J113,'Names with Seat Code'!A:E,4,FALSE)</f>
        <v>James</v>
      </c>
      <c r="L113" s="1">
        <f>VLOOKUP(J113,'Names with Seat Code'!A:F,6,FALSE)</f>
        <v>0</v>
      </c>
    </row>
    <row r="114" spans="1:12" ht="18.75" thickBot="1" x14ac:dyDescent="0.3">
      <c r="A114" s="4" t="s">
        <v>48</v>
      </c>
      <c r="B114" s="4" t="s">
        <v>58</v>
      </c>
      <c r="C114" s="4">
        <v>112</v>
      </c>
      <c r="D114" s="9" t="s">
        <v>50</v>
      </c>
      <c r="E114" s="4">
        <f t="shared" si="0"/>
        <v>5</v>
      </c>
      <c r="F114" s="5">
        <v>12</v>
      </c>
      <c r="G114" s="6">
        <f>VLOOKUP(J114,'Names with Seat Code'!A:I,9,FALSE)</f>
        <v>0</v>
      </c>
      <c r="H114" s="37" t="str">
        <f>VLOOKUP(J114,'Names with Seat Code'!A:E,5,FALSE)</f>
        <v>Hall</v>
      </c>
      <c r="I114" s="2" t="str">
        <f>VLOOKUP(J114,'Names with Seat Code'!A:E,3,FALSE)</f>
        <v>Andrea</v>
      </c>
      <c r="J114">
        <v>101</v>
      </c>
      <c r="K114" s="3" t="str">
        <f>VLOOKUP(J114,'Names with Seat Code'!A:E,4,FALSE)</f>
        <v/>
      </c>
      <c r="L114" s="1" t="str">
        <f>VLOOKUP(J114,'Names with Seat Code'!A:F,6,FALSE)</f>
        <v>Alpha, November, Delta, Romeo, Echo, alpha</v>
      </c>
    </row>
    <row r="115" spans="1:12" ht="18.75" thickTop="1" x14ac:dyDescent="0.25">
      <c r="A115" s="6" t="s">
        <v>51</v>
      </c>
      <c r="B115" s="6" t="s">
        <v>59</v>
      </c>
      <c r="C115" s="6">
        <v>124</v>
      </c>
      <c r="D115" s="7" t="s">
        <v>53</v>
      </c>
      <c r="E115" s="6">
        <f>E91+1</f>
        <v>5</v>
      </c>
      <c r="F115" s="8">
        <v>1</v>
      </c>
      <c r="G115" s="6">
        <f>VLOOKUP(J115,'Names with Seat Code'!A:I,9,FALSE)</f>
        <v>0</v>
      </c>
      <c r="H115" s="1" t="str">
        <f>VLOOKUP(J115,'Names with Seat Code'!A:E,5,FALSE)</f>
        <v>Hamilton</v>
      </c>
      <c r="I115" s="1" t="str">
        <f>VLOOKUP(J115,'Names with Seat Code'!A:E,3,FALSE)</f>
        <v>Sarah</v>
      </c>
      <c r="J115">
        <v>102</v>
      </c>
      <c r="K115" t="str">
        <f>VLOOKUP(J115,'Names with Seat Code'!A:E,4,FALSE)</f>
        <v/>
      </c>
      <c r="L115" s="1">
        <f>VLOOKUP(J115,'Names with Seat Code'!A:F,6,FALSE)</f>
        <v>0</v>
      </c>
    </row>
    <row r="116" spans="1:12" x14ac:dyDescent="0.25">
      <c r="A116" s="6" t="s">
        <v>51</v>
      </c>
      <c r="B116" s="6" t="s">
        <v>59</v>
      </c>
      <c r="C116" s="6">
        <v>122</v>
      </c>
      <c r="D116" s="7" t="s">
        <v>53</v>
      </c>
      <c r="E116" s="6">
        <f t="shared" si="0"/>
        <v>5</v>
      </c>
      <c r="F116" s="8">
        <v>2</v>
      </c>
      <c r="G116" s="6">
        <f>VLOOKUP(J116,'Names with Seat Code'!A:I,9,FALSE)</f>
        <v>0</v>
      </c>
      <c r="H116" s="1" t="str">
        <f>VLOOKUP(J116,'Names with Seat Code'!A:E,5,FALSE)</f>
        <v>Hanifan</v>
      </c>
      <c r="I116" s="1" t="str">
        <f>VLOOKUP(J116,'Names with Seat Code'!A:E,3,FALSE)</f>
        <v>Margaret</v>
      </c>
      <c r="J116">
        <v>103</v>
      </c>
      <c r="K116" t="str">
        <f>VLOOKUP(J116,'Names with Seat Code'!A:E,4,FALSE)</f>
        <v/>
      </c>
      <c r="L116" s="1">
        <f>VLOOKUP(J116,'Names with Seat Code'!A:F,6,FALSE)</f>
        <v>0</v>
      </c>
    </row>
    <row r="117" spans="1:12" x14ac:dyDescent="0.25">
      <c r="A117" s="6" t="s">
        <v>51</v>
      </c>
      <c r="B117" s="6" t="s">
        <v>59</v>
      </c>
      <c r="C117" s="6">
        <v>120</v>
      </c>
      <c r="D117" s="7" t="s">
        <v>53</v>
      </c>
      <c r="E117" s="6">
        <f t="shared" si="0"/>
        <v>5</v>
      </c>
      <c r="F117" s="8">
        <v>3</v>
      </c>
      <c r="G117" s="6">
        <f>VLOOKUP(J117,'Names with Seat Code'!A:I,9,FALSE)</f>
        <v>0</v>
      </c>
      <c r="H117" s="1" t="str">
        <f>VLOOKUP(J117,'Names with Seat Code'!A:E,5,FALSE)</f>
        <v>Harrigan</v>
      </c>
      <c r="I117" s="1" t="str">
        <f>VLOOKUP(J117,'Names with Seat Code'!A:E,3,FALSE)</f>
        <v>Cameron</v>
      </c>
      <c r="J117">
        <v>104</v>
      </c>
      <c r="K117" t="str">
        <f>VLOOKUP(J117,'Names with Seat Code'!A:E,4,FALSE)</f>
        <v/>
      </c>
      <c r="L117" s="1">
        <f>VLOOKUP(J117,'Names with Seat Code'!A:F,6,FALSE)</f>
        <v>0</v>
      </c>
    </row>
    <row r="118" spans="1:12" x14ac:dyDescent="0.25">
      <c r="A118" s="6" t="s">
        <v>51</v>
      </c>
      <c r="B118" s="6" t="s">
        <v>59</v>
      </c>
      <c r="C118" s="6">
        <v>118</v>
      </c>
      <c r="D118" s="7" t="s">
        <v>53</v>
      </c>
      <c r="E118" s="6">
        <f t="shared" si="0"/>
        <v>5</v>
      </c>
      <c r="F118" s="8">
        <v>4</v>
      </c>
      <c r="G118" s="6">
        <f>VLOOKUP(J118,'Names with Seat Code'!A:I,9,FALSE)</f>
        <v>0</v>
      </c>
      <c r="H118" s="1" t="str">
        <f>VLOOKUP(J118,'Names with Seat Code'!A:E,5,FALSE)</f>
        <v>Henri</v>
      </c>
      <c r="I118" s="1" t="str">
        <f>VLOOKUP(J118,'Names with Seat Code'!A:E,3,FALSE)</f>
        <v>Victoria</v>
      </c>
      <c r="J118">
        <v>105</v>
      </c>
      <c r="K118" t="str">
        <f>VLOOKUP(J118,'Names with Seat Code'!A:E,4,FALSE)</f>
        <v/>
      </c>
      <c r="L118" s="1" t="str">
        <f>VLOOKUP(J118,'Names with Seat Code'!A:F,6,FALSE)</f>
        <v>Vic-tor-ee-a Hen-ree</v>
      </c>
    </row>
    <row r="119" spans="1:12" x14ac:dyDescent="0.25">
      <c r="A119" s="6" t="s">
        <v>51</v>
      </c>
      <c r="B119" s="6" t="s">
        <v>59</v>
      </c>
      <c r="C119" s="6">
        <v>116</v>
      </c>
      <c r="D119" s="7" t="s">
        <v>53</v>
      </c>
      <c r="E119" s="6">
        <f t="shared" si="0"/>
        <v>5</v>
      </c>
      <c r="F119" s="8">
        <v>5</v>
      </c>
      <c r="G119" s="6">
        <f>VLOOKUP(J119,'Names with Seat Code'!A:I,9,FALSE)</f>
        <v>0</v>
      </c>
      <c r="H119" s="1" t="str">
        <f>VLOOKUP(J119,'Names with Seat Code'!A:E,5,FALSE)</f>
        <v>Henrique</v>
      </c>
      <c r="I119" s="1" t="str">
        <f>VLOOKUP(J119,'Names with Seat Code'!A:E,3,FALSE)</f>
        <v>Kayke</v>
      </c>
      <c r="J119">
        <v>106</v>
      </c>
      <c r="K119" t="str">
        <f>VLOOKUP(J119,'Names with Seat Code'!A:E,4,FALSE)</f>
        <v/>
      </c>
      <c r="L119" s="1">
        <f>VLOOKUP(J119,'Names with Seat Code'!A:F,6,FALSE)</f>
        <v>0</v>
      </c>
    </row>
    <row r="120" spans="1:12" x14ac:dyDescent="0.25">
      <c r="A120" s="6" t="s">
        <v>51</v>
      </c>
      <c r="B120" s="6" t="s">
        <v>59</v>
      </c>
      <c r="C120" s="6">
        <v>114</v>
      </c>
      <c r="D120" s="7" t="s">
        <v>53</v>
      </c>
      <c r="E120" s="6">
        <f t="shared" si="0"/>
        <v>5</v>
      </c>
      <c r="F120" s="8">
        <v>6</v>
      </c>
      <c r="G120" s="6">
        <f>VLOOKUP(J120,'Names with Seat Code'!A:I,9,FALSE)</f>
        <v>0</v>
      </c>
      <c r="H120" s="1" t="str">
        <f>VLOOKUP(J120,'Names with Seat Code'!A:E,5,FALSE)</f>
        <v>Hobson</v>
      </c>
      <c r="I120" s="1" t="str">
        <f>VLOOKUP(J120,'Names with Seat Code'!A:E,3,FALSE)</f>
        <v>Jahkye</v>
      </c>
      <c r="J120">
        <v>107</v>
      </c>
      <c r="K120" t="str">
        <f>VLOOKUP(J120,'Names with Seat Code'!A:E,4,FALSE)</f>
        <v/>
      </c>
      <c r="L120" s="1" t="str">
        <f>VLOOKUP(J120,'Names with Seat Code'!A:F,6,FALSE)</f>
        <v>JAH-KIA</v>
      </c>
    </row>
    <row r="121" spans="1:12" x14ac:dyDescent="0.25">
      <c r="A121" s="6" t="s">
        <v>51</v>
      </c>
      <c r="B121" s="6" t="s">
        <v>59</v>
      </c>
      <c r="C121" s="6">
        <v>112</v>
      </c>
      <c r="D121" s="7" t="s">
        <v>53</v>
      </c>
      <c r="E121" s="6">
        <f t="shared" si="0"/>
        <v>5</v>
      </c>
      <c r="F121" s="8">
        <v>7</v>
      </c>
      <c r="G121" s="6">
        <f>VLOOKUP(J121,'Names with Seat Code'!A:I,9,FALSE)</f>
        <v>0</v>
      </c>
      <c r="H121" s="1" t="str">
        <f>VLOOKUP(J121,'Names with Seat Code'!A:E,5,FALSE)</f>
        <v>Holt</v>
      </c>
      <c r="I121" s="1" t="str">
        <f>VLOOKUP(J121,'Names with Seat Code'!A:E,3,FALSE)</f>
        <v>Sam</v>
      </c>
      <c r="J121">
        <v>108</v>
      </c>
      <c r="K121" t="str">
        <f>VLOOKUP(J121,'Names with Seat Code'!A:E,4,FALSE)</f>
        <v/>
      </c>
      <c r="L121" s="1">
        <f>VLOOKUP(J121,'Names with Seat Code'!A:F,6,FALSE)</f>
        <v>0</v>
      </c>
    </row>
    <row r="122" spans="1:12" ht="18.75" thickBot="1" x14ac:dyDescent="0.3">
      <c r="A122" s="6" t="s">
        <v>51</v>
      </c>
      <c r="B122" s="6" t="s">
        <v>59</v>
      </c>
      <c r="C122" s="6">
        <v>110</v>
      </c>
      <c r="D122" s="7" t="s">
        <v>53</v>
      </c>
      <c r="E122" s="6">
        <f t="shared" si="0"/>
        <v>5</v>
      </c>
      <c r="F122" s="8">
        <v>8</v>
      </c>
      <c r="G122" s="6">
        <f>VLOOKUP(J122,'Names with Seat Code'!A:I,9,FALSE)</f>
        <v>0</v>
      </c>
      <c r="H122" s="1" t="str">
        <f>VLOOKUP(J122,'Names with Seat Code'!A:E,5,FALSE)</f>
        <v>Houle</v>
      </c>
      <c r="I122" s="1" t="str">
        <f>VLOOKUP(J122,'Names with Seat Code'!A:E,3,FALSE)</f>
        <v>Benjamin</v>
      </c>
      <c r="J122" s="3">
        <v>109</v>
      </c>
      <c r="K122" t="str">
        <f>VLOOKUP(J122,'Names with Seat Code'!A:E,4,FALSE)</f>
        <v/>
      </c>
      <c r="L122" s="1" t="str">
        <f>VLOOKUP(J122,'Names with Seat Code'!A:F,6,FALSE)</f>
        <v>H-oo-l</v>
      </c>
    </row>
    <row r="123" spans="1:12" ht="18.75" thickTop="1" x14ac:dyDescent="0.25">
      <c r="A123" s="6" t="s">
        <v>51</v>
      </c>
      <c r="B123" s="6" t="s">
        <v>59</v>
      </c>
      <c r="C123" s="6">
        <v>108</v>
      </c>
      <c r="D123" s="7" t="s">
        <v>53</v>
      </c>
      <c r="E123" s="6">
        <f t="shared" si="0"/>
        <v>5</v>
      </c>
      <c r="F123" s="8">
        <v>9</v>
      </c>
      <c r="G123" s="6">
        <f>VLOOKUP(J123,'Names with Seat Code'!A:I,9,FALSE)</f>
        <v>0</v>
      </c>
      <c r="H123" s="1" t="str">
        <f>VLOOKUP(J123,'Names with Seat Code'!A:E,5,FALSE)</f>
        <v>Howell</v>
      </c>
      <c r="I123" s="1" t="str">
        <f>VLOOKUP(J123,'Names with Seat Code'!A:E,3,FALSE)</f>
        <v>Evin</v>
      </c>
      <c r="J123">
        <v>110</v>
      </c>
      <c r="K123" t="str">
        <f>VLOOKUP(J123,'Names with Seat Code'!A:E,4,FALSE)</f>
        <v/>
      </c>
      <c r="L123" s="1">
        <f>VLOOKUP(J123,'Names with Seat Code'!A:F,6,FALSE)</f>
        <v>0</v>
      </c>
    </row>
    <row r="124" spans="1:12" x14ac:dyDescent="0.25">
      <c r="A124" s="6" t="s">
        <v>51</v>
      </c>
      <c r="B124" s="6" t="s">
        <v>59</v>
      </c>
      <c r="C124" s="6">
        <v>106</v>
      </c>
      <c r="D124" s="7" t="s">
        <v>53</v>
      </c>
      <c r="E124" s="6">
        <f t="shared" si="0"/>
        <v>5</v>
      </c>
      <c r="F124" s="8">
        <v>10</v>
      </c>
      <c r="G124" s="6">
        <f>VLOOKUP(J124,'Names with Seat Code'!A:I,9,FALSE)</f>
        <v>0</v>
      </c>
      <c r="H124" s="1" t="str">
        <f>VLOOKUP(J124,'Names with Seat Code'!A:E,5,FALSE)</f>
        <v>Iosua</v>
      </c>
      <c r="I124" s="1" t="str">
        <f>VLOOKUP(J124,'Names with Seat Code'!A:E,3,FALSE)</f>
        <v>Paul</v>
      </c>
      <c r="J124">
        <v>111</v>
      </c>
      <c r="K124" t="str">
        <f>VLOOKUP(J124,'Names with Seat Code'!A:E,4,FALSE)</f>
        <v>Joseph</v>
      </c>
      <c r="L124" s="1" t="str">
        <f>VLOOKUP(J124,'Names with Seat Code'!A:F,6,FALSE)</f>
        <v>I-osh-u-ah</v>
      </c>
    </row>
    <row r="125" spans="1:12" x14ac:dyDescent="0.25">
      <c r="A125" s="6" t="s">
        <v>51</v>
      </c>
      <c r="B125" s="6" t="s">
        <v>59</v>
      </c>
      <c r="C125" s="6">
        <v>104</v>
      </c>
      <c r="D125" s="7" t="s">
        <v>53</v>
      </c>
      <c r="E125" s="6">
        <f t="shared" si="0"/>
        <v>5</v>
      </c>
      <c r="F125" s="8">
        <v>11</v>
      </c>
      <c r="G125" s="6">
        <f>VLOOKUP(J125,'Names with Seat Code'!A:I,9,FALSE)</f>
        <v>0</v>
      </c>
      <c r="H125" s="1" t="str">
        <f>VLOOKUP(J125,'Names with Seat Code'!A:E,5,FALSE)</f>
        <v>Jackvony</v>
      </c>
      <c r="I125" s="1" t="str">
        <f>VLOOKUP(J125,'Names with Seat Code'!A:E,3,FALSE)</f>
        <v>Leah</v>
      </c>
      <c r="J125">
        <v>112</v>
      </c>
      <c r="K125" t="str">
        <f>VLOOKUP(J125,'Names with Seat Code'!A:E,4,FALSE)</f>
        <v/>
      </c>
      <c r="L125" s="1">
        <f>VLOOKUP(J125,'Names with Seat Code'!A:F,6,FALSE)</f>
        <v>0</v>
      </c>
    </row>
    <row r="126" spans="1:12" ht="18.75" thickBot="1" x14ac:dyDescent="0.3">
      <c r="A126" s="4" t="s">
        <v>51</v>
      </c>
      <c r="B126" s="4" t="s">
        <v>59</v>
      </c>
      <c r="C126" s="5">
        <v>102</v>
      </c>
      <c r="D126" s="9" t="s">
        <v>53</v>
      </c>
      <c r="E126" s="4">
        <f t="shared" si="0"/>
        <v>5</v>
      </c>
      <c r="F126" s="5">
        <v>12</v>
      </c>
      <c r="G126" s="6">
        <f>VLOOKUP(J126,'Names with Seat Code'!A:I,9,FALSE)</f>
        <v>0</v>
      </c>
      <c r="H126" s="37" t="str">
        <f>VLOOKUP(J126,'Names with Seat Code'!A:E,5,FALSE)</f>
        <v>Jankun</v>
      </c>
      <c r="I126" s="2" t="str">
        <f>VLOOKUP(J126,'Names with Seat Code'!A:E,3,FALSE)</f>
        <v>Wayne</v>
      </c>
      <c r="J126">
        <v>113</v>
      </c>
      <c r="K126" s="3" t="str">
        <f>VLOOKUP(J126,'Names with Seat Code'!A:E,4,FALSE)</f>
        <v/>
      </c>
      <c r="L126" s="1">
        <f>VLOOKUP(J126,'Names with Seat Code'!A:F,6,FALSE)</f>
        <v>0</v>
      </c>
    </row>
    <row r="127" spans="1:12" ht="18.75" thickTop="1" x14ac:dyDescent="0.25">
      <c r="A127" s="6" t="s">
        <v>48</v>
      </c>
      <c r="B127" s="6" t="s">
        <v>60</v>
      </c>
      <c r="C127" s="6">
        <v>101</v>
      </c>
      <c r="D127" s="7" t="s">
        <v>50</v>
      </c>
      <c r="E127" s="6">
        <f>E103+1</f>
        <v>6</v>
      </c>
      <c r="F127" s="8">
        <v>1</v>
      </c>
      <c r="G127" s="6">
        <f>VLOOKUP(J127,'Names with Seat Code'!A:I,9,FALSE)</f>
        <v>0</v>
      </c>
      <c r="H127" s="1" t="str">
        <f>VLOOKUP(J127,'Names with Seat Code'!A:E,5,FALSE)</f>
        <v>Jenkins</v>
      </c>
      <c r="I127" s="1" t="str">
        <f>VLOOKUP(J127,'Names with Seat Code'!A:E,3,FALSE)</f>
        <v>Tristan</v>
      </c>
      <c r="J127">
        <v>114</v>
      </c>
      <c r="K127" t="str">
        <f>VLOOKUP(J127,'Names with Seat Code'!A:E,4,FALSE)</f>
        <v/>
      </c>
      <c r="L127" s="1">
        <f>VLOOKUP(J127,'Names with Seat Code'!A:F,6,FALSE)</f>
        <v>0</v>
      </c>
    </row>
    <row r="128" spans="1:12" x14ac:dyDescent="0.25">
      <c r="A128" s="6" t="s">
        <v>48</v>
      </c>
      <c r="B128" s="6" t="s">
        <v>60</v>
      </c>
      <c r="C128" s="6">
        <v>102</v>
      </c>
      <c r="D128" s="7" t="s">
        <v>50</v>
      </c>
      <c r="E128" s="6">
        <f t="shared" si="0"/>
        <v>6</v>
      </c>
      <c r="F128" s="8">
        <v>2</v>
      </c>
      <c r="G128" s="6">
        <f>VLOOKUP(J128,'Names with Seat Code'!A:I,9,FALSE)</f>
        <v>0</v>
      </c>
      <c r="H128" s="1" t="str">
        <f>VLOOKUP(J128,'Names with Seat Code'!A:E,5,FALSE)</f>
        <v>Jenney</v>
      </c>
      <c r="I128" s="1" t="str">
        <f>VLOOKUP(J128,'Names with Seat Code'!A:E,3,FALSE)</f>
        <v>Evan</v>
      </c>
      <c r="J128">
        <v>115</v>
      </c>
      <c r="K128" t="str">
        <f>VLOOKUP(J128,'Names with Seat Code'!A:E,4,FALSE)</f>
        <v/>
      </c>
      <c r="L128" s="1">
        <f>VLOOKUP(J128,'Names with Seat Code'!A:F,6,FALSE)</f>
        <v>0</v>
      </c>
    </row>
    <row r="129" spans="1:12" x14ac:dyDescent="0.25">
      <c r="A129" s="6" t="s">
        <v>48</v>
      </c>
      <c r="B129" s="6" t="s">
        <v>60</v>
      </c>
      <c r="C129" s="6">
        <v>103</v>
      </c>
      <c r="D129" s="7" t="s">
        <v>50</v>
      </c>
      <c r="E129" s="6">
        <f t="shared" si="0"/>
        <v>6</v>
      </c>
      <c r="F129" s="8">
        <v>3</v>
      </c>
      <c r="G129" s="6">
        <f>VLOOKUP(J129,'Names with Seat Code'!A:I,9,FALSE)</f>
        <v>0</v>
      </c>
      <c r="H129" s="1" t="str">
        <f>VLOOKUP(J129,'Names with Seat Code'!A:E,5,FALSE)</f>
        <v>Jenney</v>
      </c>
      <c r="I129" s="1" t="str">
        <f>VLOOKUP(J129,'Names with Seat Code'!A:E,3,FALSE)</f>
        <v>Michael</v>
      </c>
      <c r="J129">
        <v>116</v>
      </c>
      <c r="K129" t="str">
        <f>VLOOKUP(J129,'Names with Seat Code'!A:E,4,FALSE)</f>
        <v/>
      </c>
      <c r="L129" s="1">
        <f>VLOOKUP(J129,'Names with Seat Code'!A:F,6,FALSE)</f>
        <v>0</v>
      </c>
    </row>
    <row r="130" spans="1:12" x14ac:dyDescent="0.25">
      <c r="A130" s="6" t="s">
        <v>48</v>
      </c>
      <c r="B130" s="6" t="s">
        <v>60</v>
      </c>
      <c r="C130" s="6">
        <v>104</v>
      </c>
      <c r="D130" s="7" t="s">
        <v>50</v>
      </c>
      <c r="E130" s="6">
        <f t="shared" si="0"/>
        <v>6</v>
      </c>
      <c r="F130" s="8">
        <v>4</v>
      </c>
      <c r="G130" s="6">
        <f>VLOOKUP(J130,'Names with Seat Code'!A:I,9,FALSE)</f>
        <v>0</v>
      </c>
      <c r="H130" s="1" t="str">
        <f>VLOOKUP(J130,'Names with Seat Code'!A:E,5,FALSE)</f>
        <v>Johnson</v>
      </c>
      <c r="I130" s="1" t="str">
        <f>VLOOKUP(J130,'Names with Seat Code'!A:E,3,FALSE)</f>
        <v>Luke</v>
      </c>
      <c r="J130">
        <v>117</v>
      </c>
      <c r="K130" t="str">
        <f>VLOOKUP(J130,'Names with Seat Code'!A:E,4,FALSE)</f>
        <v/>
      </c>
      <c r="L130" s="1">
        <f>VLOOKUP(J130,'Names with Seat Code'!A:F,6,FALSE)</f>
        <v>0</v>
      </c>
    </row>
    <row r="131" spans="1:12" x14ac:dyDescent="0.25">
      <c r="A131" s="6" t="s">
        <v>48</v>
      </c>
      <c r="B131" s="6" t="s">
        <v>60</v>
      </c>
      <c r="C131" s="6">
        <v>105</v>
      </c>
      <c r="D131" s="7" t="s">
        <v>50</v>
      </c>
      <c r="E131" s="6">
        <f t="shared" si="0"/>
        <v>6</v>
      </c>
      <c r="F131" s="8">
        <v>5</v>
      </c>
      <c r="G131" s="6">
        <f>VLOOKUP(J131,'Names with Seat Code'!A:I,9,FALSE)</f>
        <v>0</v>
      </c>
      <c r="H131" s="1" t="str">
        <f>VLOOKUP(J131,'Names with Seat Code'!A:E,5,FALSE)</f>
        <v>Jones</v>
      </c>
      <c r="I131" s="1" t="str">
        <f>VLOOKUP(J131,'Names with Seat Code'!A:E,3,FALSE)</f>
        <v>Maeve</v>
      </c>
      <c r="J131">
        <v>118</v>
      </c>
      <c r="K131" t="str">
        <f>VLOOKUP(J131,'Names with Seat Code'!A:E,4,FALSE)</f>
        <v/>
      </c>
      <c r="L131" s="1">
        <f>VLOOKUP(J131,'Names with Seat Code'!A:F,6,FALSE)</f>
        <v>0</v>
      </c>
    </row>
    <row r="132" spans="1:12" x14ac:dyDescent="0.25">
      <c r="A132" s="6" t="s">
        <v>48</v>
      </c>
      <c r="B132" s="6" t="s">
        <v>60</v>
      </c>
      <c r="C132" s="6">
        <v>106</v>
      </c>
      <c r="D132" s="7" t="s">
        <v>50</v>
      </c>
      <c r="E132" s="6">
        <f t="shared" si="0"/>
        <v>6</v>
      </c>
      <c r="F132" s="8">
        <v>6</v>
      </c>
      <c r="G132" s="6">
        <f>VLOOKUP(J132,'Names with Seat Code'!A:I,9,FALSE)</f>
        <v>0</v>
      </c>
      <c r="H132" s="1" t="str">
        <f>VLOOKUP(J132,'Names with Seat Code'!A:E,5,FALSE)</f>
        <v>Jordan</v>
      </c>
      <c r="I132" s="1" t="str">
        <f>VLOOKUP(J132,'Names with Seat Code'!A:E,3,FALSE)</f>
        <v>Nolan</v>
      </c>
      <c r="J132">
        <v>119</v>
      </c>
      <c r="K132" t="str">
        <f>VLOOKUP(J132,'Names with Seat Code'!A:E,4,FALSE)</f>
        <v/>
      </c>
      <c r="L132" s="1">
        <f>VLOOKUP(J132,'Names with Seat Code'!A:F,6,FALSE)</f>
        <v>0</v>
      </c>
    </row>
    <row r="133" spans="1:12" x14ac:dyDescent="0.25">
      <c r="A133" s="6" t="s">
        <v>48</v>
      </c>
      <c r="B133" s="6" t="s">
        <v>60</v>
      </c>
      <c r="C133" s="6">
        <v>107</v>
      </c>
      <c r="D133" s="7" t="s">
        <v>50</v>
      </c>
      <c r="E133" s="6">
        <f t="shared" si="0"/>
        <v>6</v>
      </c>
      <c r="F133" s="8">
        <v>7</v>
      </c>
      <c r="G133" s="6">
        <f>VLOOKUP(J133,'Names with Seat Code'!A:I,9,FALSE)</f>
        <v>0</v>
      </c>
      <c r="H133" s="1" t="str">
        <f>VLOOKUP(J133,'Names with Seat Code'!A:E,5,FALSE)</f>
        <v>Kaberle</v>
      </c>
      <c r="I133" s="1" t="str">
        <f>VLOOKUP(J133,'Names with Seat Code'!A:E,3,FALSE)</f>
        <v>Emma</v>
      </c>
      <c r="J133">
        <v>120</v>
      </c>
      <c r="K133" t="str">
        <f>VLOOKUP(J133,'Names with Seat Code'!A:E,4,FALSE)</f>
        <v/>
      </c>
      <c r="L133" s="1" t="str">
        <f>VLOOKUP(J133,'Names with Seat Code'!A:F,6,FALSE)</f>
        <v xml:space="preserve">K-ber-le </v>
      </c>
    </row>
    <row r="134" spans="1:12" ht="18.75" thickBot="1" x14ac:dyDescent="0.3">
      <c r="A134" s="6" t="s">
        <v>48</v>
      </c>
      <c r="B134" s="6" t="s">
        <v>60</v>
      </c>
      <c r="C134" s="6">
        <v>108</v>
      </c>
      <c r="D134" s="7" t="s">
        <v>50</v>
      </c>
      <c r="E134" s="6">
        <f t="shared" si="0"/>
        <v>6</v>
      </c>
      <c r="F134" s="8">
        <v>8</v>
      </c>
      <c r="G134" s="6">
        <f>VLOOKUP(J134,'Names with Seat Code'!A:I,9,FALSE)</f>
        <v>0</v>
      </c>
      <c r="H134" s="1" t="str">
        <f>VLOOKUP(J134,'Names with Seat Code'!A:E,5,FALSE)</f>
        <v>Kadric</v>
      </c>
      <c r="I134" s="1" t="str">
        <f>VLOOKUP(J134,'Names with Seat Code'!A:E,3,FALSE)</f>
        <v>Azra</v>
      </c>
      <c r="J134" s="3">
        <v>121</v>
      </c>
      <c r="K134" t="str">
        <f>VLOOKUP(J134,'Names with Seat Code'!A:E,4,FALSE)</f>
        <v/>
      </c>
      <c r="L134" s="1" t="str">
        <f>VLOOKUP(J134,'Names with Seat Code'!A:F,6,FALSE)</f>
        <v>Uh-zra - the "Uh" part is slower than "zra" and roll the r. "Kud-reech" - roll the r</v>
      </c>
    </row>
    <row r="135" spans="1:12" ht="18.75" thickTop="1" x14ac:dyDescent="0.25">
      <c r="A135" s="6" t="s">
        <v>48</v>
      </c>
      <c r="B135" s="6" t="s">
        <v>60</v>
      </c>
      <c r="C135" s="6">
        <v>109</v>
      </c>
      <c r="D135" s="7" t="s">
        <v>50</v>
      </c>
      <c r="E135" s="6">
        <f t="shared" si="0"/>
        <v>6</v>
      </c>
      <c r="F135" s="8">
        <v>9</v>
      </c>
      <c r="G135" s="6">
        <f>VLOOKUP(J135,'Names with Seat Code'!A:I,9,FALSE)</f>
        <v>0</v>
      </c>
      <c r="H135" s="1" t="str">
        <f>VLOOKUP(J135,'Names with Seat Code'!A:E,5,FALSE)</f>
        <v>Keaveney</v>
      </c>
      <c r="I135" s="1" t="str">
        <f>VLOOKUP(J135,'Names with Seat Code'!A:E,3,FALSE)</f>
        <v>Brady</v>
      </c>
      <c r="J135">
        <v>122</v>
      </c>
      <c r="K135" t="str">
        <f>VLOOKUP(J135,'Names with Seat Code'!A:E,4,FALSE)</f>
        <v/>
      </c>
      <c r="L135" s="1" t="str">
        <f>VLOOKUP(J135,'Names with Seat Code'!A:F,6,FALSE)</f>
        <v>Key van e</v>
      </c>
    </row>
    <row r="136" spans="1:12" x14ac:dyDescent="0.25">
      <c r="A136" s="6" t="s">
        <v>48</v>
      </c>
      <c r="B136" s="6" t="s">
        <v>60</v>
      </c>
      <c r="C136" s="6">
        <v>110</v>
      </c>
      <c r="D136" s="7" t="s">
        <v>50</v>
      </c>
      <c r="E136" s="6">
        <f t="shared" si="0"/>
        <v>6</v>
      </c>
      <c r="F136" s="8">
        <v>10</v>
      </c>
      <c r="G136" s="6">
        <f>VLOOKUP(J136,'Names with Seat Code'!A:I,9,FALSE)</f>
        <v>0</v>
      </c>
      <c r="H136" s="1" t="str">
        <f>VLOOKUP(J136,'Names with Seat Code'!A:E,5,FALSE)</f>
        <v>Kenton</v>
      </c>
      <c r="I136" s="1" t="str">
        <f>VLOOKUP(J136,'Names with Seat Code'!A:E,3,FALSE)</f>
        <v>Hannah</v>
      </c>
      <c r="J136">
        <v>123</v>
      </c>
      <c r="K136" t="str">
        <f>VLOOKUP(J136,'Names with Seat Code'!A:E,4,FALSE)</f>
        <v/>
      </c>
      <c r="L136" s="1" t="str">
        <f>VLOOKUP(J136,'Names with Seat Code'!A:F,6,FALSE)</f>
        <v xml:space="preserve">Ken-tin </v>
      </c>
    </row>
    <row r="137" spans="1:12" x14ac:dyDescent="0.25">
      <c r="A137" s="6" t="s">
        <v>48</v>
      </c>
      <c r="B137" s="6" t="s">
        <v>60</v>
      </c>
      <c r="C137" s="6">
        <v>111</v>
      </c>
      <c r="D137" s="7" t="s">
        <v>50</v>
      </c>
      <c r="E137" s="6">
        <f t="shared" si="0"/>
        <v>6</v>
      </c>
      <c r="F137" s="8">
        <v>11</v>
      </c>
      <c r="G137" s="6">
        <f>VLOOKUP(J137,'Names with Seat Code'!A:I,9,FALSE)</f>
        <v>0</v>
      </c>
      <c r="H137" s="1" t="str">
        <f>VLOOKUP(J137,'Names with Seat Code'!A:E,5,FALSE)</f>
        <v>Kiley</v>
      </c>
      <c r="I137" s="1" t="str">
        <f>VLOOKUP(J137,'Names with Seat Code'!A:E,3,FALSE)</f>
        <v>Aiden</v>
      </c>
      <c r="J137">
        <v>124</v>
      </c>
      <c r="K137" t="str">
        <f>VLOOKUP(J137,'Names with Seat Code'!A:E,4,FALSE)</f>
        <v/>
      </c>
      <c r="L137" s="1" t="str">
        <f>VLOOKUP(J137,'Names with Seat Code'!A:F,6,FALSE)</f>
        <v>Aiden Liley</v>
      </c>
    </row>
    <row r="138" spans="1:12" ht="18.75" thickBot="1" x14ac:dyDescent="0.3">
      <c r="A138" s="4" t="s">
        <v>48</v>
      </c>
      <c r="B138" s="4" t="s">
        <v>60</v>
      </c>
      <c r="C138" s="4">
        <v>112</v>
      </c>
      <c r="D138" s="9" t="s">
        <v>50</v>
      </c>
      <c r="E138" s="4">
        <f t="shared" si="0"/>
        <v>6</v>
      </c>
      <c r="F138" s="5">
        <v>12</v>
      </c>
      <c r="G138" s="6">
        <f>VLOOKUP(J138,'Names with Seat Code'!A:I,9,FALSE)</f>
        <v>0</v>
      </c>
      <c r="H138" s="37" t="str">
        <f>VLOOKUP(J138,'Names with Seat Code'!A:E,5,FALSE)</f>
        <v>King</v>
      </c>
      <c r="I138" s="2" t="str">
        <f>VLOOKUP(J138,'Names with Seat Code'!A:E,3,FALSE)</f>
        <v>Clinton</v>
      </c>
      <c r="J138">
        <v>125</v>
      </c>
      <c r="K138" s="3" t="str">
        <f>VLOOKUP(J138,'Names with Seat Code'!A:E,4,FALSE)</f>
        <v/>
      </c>
      <c r="L138" s="1">
        <f>VLOOKUP(J138,'Names with Seat Code'!A:F,6,FALSE)</f>
        <v>0</v>
      </c>
    </row>
    <row r="139" spans="1:12" ht="18.75" thickTop="1" x14ac:dyDescent="0.25">
      <c r="A139" s="6" t="s">
        <v>51</v>
      </c>
      <c r="B139" s="6" t="s">
        <v>59</v>
      </c>
      <c r="C139" s="6">
        <v>101</v>
      </c>
      <c r="D139" s="7" t="s">
        <v>53</v>
      </c>
      <c r="E139" s="6">
        <f>E115+1</f>
        <v>6</v>
      </c>
      <c r="F139" s="8">
        <v>1</v>
      </c>
      <c r="G139" s="6">
        <f>VLOOKUP(J139,'Names with Seat Code'!A:I,9,FALSE)</f>
        <v>0</v>
      </c>
      <c r="H139" s="1" t="str">
        <f>VLOOKUP(J139,'Names with Seat Code'!A:E,5,FALSE)</f>
        <v>Koster</v>
      </c>
      <c r="I139" s="1" t="str">
        <f>VLOOKUP(J139,'Names with Seat Code'!A:E,3,FALSE)</f>
        <v>Kyle</v>
      </c>
      <c r="J139">
        <v>126</v>
      </c>
      <c r="K139" t="str">
        <f>VLOOKUP(J139,'Names with Seat Code'!A:E,4,FALSE)</f>
        <v/>
      </c>
      <c r="L139" s="1">
        <f>VLOOKUP(J139,'Names with Seat Code'!A:F,6,FALSE)</f>
        <v>0</v>
      </c>
    </row>
    <row r="140" spans="1:12" x14ac:dyDescent="0.25">
      <c r="A140" s="6" t="s">
        <v>51</v>
      </c>
      <c r="B140" s="6" t="s">
        <v>59</v>
      </c>
      <c r="C140" s="6">
        <v>103</v>
      </c>
      <c r="D140" s="7" t="s">
        <v>53</v>
      </c>
      <c r="E140" s="6">
        <f t="shared" si="0"/>
        <v>6</v>
      </c>
      <c r="F140" s="8">
        <v>2</v>
      </c>
      <c r="G140" s="6">
        <f>VLOOKUP(J140,'Names with Seat Code'!A:I,9,FALSE)</f>
        <v>0</v>
      </c>
      <c r="H140" s="1" t="str">
        <f>VLOOKUP(J140,'Names with Seat Code'!A:E,5,FALSE)</f>
        <v>Lalicata</v>
      </c>
      <c r="I140" s="1" t="str">
        <f>VLOOKUP(J140,'Names with Seat Code'!A:E,3,FALSE)</f>
        <v>Enzo</v>
      </c>
      <c r="J140">
        <v>127</v>
      </c>
      <c r="K140" t="str">
        <f>VLOOKUP(J140,'Names with Seat Code'!A:E,4,FALSE)</f>
        <v>George</v>
      </c>
      <c r="L140" s="1" t="str">
        <f>VLOOKUP(J140,'Names with Seat Code'!A:F,6,FALSE)</f>
        <v>Enzo George Lahlicatah</v>
      </c>
    </row>
    <row r="141" spans="1:12" x14ac:dyDescent="0.25">
      <c r="A141" s="6" t="s">
        <v>51</v>
      </c>
      <c r="B141" s="6" t="s">
        <v>59</v>
      </c>
      <c r="C141" s="6">
        <v>105</v>
      </c>
      <c r="D141" s="7" t="s">
        <v>53</v>
      </c>
      <c r="E141" s="6">
        <f t="shared" si="0"/>
        <v>6</v>
      </c>
      <c r="F141" s="8">
        <v>3</v>
      </c>
      <c r="G141" s="6">
        <f>VLOOKUP(J141,'Names with Seat Code'!A:I,9,FALSE)</f>
        <v>0</v>
      </c>
      <c r="H141" s="1" t="str">
        <f>VLOOKUP(J141,'Names with Seat Code'!A:E,5,FALSE)</f>
        <v>Laurino</v>
      </c>
      <c r="I141" s="1" t="str">
        <f>VLOOKUP(J141,'Names with Seat Code'!A:E,3,FALSE)</f>
        <v>Jonathan</v>
      </c>
      <c r="J141">
        <v>128</v>
      </c>
      <c r="K141" t="str">
        <f>VLOOKUP(J141,'Names with Seat Code'!A:E,4,FALSE)</f>
        <v/>
      </c>
      <c r="L141" s="1" t="str">
        <f>VLOOKUP(J141,'Names with Seat Code'!A:F,6,FALSE)</f>
        <v>Matthew La-Ree-No</v>
      </c>
    </row>
    <row r="142" spans="1:12" x14ac:dyDescent="0.25">
      <c r="A142" s="6" t="s">
        <v>51</v>
      </c>
      <c r="B142" s="6" t="s">
        <v>59</v>
      </c>
      <c r="C142" s="6">
        <v>107</v>
      </c>
      <c r="D142" s="7" t="s">
        <v>53</v>
      </c>
      <c r="E142" s="6">
        <f t="shared" si="0"/>
        <v>6</v>
      </c>
      <c r="F142" s="8">
        <v>4</v>
      </c>
      <c r="G142" s="6">
        <f>VLOOKUP(J142,'Names with Seat Code'!A:I,9,FALSE)</f>
        <v>0</v>
      </c>
      <c r="H142" s="1" t="str">
        <f>VLOOKUP(J142,'Names with Seat Code'!A:E,5,FALSE)</f>
        <v>Laurino</v>
      </c>
      <c r="I142" s="1" t="str">
        <f>VLOOKUP(J142,'Names with Seat Code'!A:E,3,FALSE)</f>
        <v>Matthew</v>
      </c>
      <c r="J142">
        <v>129</v>
      </c>
      <c r="K142" t="str">
        <f>VLOOKUP(J142,'Names with Seat Code'!A:E,4,FALSE)</f>
        <v/>
      </c>
      <c r="L142" s="1" t="e">
        <f>VLOOKUP(J142,'Names with Seat Code'!A:F,6,FALSE)</f>
        <v>#REF!</v>
      </c>
    </row>
    <row r="143" spans="1:12" x14ac:dyDescent="0.25">
      <c r="A143" s="6" t="s">
        <v>51</v>
      </c>
      <c r="B143" s="6" t="s">
        <v>59</v>
      </c>
      <c r="C143" s="6">
        <v>109</v>
      </c>
      <c r="D143" s="7" t="s">
        <v>53</v>
      </c>
      <c r="E143" s="6">
        <f t="shared" si="0"/>
        <v>6</v>
      </c>
      <c r="F143" s="8">
        <v>5</v>
      </c>
      <c r="G143" s="6">
        <f>VLOOKUP(J143,'Names with Seat Code'!A:I,9,FALSE)</f>
        <v>0</v>
      </c>
      <c r="H143" s="1" t="str">
        <f>VLOOKUP(J143,'Names with Seat Code'!A:E,5,FALSE)</f>
        <v>Layne</v>
      </c>
      <c r="I143" s="1" t="str">
        <f>VLOOKUP(J143,'Names with Seat Code'!A:E,3,FALSE)</f>
        <v>Asad</v>
      </c>
      <c r="J143">
        <v>130</v>
      </c>
      <c r="K143" t="str">
        <f>VLOOKUP(J143,'Names with Seat Code'!A:E,4,FALSE)</f>
        <v/>
      </c>
      <c r="L143" s="1" t="str">
        <f>VLOOKUP(J143,'Names with Seat Code'!A:F,6,FALSE)</f>
        <v>Uh-Sod</v>
      </c>
    </row>
    <row r="144" spans="1:12" x14ac:dyDescent="0.25">
      <c r="A144" s="6" t="s">
        <v>51</v>
      </c>
      <c r="B144" s="6" t="s">
        <v>59</v>
      </c>
      <c r="C144" s="6">
        <v>111</v>
      </c>
      <c r="D144" s="7" t="s">
        <v>53</v>
      </c>
      <c r="E144" s="6">
        <f t="shared" si="0"/>
        <v>6</v>
      </c>
      <c r="F144" s="8">
        <v>6</v>
      </c>
      <c r="G144" s="6">
        <f>VLOOKUP(J144,'Names with Seat Code'!A:I,9,FALSE)</f>
        <v>0</v>
      </c>
      <c r="H144" s="1" t="str">
        <f>VLOOKUP(J144,'Names with Seat Code'!A:E,5,FALSE)</f>
        <v>Lee</v>
      </c>
      <c r="I144" s="1" t="str">
        <f>VLOOKUP(J144,'Names with Seat Code'!A:E,3,FALSE)</f>
        <v>Austin</v>
      </c>
      <c r="J144">
        <v>131</v>
      </c>
      <c r="K144" t="str">
        <f>VLOOKUP(J144,'Names with Seat Code'!A:E,4,FALSE)</f>
        <v>James</v>
      </c>
      <c r="L144" s="1">
        <f>VLOOKUP(J144,'Names with Seat Code'!A:F,6,FALSE)</f>
        <v>0</v>
      </c>
    </row>
    <row r="145" spans="1:12" x14ac:dyDescent="0.25">
      <c r="A145" s="6" t="s">
        <v>51</v>
      </c>
      <c r="B145" s="6" t="s">
        <v>59</v>
      </c>
      <c r="C145" s="6">
        <v>113</v>
      </c>
      <c r="D145" s="7" t="s">
        <v>53</v>
      </c>
      <c r="E145" s="6">
        <f t="shared" si="0"/>
        <v>6</v>
      </c>
      <c r="F145" s="8">
        <v>7</v>
      </c>
      <c r="G145" s="6">
        <f>VLOOKUP(J145,'Names with Seat Code'!A:I,9,FALSE)</f>
        <v>0</v>
      </c>
      <c r="H145" s="1" t="str">
        <f>VLOOKUP(J145,'Names with Seat Code'!A:E,5,FALSE)</f>
        <v>Lee</v>
      </c>
      <c r="I145" s="1" t="str">
        <f>VLOOKUP(J145,'Names with Seat Code'!A:E,3,FALSE)</f>
        <v>Jonathan</v>
      </c>
      <c r="J145">
        <v>132</v>
      </c>
      <c r="K145" t="str">
        <f>VLOOKUP(J145,'Names with Seat Code'!A:E,4,FALSE)</f>
        <v/>
      </c>
      <c r="L145" s="1">
        <f>VLOOKUP(J145,'Names with Seat Code'!A:F,6,FALSE)</f>
        <v>0</v>
      </c>
    </row>
    <row r="146" spans="1:12" ht="18.75" thickBot="1" x14ac:dyDescent="0.3">
      <c r="A146" s="6" t="s">
        <v>51</v>
      </c>
      <c r="B146" s="6" t="s">
        <v>59</v>
      </c>
      <c r="C146" s="6">
        <v>115</v>
      </c>
      <c r="D146" s="7" t="s">
        <v>53</v>
      </c>
      <c r="E146" s="6">
        <f t="shared" si="0"/>
        <v>6</v>
      </c>
      <c r="F146" s="8">
        <v>8</v>
      </c>
      <c r="G146" s="6">
        <f>VLOOKUP(J146,'Names with Seat Code'!A:I,9,FALSE)</f>
        <v>0</v>
      </c>
      <c r="H146" s="1" t="str">
        <f>VLOOKUP(J146,'Names with Seat Code'!A:E,5,FALSE)</f>
        <v>Lethin</v>
      </c>
      <c r="I146" s="1" t="str">
        <f>VLOOKUP(J146,'Names with Seat Code'!A:E,3,FALSE)</f>
        <v>Desmond</v>
      </c>
      <c r="J146" s="3">
        <v>133</v>
      </c>
      <c r="K146" t="str">
        <f>VLOOKUP(J146,'Names with Seat Code'!A:E,4,FALSE)</f>
        <v/>
      </c>
      <c r="L146" s="1">
        <f>VLOOKUP(J146,'Names with Seat Code'!A:F,6,FALSE)</f>
        <v>0</v>
      </c>
    </row>
    <row r="147" spans="1:12" ht="18.75" thickTop="1" x14ac:dyDescent="0.25">
      <c r="A147" s="6" t="s">
        <v>51</v>
      </c>
      <c r="B147" s="6" t="s">
        <v>59</v>
      </c>
      <c r="C147" s="6">
        <v>117</v>
      </c>
      <c r="D147" s="7" t="s">
        <v>53</v>
      </c>
      <c r="E147" s="6">
        <f t="shared" si="0"/>
        <v>6</v>
      </c>
      <c r="F147" s="8">
        <v>9</v>
      </c>
      <c r="G147" s="6">
        <f>VLOOKUP(J147,'Names with Seat Code'!A:I,9,FALSE)</f>
        <v>0</v>
      </c>
      <c r="H147" s="1" t="str">
        <f>VLOOKUP(J147,'Names with Seat Code'!A:E,5,FALSE)</f>
        <v>Lewis</v>
      </c>
      <c r="I147" s="1" t="str">
        <f>VLOOKUP(J147,'Names with Seat Code'!A:E,3,FALSE)</f>
        <v>Katie</v>
      </c>
      <c r="J147">
        <v>134</v>
      </c>
      <c r="K147" t="str">
        <f>VLOOKUP(J147,'Names with Seat Code'!A:E,4,FALSE)</f>
        <v/>
      </c>
      <c r="L147" s="1">
        <f>VLOOKUP(J147,'Names with Seat Code'!A:F,6,FALSE)</f>
        <v>0</v>
      </c>
    </row>
    <row r="148" spans="1:12" x14ac:dyDescent="0.25">
      <c r="A148" s="6" t="s">
        <v>51</v>
      </c>
      <c r="B148" s="6" t="s">
        <v>59</v>
      </c>
      <c r="C148" s="6">
        <v>119</v>
      </c>
      <c r="D148" s="7" t="s">
        <v>53</v>
      </c>
      <c r="E148" s="6">
        <f t="shared" si="0"/>
        <v>6</v>
      </c>
      <c r="F148" s="8">
        <v>10</v>
      </c>
      <c r="G148" s="6">
        <f>VLOOKUP(J148,'Names with Seat Code'!A:I,9,FALSE)</f>
        <v>0</v>
      </c>
      <c r="H148" s="1" t="str">
        <f>VLOOKUP(J148,'Names with Seat Code'!A:E,5,FALSE)</f>
        <v>Lightbody</v>
      </c>
      <c r="I148" s="1" t="str">
        <f>VLOOKUP(J148,'Names with Seat Code'!A:E,3,FALSE)</f>
        <v>Isabelle</v>
      </c>
      <c r="J148">
        <v>135</v>
      </c>
      <c r="K148" t="str">
        <f>VLOOKUP(J148,'Names with Seat Code'!A:E,4,FALSE)</f>
        <v/>
      </c>
      <c r="L148" s="1">
        <f>VLOOKUP(J148,'Names with Seat Code'!A:F,6,FALSE)</f>
        <v>0</v>
      </c>
    </row>
    <row r="149" spans="1:12" x14ac:dyDescent="0.25">
      <c r="A149" s="6" t="s">
        <v>51</v>
      </c>
      <c r="B149" s="6" t="s">
        <v>59</v>
      </c>
      <c r="C149" s="6">
        <v>121</v>
      </c>
      <c r="D149" s="7" t="s">
        <v>53</v>
      </c>
      <c r="E149" s="6">
        <f t="shared" si="0"/>
        <v>6</v>
      </c>
      <c r="F149" s="8">
        <v>11</v>
      </c>
      <c r="G149" s="6">
        <f>VLOOKUP(J149,'Names with Seat Code'!A:I,9,FALSE)</f>
        <v>0</v>
      </c>
      <c r="H149" s="1" t="str">
        <f>VLOOKUP(J149,'Names with Seat Code'!A:E,5,FALSE)</f>
        <v>Lin</v>
      </c>
      <c r="I149" s="1" t="str">
        <f>VLOOKUP(J149,'Names with Seat Code'!A:E,3,FALSE)</f>
        <v>Steven</v>
      </c>
      <c r="J149">
        <v>136</v>
      </c>
      <c r="K149" t="str">
        <f>VLOOKUP(J149,'Names with Seat Code'!A:E,4,FALSE)</f>
        <v/>
      </c>
      <c r="L149" s="1">
        <f>VLOOKUP(J149,'Names with Seat Code'!A:F,6,FALSE)</f>
        <v>0</v>
      </c>
    </row>
    <row r="150" spans="1:12" ht="18.75" thickBot="1" x14ac:dyDescent="0.3">
      <c r="A150" s="4" t="s">
        <v>51</v>
      </c>
      <c r="B150" s="4" t="s">
        <v>59</v>
      </c>
      <c r="C150" s="5">
        <v>123</v>
      </c>
      <c r="D150" s="9" t="s">
        <v>53</v>
      </c>
      <c r="E150" s="4">
        <f t="shared" si="0"/>
        <v>6</v>
      </c>
      <c r="F150" s="5">
        <v>12</v>
      </c>
      <c r="G150" s="6">
        <f>VLOOKUP(J150,'Names with Seat Code'!A:I,9,FALSE)</f>
        <v>0</v>
      </c>
      <c r="H150" s="37" t="str">
        <f>VLOOKUP(J150,'Names with Seat Code'!A:E,5,FALSE)</f>
        <v>Lizotte</v>
      </c>
      <c r="I150" s="2" t="str">
        <f>VLOOKUP(J150,'Names with Seat Code'!A:E,3,FALSE)</f>
        <v>Zackary</v>
      </c>
      <c r="J150">
        <v>137</v>
      </c>
      <c r="K150" s="3" t="str">
        <f>VLOOKUP(J150,'Names with Seat Code'!A:E,4,FALSE)</f>
        <v/>
      </c>
      <c r="L150" s="1" t="str">
        <f>VLOOKUP(J150,'Names with Seat Code'!A:F,6,FALSE)</f>
        <v>Liz-ought</v>
      </c>
    </row>
    <row r="151" spans="1:12" ht="18.75" thickTop="1" x14ac:dyDescent="0.25">
      <c r="A151" s="6" t="s">
        <v>48</v>
      </c>
      <c r="B151" s="6" t="s">
        <v>61</v>
      </c>
      <c r="C151" s="6">
        <v>101</v>
      </c>
      <c r="D151" s="7" t="s">
        <v>50</v>
      </c>
      <c r="E151" s="6">
        <f>E127+1</f>
        <v>7</v>
      </c>
      <c r="F151" s="8">
        <v>1</v>
      </c>
      <c r="G151" s="6">
        <f>VLOOKUP(J151,'Names with Seat Code'!A:I,9,FALSE)</f>
        <v>0</v>
      </c>
      <c r="H151" s="1" t="str">
        <f>VLOOKUP(J151,'Names with Seat Code'!A:E,5,FALSE)</f>
        <v>Lusk</v>
      </c>
      <c r="I151" s="1" t="str">
        <f>VLOOKUP(J151,'Names with Seat Code'!A:E,3,FALSE)</f>
        <v>Isla</v>
      </c>
      <c r="J151">
        <v>138</v>
      </c>
      <c r="K151" t="str">
        <f>VLOOKUP(J151,'Names with Seat Code'!A:E,4,FALSE)</f>
        <v/>
      </c>
      <c r="L151" s="1" t="str">
        <f>VLOOKUP(J151,'Names with Seat Code'!A:F,6,FALSE)</f>
        <v>eye-la</v>
      </c>
    </row>
    <row r="152" spans="1:12" x14ac:dyDescent="0.25">
      <c r="A152" s="6" t="s">
        <v>48</v>
      </c>
      <c r="B152" s="6" t="s">
        <v>61</v>
      </c>
      <c r="C152" s="6">
        <v>102</v>
      </c>
      <c r="D152" s="7" t="s">
        <v>50</v>
      </c>
      <c r="E152" s="6">
        <f t="shared" si="0"/>
        <v>7</v>
      </c>
      <c r="F152" s="8">
        <v>2</v>
      </c>
      <c r="G152" s="6">
        <f>VLOOKUP(J152,'Names with Seat Code'!A:I,9,FALSE)</f>
        <v>0</v>
      </c>
      <c r="H152" s="1" t="str">
        <f>VLOOKUP(J152,'Names with Seat Code'!A:E,5,FALSE)</f>
        <v>Madden</v>
      </c>
      <c r="I152" s="1" t="str">
        <f>VLOOKUP(J152,'Names with Seat Code'!A:E,3,FALSE)</f>
        <v>Lilyana</v>
      </c>
      <c r="J152">
        <v>139</v>
      </c>
      <c r="K152" t="str">
        <f>VLOOKUP(J152,'Names with Seat Code'!A:E,4,FALSE)</f>
        <v/>
      </c>
      <c r="L152" s="1">
        <f>VLOOKUP(J152,'Names with Seat Code'!A:F,6,FALSE)</f>
        <v>0</v>
      </c>
    </row>
    <row r="153" spans="1:12" x14ac:dyDescent="0.25">
      <c r="A153" s="6" t="s">
        <v>48</v>
      </c>
      <c r="B153" s="6" t="s">
        <v>61</v>
      </c>
      <c r="C153" s="6">
        <v>103</v>
      </c>
      <c r="D153" s="7" t="s">
        <v>50</v>
      </c>
      <c r="E153" s="6">
        <f t="shared" si="0"/>
        <v>7</v>
      </c>
      <c r="F153" s="8">
        <v>3</v>
      </c>
      <c r="G153" s="6">
        <f>VLOOKUP(J153,'Names with Seat Code'!A:I,9,FALSE)</f>
        <v>0</v>
      </c>
      <c r="H153" s="1" t="str">
        <f>VLOOKUP(J153,'Names with Seat Code'!A:E,5,FALSE)</f>
        <v>Maganzini</v>
      </c>
      <c r="I153" s="1" t="str">
        <f>VLOOKUP(J153,'Names with Seat Code'!A:E,3,FALSE)</f>
        <v>Rosalia</v>
      </c>
      <c r="J153">
        <v>140</v>
      </c>
      <c r="K153" t="str">
        <f>VLOOKUP(J153,'Names with Seat Code'!A:E,4,FALSE)</f>
        <v/>
      </c>
      <c r="L153" s="1" t="str">
        <f>VLOOKUP(J153,'Names with Seat Code'!A:F,6,FALSE)</f>
        <v>Rose uh Leah - Mag An Zee Knee</v>
      </c>
    </row>
    <row r="154" spans="1:12" x14ac:dyDescent="0.25">
      <c r="A154" s="6" t="s">
        <v>48</v>
      </c>
      <c r="B154" s="6" t="s">
        <v>61</v>
      </c>
      <c r="C154" s="6">
        <v>104</v>
      </c>
      <c r="D154" s="7" t="s">
        <v>50</v>
      </c>
      <c r="E154" s="6">
        <f t="shared" si="0"/>
        <v>7</v>
      </c>
      <c r="F154" s="8">
        <v>4</v>
      </c>
      <c r="G154" s="6">
        <f>VLOOKUP(J154,'Names with Seat Code'!A:I,9,FALSE)</f>
        <v>0</v>
      </c>
      <c r="H154" s="1" t="str">
        <f>VLOOKUP(J154,'Names with Seat Code'!A:E,5,FALSE)</f>
        <v>Maganzini</v>
      </c>
      <c r="I154" s="1" t="str">
        <f>VLOOKUP(J154,'Names with Seat Code'!A:E,3,FALSE)</f>
        <v>Trent</v>
      </c>
      <c r="J154">
        <v>141</v>
      </c>
      <c r="K154" t="str">
        <f>VLOOKUP(J154,'Names with Seat Code'!A:E,4,FALSE)</f>
        <v>Joseph</v>
      </c>
      <c r="L154" s="1">
        <f>VLOOKUP(J154,'Names with Seat Code'!A:F,6,FALSE)</f>
        <v>0</v>
      </c>
    </row>
    <row r="155" spans="1:12" x14ac:dyDescent="0.25">
      <c r="A155" s="6" t="s">
        <v>48</v>
      </c>
      <c r="B155" s="6" t="s">
        <v>61</v>
      </c>
      <c r="C155" s="6">
        <v>105</v>
      </c>
      <c r="D155" s="7" t="s">
        <v>50</v>
      </c>
      <c r="E155" s="6">
        <f t="shared" si="0"/>
        <v>7</v>
      </c>
      <c r="F155" s="8">
        <v>5</v>
      </c>
      <c r="G155" s="6">
        <f>VLOOKUP(J155,'Names with Seat Code'!A:I,9,FALSE)</f>
        <v>0</v>
      </c>
      <c r="H155" s="1" t="str">
        <f>VLOOKUP(J155,'Names with Seat Code'!A:E,5,FALSE)</f>
        <v>Mahoney</v>
      </c>
      <c r="I155" s="1" t="str">
        <f>VLOOKUP(J155,'Names with Seat Code'!A:E,3,FALSE)</f>
        <v>Emma</v>
      </c>
      <c r="J155">
        <v>142</v>
      </c>
      <c r="K155" t="str">
        <f>VLOOKUP(J155,'Names with Seat Code'!A:E,4,FALSE)</f>
        <v/>
      </c>
      <c r="L155" s="1">
        <f>VLOOKUP(J155,'Names with Seat Code'!A:F,6,FALSE)</f>
        <v>0</v>
      </c>
    </row>
    <row r="156" spans="1:12" x14ac:dyDescent="0.25">
      <c r="A156" s="6" t="s">
        <v>48</v>
      </c>
      <c r="B156" s="6" t="s">
        <v>61</v>
      </c>
      <c r="C156" s="6">
        <v>106</v>
      </c>
      <c r="D156" s="7" t="s">
        <v>50</v>
      </c>
      <c r="E156" s="6">
        <f t="shared" si="0"/>
        <v>7</v>
      </c>
      <c r="F156" s="8">
        <v>6</v>
      </c>
      <c r="G156" s="6">
        <f>VLOOKUP(J156,'Names with Seat Code'!A:I,9,FALSE)</f>
        <v>0</v>
      </c>
      <c r="H156" s="1" t="str">
        <f>VLOOKUP(J156,'Names with Seat Code'!A:E,5,FALSE)</f>
        <v>Maness</v>
      </c>
      <c r="I156" s="1" t="str">
        <f>VLOOKUP(J156,'Names with Seat Code'!A:E,3,FALSE)</f>
        <v>Charles</v>
      </c>
      <c r="J156">
        <v>143</v>
      </c>
      <c r="K156" t="str">
        <f>VLOOKUP(J156,'Names with Seat Code'!A:E,4,FALSE)</f>
        <v/>
      </c>
      <c r="L156" s="1" t="str">
        <f>VLOOKUP(J156,'Names with Seat Code'!A:F,6,FALSE)</f>
        <v>May-ness</v>
      </c>
    </row>
    <row r="157" spans="1:12" x14ac:dyDescent="0.25">
      <c r="A157" s="6" t="s">
        <v>48</v>
      </c>
      <c r="B157" s="6" t="s">
        <v>61</v>
      </c>
      <c r="C157" s="6">
        <v>107</v>
      </c>
      <c r="D157" s="7" t="s">
        <v>50</v>
      </c>
      <c r="E157" s="6">
        <f t="shared" si="0"/>
        <v>7</v>
      </c>
      <c r="F157" s="8">
        <v>7</v>
      </c>
      <c r="G157" s="6">
        <f>VLOOKUP(J157,'Names with Seat Code'!A:I,9,FALSE)</f>
        <v>0</v>
      </c>
      <c r="H157" s="1" t="str">
        <f>VLOOKUP(J157,'Names with Seat Code'!A:E,5,FALSE)</f>
        <v>Manfredi</v>
      </c>
      <c r="I157" s="1" t="str">
        <f>VLOOKUP(J157,'Names with Seat Code'!A:E,3,FALSE)</f>
        <v>Evan</v>
      </c>
      <c r="J157">
        <v>144</v>
      </c>
      <c r="K157" t="str">
        <f>VLOOKUP(J157,'Names with Seat Code'!A:E,4,FALSE)</f>
        <v/>
      </c>
      <c r="L157" s="1">
        <f>VLOOKUP(J157,'Names with Seat Code'!A:F,6,FALSE)</f>
        <v>0</v>
      </c>
    </row>
    <row r="158" spans="1:12" ht="18.75" thickBot="1" x14ac:dyDescent="0.3">
      <c r="A158" s="6" t="s">
        <v>48</v>
      </c>
      <c r="B158" s="6" t="s">
        <v>61</v>
      </c>
      <c r="C158" s="6">
        <v>108</v>
      </c>
      <c r="D158" s="7" t="s">
        <v>50</v>
      </c>
      <c r="E158" s="6">
        <f t="shared" si="0"/>
        <v>7</v>
      </c>
      <c r="F158" s="8">
        <v>8</v>
      </c>
      <c r="G158" s="6">
        <f>VLOOKUP(J158,'Names with Seat Code'!A:I,9,FALSE)</f>
        <v>0</v>
      </c>
      <c r="H158" s="1" t="str">
        <f>VLOOKUP(J158,'Names with Seat Code'!A:E,5,FALSE)</f>
        <v>Manning</v>
      </c>
      <c r="I158" s="1" t="str">
        <f>VLOOKUP(J158,'Names with Seat Code'!A:E,3,FALSE)</f>
        <v>Syler</v>
      </c>
      <c r="J158" s="3">
        <v>145</v>
      </c>
      <c r="K158" t="str">
        <f>VLOOKUP(J158,'Names with Seat Code'!A:E,4,FALSE)</f>
        <v/>
      </c>
      <c r="L158" s="1">
        <f>VLOOKUP(J158,'Names with Seat Code'!A:F,6,FALSE)</f>
        <v>0</v>
      </c>
    </row>
    <row r="159" spans="1:12" ht="18.75" thickTop="1" x14ac:dyDescent="0.25">
      <c r="A159" s="6" t="s">
        <v>48</v>
      </c>
      <c r="B159" s="6" t="s">
        <v>61</v>
      </c>
      <c r="C159" s="6">
        <v>109</v>
      </c>
      <c r="D159" s="7" t="s">
        <v>50</v>
      </c>
      <c r="E159" s="6">
        <f t="shared" si="0"/>
        <v>7</v>
      </c>
      <c r="F159" s="8">
        <v>9</v>
      </c>
      <c r="G159" s="6">
        <f>VLOOKUP(J159,'Names with Seat Code'!A:I,9,FALSE)</f>
        <v>0</v>
      </c>
      <c r="H159" s="1" t="str">
        <f>VLOOKUP(J159,'Names with Seat Code'!A:E,5,FALSE)</f>
        <v>Marchlik</v>
      </c>
      <c r="I159" s="1" t="str">
        <f>VLOOKUP(J159,'Names with Seat Code'!A:E,3,FALSE)</f>
        <v>Tyler</v>
      </c>
      <c r="J159">
        <v>146</v>
      </c>
      <c r="K159" t="str">
        <f>VLOOKUP(J159,'Names with Seat Code'!A:E,4,FALSE)</f>
        <v/>
      </c>
      <c r="L159" s="1" t="str">
        <f>VLOOKUP(J159,'Names with Seat Code'!A:F,6,FALSE)</f>
        <v>Tyler Marchlik</v>
      </c>
    </row>
    <row r="160" spans="1:12" x14ac:dyDescent="0.25">
      <c r="A160" s="6" t="s">
        <v>48</v>
      </c>
      <c r="B160" s="6" t="s">
        <v>61</v>
      </c>
      <c r="C160" s="6">
        <v>110</v>
      </c>
      <c r="D160" s="7" t="s">
        <v>50</v>
      </c>
      <c r="E160" s="6">
        <f t="shared" si="0"/>
        <v>7</v>
      </c>
      <c r="F160" s="8">
        <v>10</v>
      </c>
      <c r="G160" s="6">
        <f>VLOOKUP(J160,'Names with Seat Code'!A:I,9,FALSE)</f>
        <v>0</v>
      </c>
      <c r="H160" s="1" t="str">
        <f>VLOOKUP(J160,'Names with Seat Code'!A:E,5,FALSE)</f>
        <v>Mathews</v>
      </c>
      <c r="I160" s="1" t="str">
        <f>VLOOKUP(J160,'Names with Seat Code'!A:E,3,FALSE)</f>
        <v>Addyson</v>
      </c>
      <c r="J160">
        <v>147</v>
      </c>
      <c r="K160" t="str">
        <f>VLOOKUP(J160,'Names with Seat Code'!A:E,4,FALSE)</f>
        <v>Collette</v>
      </c>
      <c r="L160" s="1">
        <f>VLOOKUP(J160,'Names with Seat Code'!A:F,6,FALSE)</f>
        <v>0</v>
      </c>
    </row>
    <row r="161" spans="1:12" x14ac:dyDescent="0.25">
      <c r="A161" s="6" t="s">
        <v>48</v>
      </c>
      <c r="B161" s="6" t="s">
        <v>61</v>
      </c>
      <c r="C161" s="6">
        <v>111</v>
      </c>
      <c r="D161" s="7" t="s">
        <v>50</v>
      </c>
      <c r="E161" s="6">
        <f t="shared" si="0"/>
        <v>7</v>
      </c>
      <c r="F161" s="8">
        <v>11</v>
      </c>
      <c r="G161" s="6">
        <f>VLOOKUP(J161,'Names with Seat Code'!A:I,9,FALSE)</f>
        <v>0</v>
      </c>
      <c r="H161" s="1" t="str">
        <f>VLOOKUP(J161,'Names with Seat Code'!A:E,5,FALSE)</f>
        <v>May</v>
      </c>
      <c r="I161" s="1" t="str">
        <f>VLOOKUP(J161,'Names with Seat Code'!A:E,3,FALSE)</f>
        <v>Charlie</v>
      </c>
      <c r="J161">
        <v>148</v>
      </c>
      <c r="K161" t="str">
        <f>VLOOKUP(J161,'Names with Seat Code'!A:E,4,FALSE)</f>
        <v/>
      </c>
      <c r="L161" s="1">
        <f>VLOOKUP(J161,'Names with Seat Code'!A:F,6,FALSE)</f>
        <v>0</v>
      </c>
    </row>
    <row r="162" spans="1:12" ht="18.75" thickBot="1" x14ac:dyDescent="0.3">
      <c r="A162" s="4" t="s">
        <v>48</v>
      </c>
      <c r="B162" s="4" t="s">
        <v>61</v>
      </c>
      <c r="C162" s="4">
        <v>112</v>
      </c>
      <c r="D162" s="9" t="s">
        <v>50</v>
      </c>
      <c r="E162" s="4">
        <f t="shared" si="0"/>
        <v>7</v>
      </c>
      <c r="F162" s="5">
        <v>12</v>
      </c>
      <c r="G162" s="6">
        <f>VLOOKUP(J162,'Names with Seat Code'!A:I,9,FALSE)</f>
        <v>0</v>
      </c>
      <c r="H162" s="37" t="str">
        <f>VLOOKUP(J162,'Names with Seat Code'!A:E,5,FALSE)</f>
        <v>McGonagle</v>
      </c>
      <c r="I162" s="2" t="str">
        <f>VLOOKUP(J162,'Names with Seat Code'!A:E,3,FALSE)</f>
        <v>Caleb</v>
      </c>
      <c r="J162">
        <v>149</v>
      </c>
      <c r="K162" s="3" t="str">
        <f>VLOOKUP(J162,'Names with Seat Code'!A:E,4,FALSE)</f>
        <v/>
      </c>
      <c r="L162" s="1">
        <f>VLOOKUP(J162,'Names with Seat Code'!A:F,6,FALSE)</f>
        <v>0</v>
      </c>
    </row>
    <row r="163" spans="1:12" ht="18.75" thickTop="1" x14ac:dyDescent="0.25">
      <c r="A163" s="6" t="s">
        <v>51</v>
      </c>
      <c r="B163" s="6" t="s">
        <v>62</v>
      </c>
      <c r="C163" s="6">
        <v>124</v>
      </c>
      <c r="D163" s="7" t="s">
        <v>53</v>
      </c>
      <c r="E163" s="6">
        <f>E139+1</f>
        <v>7</v>
      </c>
      <c r="F163" s="8">
        <v>1</v>
      </c>
      <c r="G163" s="6">
        <f>VLOOKUP(J163,'Names with Seat Code'!A:I,9,FALSE)</f>
        <v>0</v>
      </c>
      <c r="H163" s="1" t="str">
        <f>VLOOKUP(J163,'Names with Seat Code'!A:E,5,FALSE)</f>
        <v>McGrath</v>
      </c>
      <c r="I163" s="1" t="str">
        <f>VLOOKUP(J163,'Names with Seat Code'!A:E,3,FALSE)</f>
        <v>Makenna</v>
      </c>
      <c r="J163">
        <v>150</v>
      </c>
      <c r="K163" t="str">
        <f>VLOOKUP(J163,'Names with Seat Code'!A:E,4,FALSE)</f>
        <v/>
      </c>
      <c r="L163" s="1">
        <f>VLOOKUP(J163,'Names with Seat Code'!A:F,6,FALSE)</f>
        <v>0</v>
      </c>
    </row>
    <row r="164" spans="1:12" x14ac:dyDescent="0.25">
      <c r="A164" s="6" t="s">
        <v>51</v>
      </c>
      <c r="B164" s="6" t="s">
        <v>62</v>
      </c>
      <c r="C164" s="6">
        <v>122</v>
      </c>
      <c r="D164" s="7" t="s">
        <v>53</v>
      </c>
      <c r="E164" s="6">
        <f t="shared" si="0"/>
        <v>7</v>
      </c>
      <c r="F164" s="8">
        <v>2</v>
      </c>
      <c r="G164" s="6">
        <f>VLOOKUP(J164,'Names with Seat Code'!A:I,9,FALSE)</f>
        <v>0</v>
      </c>
      <c r="H164" s="1" t="str">
        <f>VLOOKUP(J164,'Names with Seat Code'!A:E,5,FALSE)</f>
        <v>McLaughlin-Shostak</v>
      </c>
      <c r="I164" s="1" t="str">
        <f>VLOOKUP(J164,'Names with Seat Code'!A:E,3,FALSE)</f>
        <v>Zoe</v>
      </c>
      <c r="J164">
        <v>151</v>
      </c>
      <c r="K164" t="str">
        <f>VLOOKUP(J164,'Names with Seat Code'!A:E,4,FALSE)</f>
        <v/>
      </c>
      <c r="L164" s="1" t="str">
        <f>VLOOKUP(J164,'Names with Seat Code'!A:F,6,FALSE)</f>
        <v>Zo-Ee Mick-Glock-Linn Show-Stack</v>
      </c>
    </row>
    <row r="165" spans="1:12" x14ac:dyDescent="0.25">
      <c r="A165" s="6" t="s">
        <v>51</v>
      </c>
      <c r="B165" s="6" t="s">
        <v>62</v>
      </c>
      <c r="C165" s="6">
        <v>120</v>
      </c>
      <c r="D165" s="7" t="s">
        <v>53</v>
      </c>
      <c r="E165" s="6">
        <f t="shared" si="0"/>
        <v>7</v>
      </c>
      <c r="F165" s="8">
        <v>3</v>
      </c>
      <c r="G165" s="6">
        <f>VLOOKUP(J165,'Names with Seat Code'!A:I,9,FALSE)</f>
        <v>0</v>
      </c>
      <c r="H165" s="1" t="str">
        <f>VLOOKUP(J165,'Names with Seat Code'!A:E,5,FALSE)</f>
        <v>McMenimen</v>
      </c>
      <c r="I165" s="1" t="str">
        <f>VLOOKUP(J165,'Names with Seat Code'!A:E,3,FALSE)</f>
        <v>Ella</v>
      </c>
      <c r="J165">
        <v>152</v>
      </c>
      <c r="K165" t="str">
        <f>VLOOKUP(J165,'Names with Seat Code'!A:E,4,FALSE)</f>
        <v/>
      </c>
      <c r="L165" s="1" t="str">
        <f>VLOOKUP(J165,'Names with Seat Code'!A:F,6,FALSE)</f>
        <v xml:space="preserve">mick - men - o - men </v>
      </c>
    </row>
    <row r="166" spans="1:12" x14ac:dyDescent="0.25">
      <c r="A166" s="6" t="s">
        <v>51</v>
      </c>
      <c r="B166" s="6" t="s">
        <v>62</v>
      </c>
      <c r="C166" s="6">
        <v>118</v>
      </c>
      <c r="D166" s="7" t="s">
        <v>53</v>
      </c>
      <c r="E166" s="6">
        <f t="shared" si="0"/>
        <v>7</v>
      </c>
      <c r="F166" s="8">
        <v>4</v>
      </c>
      <c r="G166" s="6">
        <f>VLOOKUP(J166,'Names with Seat Code'!A:I,9,FALSE)</f>
        <v>0</v>
      </c>
      <c r="H166" s="1" t="str">
        <f>VLOOKUP(J166,'Names with Seat Code'!A:E,5,FALSE)</f>
        <v>Melly</v>
      </c>
      <c r="I166" s="1" t="str">
        <f>VLOOKUP(J166,'Names with Seat Code'!A:E,3,FALSE)</f>
        <v>Jack</v>
      </c>
      <c r="J166">
        <v>153</v>
      </c>
      <c r="K166" t="str">
        <f>VLOOKUP(J166,'Names with Seat Code'!A:E,4,FALSE)</f>
        <v/>
      </c>
      <c r="L166" s="1">
        <f>VLOOKUP(J166,'Names with Seat Code'!A:F,6,FALSE)</f>
        <v>0</v>
      </c>
    </row>
    <row r="167" spans="1:12" x14ac:dyDescent="0.25">
      <c r="A167" s="6" t="s">
        <v>51</v>
      </c>
      <c r="B167" s="6" t="s">
        <v>62</v>
      </c>
      <c r="C167" s="6">
        <v>116</v>
      </c>
      <c r="D167" s="7" t="s">
        <v>53</v>
      </c>
      <c r="E167" s="6">
        <f t="shared" si="0"/>
        <v>7</v>
      </c>
      <c r="F167" s="8">
        <v>5</v>
      </c>
      <c r="G167" s="6">
        <f>VLOOKUP(J167,'Names with Seat Code'!A:I,9,FALSE)</f>
        <v>0</v>
      </c>
      <c r="H167" s="1" t="str">
        <f>VLOOKUP(J167,'Names with Seat Code'!A:E,5,FALSE)</f>
        <v>Merkle</v>
      </c>
      <c r="I167" s="1" t="str">
        <f>VLOOKUP(J167,'Names with Seat Code'!A:E,3,FALSE)</f>
        <v>Alex</v>
      </c>
      <c r="J167">
        <v>154</v>
      </c>
      <c r="K167" t="str">
        <f>VLOOKUP(J167,'Names with Seat Code'!A:E,4,FALSE)</f>
        <v/>
      </c>
      <c r="L167" s="1">
        <f>VLOOKUP(J167,'Names with Seat Code'!A:F,6,FALSE)</f>
        <v>0</v>
      </c>
    </row>
    <row r="168" spans="1:12" x14ac:dyDescent="0.25">
      <c r="A168" s="6" t="s">
        <v>51</v>
      </c>
      <c r="B168" s="6" t="s">
        <v>62</v>
      </c>
      <c r="C168" s="6">
        <v>114</v>
      </c>
      <c r="D168" s="7" t="s">
        <v>53</v>
      </c>
      <c r="E168" s="6">
        <f t="shared" ref="E168:E174" si="1">E144+1</f>
        <v>7</v>
      </c>
      <c r="F168" s="8">
        <v>6</v>
      </c>
      <c r="G168" s="6">
        <f>VLOOKUP(J168,'Names with Seat Code'!A:I,9,FALSE)</f>
        <v>0</v>
      </c>
      <c r="H168" s="1" t="str">
        <f>VLOOKUP(J168,'Names with Seat Code'!A:E,5,FALSE)</f>
        <v>Merkle</v>
      </c>
      <c r="I168" s="1" t="str">
        <f>VLOOKUP(J168,'Names with Seat Code'!A:E,3,FALSE)</f>
        <v>Will</v>
      </c>
      <c r="J168">
        <v>155</v>
      </c>
      <c r="K168" t="str">
        <f>VLOOKUP(J168,'Names with Seat Code'!A:E,4,FALSE)</f>
        <v/>
      </c>
      <c r="L168" s="1">
        <f>VLOOKUP(J168,'Names with Seat Code'!A:F,6,FALSE)</f>
        <v>0</v>
      </c>
    </row>
    <row r="169" spans="1:12" x14ac:dyDescent="0.25">
      <c r="A169" s="6" t="s">
        <v>51</v>
      </c>
      <c r="B169" s="6" t="s">
        <v>62</v>
      </c>
      <c r="C169" s="6">
        <v>112</v>
      </c>
      <c r="D169" s="7" t="s">
        <v>53</v>
      </c>
      <c r="E169" s="6">
        <f t="shared" si="1"/>
        <v>7</v>
      </c>
      <c r="F169" s="8">
        <v>7</v>
      </c>
      <c r="G169" s="6">
        <f>VLOOKUP(J169,'Names with Seat Code'!A:I,9,FALSE)</f>
        <v>0</v>
      </c>
      <c r="H169" s="1" t="str">
        <f>VLOOKUP(J169,'Names with Seat Code'!A:E,5,FALSE)</f>
        <v>Miceli</v>
      </c>
      <c r="I169" s="1" t="str">
        <f>VLOOKUP(J169,'Names with Seat Code'!A:E,3,FALSE)</f>
        <v>Gianna</v>
      </c>
      <c r="J169">
        <v>156</v>
      </c>
      <c r="K169" t="str">
        <f>VLOOKUP(J169,'Names with Seat Code'!A:E,4,FALSE)</f>
        <v/>
      </c>
      <c r="L169" s="1" t="str">
        <f>VLOOKUP(J169,'Names with Seat Code'!A:F,6,FALSE)</f>
        <v>Mi-tch-elli</v>
      </c>
    </row>
    <row r="170" spans="1:12" ht="18.75" thickBot="1" x14ac:dyDescent="0.3">
      <c r="A170" s="6" t="s">
        <v>51</v>
      </c>
      <c r="B170" s="6" t="s">
        <v>62</v>
      </c>
      <c r="C170" s="6">
        <v>110</v>
      </c>
      <c r="D170" s="7" t="s">
        <v>53</v>
      </c>
      <c r="E170" s="6">
        <f t="shared" si="1"/>
        <v>7</v>
      </c>
      <c r="F170" s="8">
        <v>8</v>
      </c>
      <c r="G170" s="6">
        <f>VLOOKUP(J170,'Names with Seat Code'!A:I,9,FALSE)</f>
        <v>0</v>
      </c>
      <c r="H170" s="1" t="str">
        <f>VLOOKUP(J170,'Names with Seat Code'!A:E,5,FALSE)</f>
        <v>Mirville</v>
      </c>
      <c r="I170" s="1" t="str">
        <f>VLOOKUP(J170,'Names with Seat Code'!A:E,3,FALSE)</f>
        <v>Karmani</v>
      </c>
      <c r="J170" s="3">
        <v>157</v>
      </c>
      <c r="K170" t="str">
        <f>VLOOKUP(J170,'Names with Seat Code'!A:E,4,FALSE)</f>
        <v>Isaiah</v>
      </c>
      <c r="L170" s="1">
        <f>VLOOKUP(J170,'Names with Seat Code'!A:F,6,FALSE)</f>
        <v>0</v>
      </c>
    </row>
    <row r="171" spans="1:12" ht="18.75" thickTop="1" x14ac:dyDescent="0.25">
      <c r="A171" s="6" t="s">
        <v>51</v>
      </c>
      <c r="B171" s="6" t="s">
        <v>62</v>
      </c>
      <c r="C171" s="6">
        <v>108</v>
      </c>
      <c r="D171" s="7" t="s">
        <v>53</v>
      </c>
      <c r="E171" s="6">
        <f t="shared" si="1"/>
        <v>7</v>
      </c>
      <c r="F171" s="8">
        <v>9</v>
      </c>
      <c r="G171" s="6">
        <f>VLOOKUP(J171,'Names with Seat Code'!A:I,9,FALSE)</f>
        <v>0</v>
      </c>
      <c r="H171" s="1" t="str">
        <f>VLOOKUP(J171,'Names with Seat Code'!A:E,5,FALSE)</f>
        <v>Moll</v>
      </c>
      <c r="I171" s="1" t="str">
        <f>VLOOKUP(J171,'Names with Seat Code'!A:E,3,FALSE)</f>
        <v>Mason</v>
      </c>
      <c r="J171">
        <v>158</v>
      </c>
      <c r="K171" t="str">
        <f>VLOOKUP(J171,'Names with Seat Code'!A:E,4,FALSE)</f>
        <v>Buddy</v>
      </c>
      <c r="L171" s="1">
        <f>VLOOKUP(J171,'Names with Seat Code'!A:F,6,FALSE)</f>
        <v>0</v>
      </c>
    </row>
    <row r="172" spans="1:12" x14ac:dyDescent="0.25">
      <c r="A172" s="6" t="s">
        <v>51</v>
      </c>
      <c r="B172" s="6" t="s">
        <v>62</v>
      </c>
      <c r="C172" s="6">
        <v>106</v>
      </c>
      <c r="D172" s="7" t="s">
        <v>53</v>
      </c>
      <c r="E172" s="6">
        <f t="shared" si="1"/>
        <v>7</v>
      </c>
      <c r="F172" s="8">
        <v>10</v>
      </c>
      <c r="G172" s="6">
        <f>VLOOKUP(J172,'Names with Seat Code'!A:I,9,FALSE)</f>
        <v>0</v>
      </c>
      <c r="H172" s="1" t="str">
        <f>VLOOKUP(J172,'Names with Seat Code'!A:E,5,FALSE)</f>
        <v>Moller</v>
      </c>
      <c r="I172" s="1" t="str">
        <f>VLOOKUP(J172,'Names with Seat Code'!A:E,3,FALSE)</f>
        <v>Marcus</v>
      </c>
      <c r="J172">
        <v>159</v>
      </c>
      <c r="K172" t="str">
        <f>VLOOKUP(J172,'Names with Seat Code'!A:E,4,FALSE)</f>
        <v/>
      </c>
      <c r="L172" s="1" t="str">
        <f>VLOOKUP(J172,'Names with Seat Code'!A:F,6,FALSE)</f>
        <v>Mole - er</v>
      </c>
    </row>
    <row r="173" spans="1:12" x14ac:dyDescent="0.25">
      <c r="A173" s="6" t="s">
        <v>51</v>
      </c>
      <c r="B173" s="6" t="s">
        <v>62</v>
      </c>
      <c r="C173" s="6">
        <v>104</v>
      </c>
      <c r="D173" s="7" t="s">
        <v>53</v>
      </c>
      <c r="E173" s="6">
        <f t="shared" si="1"/>
        <v>7</v>
      </c>
      <c r="F173" s="8">
        <v>11</v>
      </c>
      <c r="G173" s="6">
        <f>VLOOKUP(J173,'Names with Seat Code'!A:I,9,FALSE)</f>
        <v>0</v>
      </c>
      <c r="H173" s="1" t="str">
        <f>VLOOKUP(J173,'Names with Seat Code'!A:E,5,FALSE)</f>
        <v>Moreira</v>
      </c>
      <c r="I173" s="1" t="str">
        <f>VLOOKUP(J173,'Names with Seat Code'!A:E,3,FALSE)</f>
        <v>Evangeline</v>
      </c>
      <c r="J173">
        <v>160</v>
      </c>
      <c r="K173" t="str">
        <f>VLOOKUP(J173,'Names with Seat Code'!A:E,4,FALSE)</f>
        <v/>
      </c>
      <c r="L173" s="1" t="str">
        <f>VLOOKUP(J173,'Names with Seat Code'!A:F,6,FALSE)</f>
        <v>Eh-van-jeh-lean More-air-ah</v>
      </c>
    </row>
    <row r="174" spans="1:12" ht="18.75" thickBot="1" x14ac:dyDescent="0.3">
      <c r="A174" s="4" t="s">
        <v>51</v>
      </c>
      <c r="B174" s="4" t="s">
        <v>62</v>
      </c>
      <c r="C174" s="5">
        <v>102</v>
      </c>
      <c r="D174" s="9" t="s">
        <v>53</v>
      </c>
      <c r="E174" s="4">
        <f t="shared" si="1"/>
        <v>7</v>
      </c>
      <c r="F174" s="5">
        <v>12</v>
      </c>
      <c r="G174" s="6">
        <f>VLOOKUP(J174,'Names with Seat Code'!A:I,9,FALSE)</f>
        <v>0</v>
      </c>
      <c r="H174" s="37" t="str">
        <f>VLOOKUP(J174,'Names with Seat Code'!A:E,5,FALSE)</f>
        <v>Morris</v>
      </c>
      <c r="I174" s="2" t="str">
        <f>VLOOKUP(J174,'Names with Seat Code'!A:E,3,FALSE)</f>
        <v>Bobby</v>
      </c>
      <c r="J174">
        <v>161</v>
      </c>
      <c r="K174" s="3" t="str">
        <f>VLOOKUP(J174,'Names with Seat Code'!A:E,4,FALSE)</f>
        <v/>
      </c>
      <c r="L174" s="1">
        <f>VLOOKUP(J174,'Names with Seat Code'!A:F,6,FALSE)</f>
        <v>0</v>
      </c>
    </row>
    <row r="175" spans="1:12" ht="18.75" thickTop="1" x14ac:dyDescent="0.25">
      <c r="A175" s="6" t="s">
        <v>48</v>
      </c>
      <c r="B175" s="6" t="s">
        <v>63</v>
      </c>
      <c r="C175" s="6">
        <v>101</v>
      </c>
      <c r="D175" s="7" t="s">
        <v>50</v>
      </c>
      <c r="E175" s="6">
        <f>E151+1</f>
        <v>8</v>
      </c>
      <c r="F175" s="8">
        <v>1</v>
      </c>
      <c r="G175" s="6">
        <f>VLOOKUP(J175,'Names with Seat Code'!A:I,9,FALSE)</f>
        <v>0</v>
      </c>
      <c r="H175" s="1" t="str">
        <f>VLOOKUP(J175,'Names with Seat Code'!A:E,5,FALSE)</f>
        <v>Morrison</v>
      </c>
      <c r="I175" s="1" t="str">
        <f>VLOOKUP(J175,'Names with Seat Code'!A:E,3,FALSE)</f>
        <v>Kaiden</v>
      </c>
      <c r="J175">
        <v>162</v>
      </c>
      <c r="K175" t="str">
        <f>VLOOKUP(J175,'Names with Seat Code'!A:E,4,FALSE)</f>
        <v/>
      </c>
      <c r="L175" s="1">
        <f>VLOOKUP(J175,'Names with Seat Code'!A:F,6,FALSE)</f>
        <v>0</v>
      </c>
    </row>
    <row r="176" spans="1:12" x14ac:dyDescent="0.25">
      <c r="A176" s="6" t="s">
        <v>48</v>
      </c>
      <c r="B176" s="6" t="s">
        <v>63</v>
      </c>
      <c r="C176" s="6">
        <v>102</v>
      </c>
      <c r="D176" s="7" t="s">
        <v>50</v>
      </c>
      <c r="E176" s="6">
        <f t="shared" ref="E176:E186" si="2">E152+1</f>
        <v>8</v>
      </c>
      <c r="F176" s="8">
        <v>2</v>
      </c>
      <c r="G176" s="6">
        <f>VLOOKUP(J176,'Names with Seat Code'!A:I,9,FALSE)</f>
        <v>0</v>
      </c>
      <c r="H176" s="1" t="str">
        <f>VLOOKUP(J176,'Names with Seat Code'!A:E,5,FALSE)</f>
        <v>Mughal</v>
      </c>
      <c r="I176" s="1" t="str">
        <f>VLOOKUP(J176,'Names with Seat Code'!A:E,3,FALSE)</f>
        <v>Abdul</v>
      </c>
      <c r="J176">
        <v>163</v>
      </c>
      <c r="K176" t="str">
        <f>VLOOKUP(J176,'Names with Seat Code'!A:E,4,FALSE)</f>
        <v>Raheem</v>
      </c>
      <c r="L176" s="1">
        <f>VLOOKUP(J176,'Names with Seat Code'!A:F,6,FALSE)</f>
        <v>0</v>
      </c>
    </row>
    <row r="177" spans="1:12" x14ac:dyDescent="0.25">
      <c r="A177" s="6" t="s">
        <v>48</v>
      </c>
      <c r="B177" s="6" t="s">
        <v>63</v>
      </c>
      <c r="C177" s="6">
        <v>103</v>
      </c>
      <c r="D177" s="7" t="s">
        <v>50</v>
      </c>
      <c r="E177" s="6">
        <f t="shared" si="2"/>
        <v>8</v>
      </c>
      <c r="F177" s="8">
        <v>3</v>
      </c>
      <c r="G177" s="6">
        <f>VLOOKUP(J177,'Names with Seat Code'!A:I,9,FALSE)</f>
        <v>0</v>
      </c>
      <c r="H177" s="1" t="str">
        <f>VLOOKUP(J177,'Names with Seat Code'!A:E,5,FALSE)</f>
        <v>Muller</v>
      </c>
      <c r="I177" s="1" t="str">
        <f>VLOOKUP(J177,'Names with Seat Code'!A:E,3,FALSE)</f>
        <v>William</v>
      </c>
      <c r="J177">
        <v>164</v>
      </c>
      <c r="K177" t="str">
        <f>VLOOKUP(J177,'Names with Seat Code'!A:E,4,FALSE)</f>
        <v/>
      </c>
      <c r="L177" s="1" t="str">
        <f>VLOOKUP(J177,'Names with Seat Code'!A:F,6,FALSE)</f>
        <v>William Mull-er (rhymes with color)</v>
      </c>
    </row>
    <row r="178" spans="1:12" x14ac:dyDescent="0.25">
      <c r="A178" s="6" t="s">
        <v>48</v>
      </c>
      <c r="B178" s="6" t="s">
        <v>63</v>
      </c>
      <c r="C178" s="6">
        <v>104</v>
      </c>
      <c r="D178" s="7" t="s">
        <v>50</v>
      </c>
      <c r="E178" s="6">
        <f t="shared" si="2"/>
        <v>8</v>
      </c>
      <c r="F178" s="8">
        <v>4</v>
      </c>
      <c r="G178" s="6">
        <f>VLOOKUP(J178,'Names with Seat Code'!A:I,9,FALSE)</f>
        <v>0</v>
      </c>
      <c r="H178" s="1" t="str">
        <f>VLOOKUP(J178,'Names with Seat Code'!A:E,5,FALSE)</f>
        <v>Murphy</v>
      </c>
      <c r="I178" s="1" t="str">
        <f>VLOOKUP(J178,'Names with Seat Code'!A:E,3,FALSE)</f>
        <v>Jack</v>
      </c>
      <c r="J178">
        <v>165</v>
      </c>
      <c r="K178" t="str">
        <f>VLOOKUP(J178,'Names with Seat Code'!A:E,4,FALSE)</f>
        <v/>
      </c>
      <c r="L178" s="1">
        <f>VLOOKUP(J178,'Names with Seat Code'!A:F,6,FALSE)</f>
        <v>0</v>
      </c>
    </row>
    <row r="179" spans="1:12" x14ac:dyDescent="0.25">
      <c r="A179" s="6" t="s">
        <v>48</v>
      </c>
      <c r="B179" s="6" t="s">
        <v>63</v>
      </c>
      <c r="C179" s="6">
        <v>105</v>
      </c>
      <c r="D179" s="7" t="s">
        <v>50</v>
      </c>
      <c r="E179" s="6">
        <f t="shared" si="2"/>
        <v>8</v>
      </c>
      <c r="F179" s="8">
        <v>5</v>
      </c>
      <c r="G179" s="6">
        <f>VLOOKUP(J179,'Names with Seat Code'!A:I,9,FALSE)</f>
        <v>0</v>
      </c>
      <c r="H179" s="1" t="str">
        <f>VLOOKUP(J179,'Names with Seat Code'!A:E,5,FALSE)</f>
        <v>Nelson</v>
      </c>
      <c r="I179" s="1" t="str">
        <f>VLOOKUP(J179,'Names with Seat Code'!A:E,3,FALSE)</f>
        <v>Abigail</v>
      </c>
      <c r="J179">
        <v>166</v>
      </c>
      <c r="K179" t="str">
        <f>VLOOKUP(J179,'Names with Seat Code'!A:E,4,FALSE)</f>
        <v/>
      </c>
      <c r="L179" s="1">
        <f>VLOOKUP(J179,'Names with Seat Code'!A:F,6,FALSE)</f>
        <v>0</v>
      </c>
    </row>
    <row r="180" spans="1:12" x14ac:dyDescent="0.25">
      <c r="A180" s="6" t="s">
        <v>48</v>
      </c>
      <c r="B180" s="6" t="s">
        <v>63</v>
      </c>
      <c r="C180" s="6">
        <v>106</v>
      </c>
      <c r="D180" s="7" t="s">
        <v>50</v>
      </c>
      <c r="E180" s="6">
        <f t="shared" si="2"/>
        <v>8</v>
      </c>
      <c r="F180" s="8">
        <v>6</v>
      </c>
      <c r="G180" s="6">
        <f>VLOOKUP(J180,'Names with Seat Code'!A:I,9,FALSE)</f>
        <v>0</v>
      </c>
      <c r="H180" s="1" t="str">
        <f>VLOOKUP(J180,'Names with Seat Code'!A:E,5,FALSE)</f>
        <v>Nguyen</v>
      </c>
      <c r="I180" s="1" t="str">
        <f>VLOOKUP(J180,'Names with Seat Code'!A:E,3,FALSE)</f>
        <v>Patience</v>
      </c>
      <c r="J180">
        <v>167</v>
      </c>
      <c r="K180" t="str">
        <f>VLOOKUP(J180,'Names with Seat Code'!A:E,4,FALSE)</f>
        <v/>
      </c>
      <c r="L180" s="1" t="str">
        <f>VLOOKUP(J180,'Names with Seat Code'!A:F,6,FALSE)</f>
        <v xml:space="preserve">Patience Nuh-win </v>
      </c>
    </row>
    <row r="181" spans="1:12" x14ac:dyDescent="0.25">
      <c r="A181" s="6" t="s">
        <v>48</v>
      </c>
      <c r="B181" s="6" t="s">
        <v>63</v>
      </c>
      <c r="C181" s="6">
        <v>107</v>
      </c>
      <c r="D181" s="7" t="s">
        <v>50</v>
      </c>
      <c r="E181" s="6">
        <f t="shared" si="2"/>
        <v>8</v>
      </c>
      <c r="F181" s="8">
        <v>7</v>
      </c>
      <c r="G181" s="6">
        <f>VLOOKUP(J181,'Names with Seat Code'!A:I,9,FALSE)</f>
        <v>0</v>
      </c>
      <c r="H181" s="1" t="str">
        <f>VLOOKUP(J181,'Names with Seat Code'!A:E,5,FALSE)</f>
        <v>Nolty</v>
      </c>
      <c r="I181" s="1" t="str">
        <f>VLOOKUP(J181,'Names with Seat Code'!A:E,3,FALSE)</f>
        <v>Charlotte</v>
      </c>
      <c r="J181">
        <v>168</v>
      </c>
      <c r="K181" t="str">
        <f>VLOOKUP(J181,'Names with Seat Code'!A:E,4,FALSE)</f>
        <v/>
      </c>
      <c r="L181" s="1">
        <f>VLOOKUP(J181,'Names with Seat Code'!A:F,6,FALSE)</f>
        <v>0</v>
      </c>
    </row>
    <row r="182" spans="1:12" ht="18.75" thickBot="1" x14ac:dyDescent="0.3">
      <c r="A182" s="6" t="s">
        <v>48</v>
      </c>
      <c r="B182" s="6" t="s">
        <v>63</v>
      </c>
      <c r="C182" s="6">
        <v>108</v>
      </c>
      <c r="D182" s="7" t="s">
        <v>50</v>
      </c>
      <c r="E182" s="6">
        <f t="shared" si="2"/>
        <v>8</v>
      </c>
      <c r="F182" s="8">
        <v>8</v>
      </c>
      <c r="G182" s="6">
        <f>VLOOKUP(J182,'Names with Seat Code'!A:I,9,FALSE)</f>
        <v>0</v>
      </c>
      <c r="H182" s="1" t="str">
        <f>VLOOKUP(J182,'Names with Seat Code'!A:E,5,FALSE)</f>
        <v>Norris</v>
      </c>
      <c r="I182" s="1" t="str">
        <f>VLOOKUP(J182,'Names with Seat Code'!A:E,3,FALSE)</f>
        <v>Mackenzie</v>
      </c>
      <c r="J182" s="3">
        <v>169</v>
      </c>
      <c r="K182" t="str">
        <f>VLOOKUP(J182,'Names with Seat Code'!A:E,4,FALSE)</f>
        <v/>
      </c>
      <c r="L182" s="1" t="str">
        <f>VLOOKUP(J182,'Names with Seat Code'!A:F,6,FALSE)</f>
        <v>Ma - ken - zee  Nor - is</v>
      </c>
    </row>
    <row r="183" spans="1:12" ht="18.75" thickTop="1" x14ac:dyDescent="0.25">
      <c r="A183" s="6" t="s">
        <v>48</v>
      </c>
      <c r="B183" s="6" t="s">
        <v>63</v>
      </c>
      <c r="C183" s="6">
        <v>109</v>
      </c>
      <c r="D183" s="7" t="s">
        <v>50</v>
      </c>
      <c r="E183" s="6">
        <f t="shared" si="2"/>
        <v>8</v>
      </c>
      <c r="F183" s="8">
        <v>9</v>
      </c>
      <c r="G183" s="6">
        <f>VLOOKUP(J183,'Names with Seat Code'!A:I,9,FALSE)</f>
        <v>0</v>
      </c>
      <c r="H183" s="1" t="str">
        <f>VLOOKUP(J183,'Names with Seat Code'!A:E,5,FALSE)</f>
        <v>Ohlson</v>
      </c>
      <c r="I183" s="1" t="str">
        <f>VLOOKUP(J183,'Names with Seat Code'!A:E,3,FALSE)</f>
        <v>Michelle</v>
      </c>
      <c r="J183">
        <v>170</v>
      </c>
      <c r="K183" t="str">
        <f>VLOOKUP(J183,'Names with Seat Code'!A:E,4,FALSE)</f>
        <v/>
      </c>
      <c r="L183" s="1">
        <f>VLOOKUP(J183,'Names with Seat Code'!A:F,6,FALSE)</f>
        <v>0</v>
      </c>
    </row>
    <row r="184" spans="1:12" x14ac:dyDescent="0.25">
      <c r="A184" s="6" t="s">
        <v>48</v>
      </c>
      <c r="B184" s="6" t="s">
        <v>63</v>
      </c>
      <c r="C184" s="6">
        <v>110</v>
      </c>
      <c r="D184" s="7" t="s">
        <v>50</v>
      </c>
      <c r="E184" s="6">
        <f t="shared" si="2"/>
        <v>8</v>
      </c>
      <c r="F184" s="8">
        <v>10</v>
      </c>
      <c r="G184" s="6">
        <f>VLOOKUP(J184,'Names with Seat Code'!A:I,9,FALSE)</f>
        <v>0</v>
      </c>
      <c r="H184" s="1" t="str">
        <f>VLOOKUP(J184,'Names with Seat Code'!A:E,5,FALSE)</f>
        <v>Ortins</v>
      </c>
      <c r="I184" s="1" t="str">
        <f>VLOOKUP(J184,'Names with Seat Code'!A:E,3,FALSE)</f>
        <v>Natalie</v>
      </c>
      <c r="J184">
        <v>171</v>
      </c>
      <c r="K184" t="str">
        <f>VLOOKUP(J184,'Names with Seat Code'!A:E,4,FALSE)</f>
        <v/>
      </c>
      <c r="L184" s="1" t="str">
        <f>VLOOKUP(J184,'Names with Seat Code'!A:F,6,FALSE)</f>
        <v>Please don't say Orteens; It is OrtINs and the i is like the i in it</v>
      </c>
    </row>
    <row r="185" spans="1:12" x14ac:dyDescent="0.25">
      <c r="A185" s="6" t="s">
        <v>48</v>
      </c>
      <c r="B185" s="6" t="s">
        <v>63</v>
      </c>
      <c r="C185" s="6">
        <v>111</v>
      </c>
      <c r="D185" s="7" t="s">
        <v>50</v>
      </c>
      <c r="E185" s="6">
        <f t="shared" si="2"/>
        <v>8</v>
      </c>
      <c r="F185" s="8">
        <v>11</v>
      </c>
      <c r="G185" s="6">
        <f>VLOOKUP(J185,'Names with Seat Code'!A:I,9,FALSE)</f>
        <v>0</v>
      </c>
      <c r="H185" s="1" t="str">
        <f>VLOOKUP(J185,'Names with Seat Code'!A:E,5,FALSE)</f>
        <v>Ortiz</v>
      </c>
      <c r="I185" s="1" t="str">
        <f>VLOOKUP(J185,'Names with Seat Code'!A:E,3,FALSE)</f>
        <v>Franklin</v>
      </c>
      <c r="J185">
        <v>172</v>
      </c>
      <c r="K185" t="str">
        <f>VLOOKUP(J185,'Names with Seat Code'!A:E,4,FALSE)</f>
        <v/>
      </c>
      <c r="L185" s="1" t="str">
        <f>VLOOKUP(J185,'Names with Seat Code'!A:F,6,FALSE)</f>
        <v>Franklin Ortiz</v>
      </c>
    </row>
    <row r="186" spans="1:12" ht="18.75" thickBot="1" x14ac:dyDescent="0.3">
      <c r="A186" s="4" t="s">
        <v>48</v>
      </c>
      <c r="B186" s="4" t="s">
        <v>63</v>
      </c>
      <c r="C186" s="4">
        <v>112</v>
      </c>
      <c r="D186" s="9" t="s">
        <v>50</v>
      </c>
      <c r="E186" s="4">
        <f t="shared" si="2"/>
        <v>8</v>
      </c>
      <c r="F186" s="5">
        <v>12</v>
      </c>
      <c r="G186" s="6">
        <f>VLOOKUP(J186,'Names with Seat Code'!A:I,9,FALSE)</f>
        <v>0</v>
      </c>
      <c r="H186" s="37" t="str">
        <f>VLOOKUP(J186,'Names with Seat Code'!A:E,5,FALSE)</f>
        <v>Parent</v>
      </c>
      <c r="I186" s="2" t="str">
        <f>VLOOKUP(J186,'Names with Seat Code'!A:E,3,FALSE)</f>
        <v>Isabelle</v>
      </c>
      <c r="J186">
        <v>173</v>
      </c>
      <c r="K186" s="3" t="str">
        <f>VLOOKUP(J186,'Names with Seat Code'!A:E,4,FALSE)</f>
        <v>Grace</v>
      </c>
      <c r="L186" s="1">
        <f>VLOOKUP(J186,'Names with Seat Code'!A:F,6,FALSE)</f>
        <v>0</v>
      </c>
    </row>
    <row r="187" spans="1:12" ht="18.75" thickTop="1" x14ac:dyDescent="0.25">
      <c r="A187" s="6" t="s">
        <v>51</v>
      </c>
      <c r="B187" s="6" t="s">
        <v>62</v>
      </c>
      <c r="C187" s="6">
        <v>101</v>
      </c>
      <c r="D187" s="7" t="s">
        <v>53</v>
      </c>
      <c r="E187" s="6">
        <f>E163+1</f>
        <v>8</v>
      </c>
      <c r="F187" s="8">
        <v>1</v>
      </c>
      <c r="G187" s="6">
        <f>VLOOKUP(J187,'Names with Seat Code'!A:I,9,FALSE)</f>
        <v>0</v>
      </c>
      <c r="H187" s="1" t="str">
        <f>VLOOKUP(J187,'Names with Seat Code'!A:E,5,FALSE)</f>
        <v>Patel</v>
      </c>
      <c r="I187" s="1" t="str">
        <f>VLOOKUP(J187,'Names with Seat Code'!A:E,3,FALSE)</f>
        <v>Saloni</v>
      </c>
      <c r="J187">
        <v>174</v>
      </c>
      <c r="K187" t="str">
        <f>VLOOKUP(J187,'Names with Seat Code'!A:E,4,FALSE)</f>
        <v/>
      </c>
      <c r="L187" s="1" t="str">
        <f>VLOOKUP(J187,'Names with Seat Code'!A:F,6,FALSE)</f>
        <v>Sa-low-knee Pa-tel</v>
      </c>
    </row>
    <row r="188" spans="1:12" x14ac:dyDescent="0.25">
      <c r="A188" s="6" t="s">
        <v>51</v>
      </c>
      <c r="B188" s="6" t="s">
        <v>62</v>
      </c>
      <c r="C188" s="6">
        <v>103</v>
      </c>
      <c r="D188" s="7" t="s">
        <v>53</v>
      </c>
      <c r="E188" s="6">
        <f t="shared" ref="E188:E198" si="3">E164+1</f>
        <v>8</v>
      </c>
      <c r="F188" s="8">
        <v>2</v>
      </c>
      <c r="G188" s="6">
        <f>VLOOKUP(J188,'Names with Seat Code'!A:I,9,FALSE)</f>
        <v>0</v>
      </c>
      <c r="H188" s="1" t="str">
        <f>VLOOKUP(J188,'Names with Seat Code'!A:E,5,FALSE)</f>
        <v>Peat</v>
      </c>
      <c r="I188" s="1" t="str">
        <f>VLOOKUP(J188,'Names with Seat Code'!A:E,3,FALSE)</f>
        <v>Lerika</v>
      </c>
      <c r="J188">
        <v>175</v>
      </c>
      <c r="K188" t="str">
        <f>VLOOKUP(J188,'Names with Seat Code'!A:E,4,FALSE)</f>
        <v/>
      </c>
      <c r="L188" s="1">
        <f>VLOOKUP(J188,'Names with Seat Code'!A:F,6,FALSE)</f>
        <v>0</v>
      </c>
    </row>
    <row r="189" spans="1:12" x14ac:dyDescent="0.25">
      <c r="A189" s="6" t="s">
        <v>51</v>
      </c>
      <c r="B189" s="6" t="s">
        <v>62</v>
      </c>
      <c r="C189" s="6">
        <v>105</v>
      </c>
      <c r="D189" s="7" t="s">
        <v>53</v>
      </c>
      <c r="E189" s="6">
        <f t="shared" si="3"/>
        <v>8</v>
      </c>
      <c r="F189" s="8">
        <v>3</v>
      </c>
      <c r="G189" s="6">
        <f>VLOOKUP(J189,'Names with Seat Code'!A:I,9,FALSE)</f>
        <v>0</v>
      </c>
      <c r="H189" s="1" t="str">
        <f>VLOOKUP(J189,'Names with Seat Code'!A:E,5,FALSE)</f>
        <v>Petrin</v>
      </c>
      <c r="I189" s="1" t="str">
        <f>VLOOKUP(J189,'Names with Seat Code'!A:E,3,FALSE)</f>
        <v>Jacob</v>
      </c>
      <c r="J189">
        <v>176</v>
      </c>
      <c r="K189" t="str">
        <f>VLOOKUP(J189,'Names with Seat Code'!A:E,4,FALSE)</f>
        <v/>
      </c>
      <c r="L189" s="1" t="str">
        <f>VLOOKUP(J189,'Names with Seat Code'!A:F,6,FALSE)</f>
        <v>pee-trin</v>
      </c>
    </row>
    <row r="190" spans="1:12" x14ac:dyDescent="0.25">
      <c r="A190" s="6" t="s">
        <v>51</v>
      </c>
      <c r="B190" s="6" t="s">
        <v>62</v>
      </c>
      <c r="C190" s="6">
        <v>107</v>
      </c>
      <c r="D190" s="7" t="s">
        <v>53</v>
      </c>
      <c r="E190" s="6">
        <f t="shared" si="3"/>
        <v>8</v>
      </c>
      <c r="F190" s="8">
        <v>4</v>
      </c>
      <c r="G190" s="6">
        <f>VLOOKUP(J190,'Names with Seat Code'!A:I,9,FALSE)</f>
        <v>0</v>
      </c>
      <c r="H190" s="1" t="str">
        <f>VLOOKUP(J190,'Names with Seat Code'!A:E,5,FALSE)</f>
        <v>Picard</v>
      </c>
      <c r="I190" s="1" t="str">
        <f>VLOOKUP(J190,'Names with Seat Code'!A:E,3,FALSE)</f>
        <v>Wyatt</v>
      </c>
      <c r="J190">
        <v>177</v>
      </c>
      <c r="K190" t="str">
        <f>VLOOKUP(J190,'Names with Seat Code'!A:E,4,FALSE)</f>
        <v/>
      </c>
      <c r="L190" s="1">
        <f>VLOOKUP(J190,'Names with Seat Code'!A:F,6,FALSE)</f>
        <v>0</v>
      </c>
    </row>
    <row r="191" spans="1:12" x14ac:dyDescent="0.25">
      <c r="A191" s="6" t="s">
        <v>51</v>
      </c>
      <c r="B191" s="6" t="s">
        <v>62</v>
      </c>
      <c r="C191" s="6">
        <v>109</v>
      </c>
      <c r="D191" s="7" t="s">
        <v>53</v>
      </c>
      <c r="E191" s="6">
        <f t="shared" si="3"/>
        <v>8</v>
      </c>
      <c r="F191" s="8">
        <v>5</v>
      </c>
      <c r="G191" s="6">
        <f>VLOOKUP(J191,'Names with Seat Code'!A:I,9,FALSE)</f>
        <v>0</v>
      </c>
      <c r="H191" s="1" t="str">
        <f>VLOOKUP(J191,'Names with Seat Code'!A:E,5,FALSE)</f>
        <v>Pomerantz</v>
      </c>
      <c r="I191" s="1" t="str">
        <f>VLOOKUP(J191,'Names with Seat Code'!A:E,3,FALSE)</f>
        <v>Samantha</v>
      </c>
      <c r="J191">
        <v>178</v>
      </c>
      <c r="K191" t="str">
        <f>VLOOKUP(J191,'Names with Seat Code'!A:E,4,FALSE)</f>
        <v/>
      </c>
      <c r="L191" s="1" t="str">
        <f>VLOOKUP(J191,'Names with Seat Code'!A:F,6,FALSE)</f>
        <v>Pom er antz</v>
      </c>
    </row>
    <row r="192" spans="1:12" x14ac:dyDescent="0.25">
      <c r="A192" s="6" t="s">
        <v>51</v>
      </c>
      <c r="B192" s="6" t="s">
        <v>62</v>
      </c>
      <c r="C192" s="6">
        <v>111</v>
      </c>
      <c r="D192" s="7" t="s">
        <v>53</v>
      </c>
      <c r="E192" s="6">
        <f t="shared" si="3"/>
        <v>8</v>
      </c>
      <c r="F192" s="8">
        <v>6</v>
      </c>
      <c r="G192" s="6">
        <f>VLOOKUP(J192,'Names with Seat Code'!A:I,9,FALSE)</f>
        <v>0</v>
      </c>
      <c r="H192" s="1" t="str">
        <f>VLOOKUP(J192,'Names with Seat Code'!A:E,5,FALSE)</f>
        <v>Poudyal</v>
      </c>
      <c r="I192" s="1" t="str">
        <f>VLOOKUP(J192,'Names with Seat Code'!A:E,3,FALSE)</f>
        <v>Shivani</v>
      </c>
      <c r="J192">
        <v>179</v>
      </c>
      <c r="K192" t="str">
        <f>VLOOKUP(J192,'Names with Seat Code'!A:E,4,FALSE)</f>
        <v/>
      </c>
      <c r="L192" s="1" t="str">
        <f>VLOOKUP(J192,'Names with Seat Code'!A:F,6,FALSE)</f>
        <v>shiv-ah-knee POW-Dell</v>
      </c>
    </row>
    <row r="193" spans="1:12" x14ac:dyDescent="0.25">
      <c r="A193" s="6" t="s">
        <v>51</v>
      </c>
      <c r="B193" s="6" t="s">
        <v>62</v>
      </c>
      <c r="C193" s="6">
        <v>113</v>
      </c>
      <c r="D193" s="7" t="s">
        <v>53</v>
      </c>
      <c r="E193" s="6">
        <f t="shared" si="3"/>
        <v>8</v>
      </c>
      <c r="F193" s="8">
        <v>7</v>
      </c>
      <c r="G193" s="6">
        <f>VLOOKUP(J193,'Names with Seat Code'!A:I,9,FALSE)</f>
        <v>0</v>
      </c>
      <c r="H193" s="1" t="str">
        <f>VLOOKUP(J193,'Names with Seat Code'!A:E,5,FALSE)</f>
        <v>Pulpi</v>
      </c>
      <c r="I193" s="1" t="str">
        <f>VLOOKUP(J193,'Names with Seat Code'!A:E,3,FALSE)</f>
        <v>Ryan</v>
      </c>
      <c r="J193">
        <v>180</v>
      </c>
      <c r="K193" t="str">
        <f>VLOOKUP(J193,'Names with Seat Code'!A:E,4,FALSE)</f>
        <v/>
      </c>
      <c r="L193" s="1" t="str">
        <f>VLOOKUP(J193,'Names with Seat Code'!A:F,6,FALSE)</f>
        <v>Ryan pulpi</v>
      </c>
    </row>
    <row r="194" spans="1:12" ht="18.75" thickBot="1" x14ac:dyDescent="0.3">
      <c r="A194" s="6" t="s">
        <v>51</v>
      </c>
      <c r="B194" s="6" t="s">
        <v>62</v>
      </c>
      <c r="C194" s="6">
        <v>115</v>
      </c>
      <c r="D194" s="7" t="s">
        <v>53</v>
      </c>
      <c r="E194" s="6">
        <f t="shared" si="3"/>
        <v>8</v>
      </c>
      <c r="F194" s="8">
        <v>8</v>
      </c>
      <c r="G194" s="6">
        <f>VLOOKUP(J194,'Names with Seat Code'!A:I,9,FALSE)</f>
        <v>0</v>
      </c>
      <c r="H194" s="1" t="str">
        <f>VLOOKUP(J194,'Names with Seat Code'!A:E,5,FALSE)</f>
        <v>Rai</v>
      </c>
      <c r="I194" s="1" t="str">
        <f>VLOOKUP(J194,'Names with Seat Code'!A:E,3,FALSE)</f>
        <v>Jessica</v>
      </c>
      <c r="J194" s="3">
        <v>181</v>
      </c>
      <c r="K194" t="str">
        <f>VLOOKUP(J194,'Names with Seat Code'!A:E,4,FALSE)</f>
        <v/>
      </c>
      <c r="L194" s="1" t="str">
        <f>VLOOKUP(J194,'Names with Seat Code'!A:F,6,FALSE)</f>
        <v>Jessica r-eye</v>
      </c>
    </row>
    <row r="195" spans="1:12" ht="18.75" thickTop="1" x14ac:dyDescent="0.25">
      <c r="A195" s="6" t="s">
        <v>51</v>
      </c>
      <c r="B195" s="6" t="s">
        <v>62</v>
      </c>
      <c r="C195" s="6">
        <v>117</v>
      </c>
      <c r="D195" s="7" t="s">
        <v>53</v>
      </c>
      <c r="E195" s="6">
        <f t="shared" si="3"/>
        <v>8</v>
      </c>
      <c r="F195" s="8">
        <v>9</v>
      </c>
      <c r="G195" s="6">
        <f>VLOOKUP(J195,'Names with Seat Code'!A:I,9,FALSE)</f>
        <v>0</v>
      </c>
      <c r="H195" s="1" t="str">
        <f>VLOOKUP(J195,'Names with Seat Code'!A:E,5,FALSE)</f>
        <v>Ravens</v>
      </c>
      <c r="I195" s="1" t="str">
        <f>VLOOKUP(J195,'Names with Seat Code'!A:E,3,FALSE)</f>
        <v>Ted</v>
      </c>
      <c r="J195">
        <v>182</v>
      </c>
      <c r="K195" t="str">
        <f>VLOOKUP(J195,'Names with Seat Code'!A:E,4,FALSE)</f>
        <v/>
      </c>
      <c r="L195" s="1">
        <f>VLOOKUP(J195,'Names with Seat Code'!A:F,6,FALSE)</f>
        <v>0</v>
      </c>
    </row>
    <row r="196" spans="1:12" x14ac:dyDescent="0.25">
      <c r="A196" s="6" t="s">
        <v>51</v>
      </c>
      <c r="B196" s="6" t="s">
        <v>62</v>
      </c>
      <c r="C196" s="6">
        <v>119</v>
      </c>
      <c r="D196" s="7" t="s">
        <v>53</v>
      </c>
      <c r="E196" s="6">
        <f t="shared" si="3"/>
        <v>8</v>
      </c>
      <c r="F196" s="8">
        <v>10</v>
      </c>
      <c r="G196" s="6">
        <f>VLOOKUP(J196,'Names with Seat Code'!A:I,9,FALSE)</f>
        <v>0</v>
      </c>
      <c r="H196" s="1" t="str">
        <f>VLOOKUP(J196,'Names with Seat Code'!A:E,5,FALSE)</f>
        <v>Reis</v>
      </c>
      <c r="I196" s="1" t="str">
        <f>VLOOKUP(J196,'Names with Seat Code'!A:E,3,FALSE)</f>
        <v>Lucas</v>
      </c>
      <c r="J196">
        <v>183</v>
      </c>
      <c r="K196" t="str">
        <f>VLOOKUP(J196,'Names with Seat Code'!A:E,4,FALSE)</f>
        <v/>
      </c>
      <c r="L196" s="1">
        <f>VLOOKUP(J196,'Names with Seat Code'!A:F,6,FALSE)</f>
        <v>0</v>
      </c>
    </row>
    <row r="197" spans="1:12" x14ac:dyDescent="0.25">
      <c r="A197" s="6" t="s">
        <v>51</v>
      </c>
      <c r="B197" s="6" t="s">
        <v>62</v>
      </c>
      <c r="C197" s="6">
        <v>121</v>
      </c>
      <c r="D197" s="7" t="s">
        <v>53</v>
      </c>
      <c r="E197" s="6">
        <f t="shared" si="3"/>
        <v>8</v>
      </c>
      <c r="F197" s="8">
        <v>11</v>
      </c>
      <c r="G197" s="6">
        <f>VLOOKUP(J197,'Names with Seat Code'!A:I,9,FALSE)</f>
        <v>0</v>
      </c>
      <c r="H197" s="1" t="str">
        <f>VLOOKUP(J197,'Names with Seat Code'!A:E,5,FALSE)</f>
        <v>Renda</v>
      </c>
      <c r="I197" s="1" t="str">
        <f>VLOOKUP(J197,'Names with Seat Code'!A:E,3,FALSE)</f>
        <v>Olivia</v>
      </c>
      <c r="J197">
        <v>184</v>
      </c>
      <c r="K197" t="str">
        <f>VLOOKUP(J197,'Names with Seat Code'!A:E,4,FALSE)</f>
        <v/>
      </c>
      <c r="L197" s="1">
        <f>VLOOKUP(J197,'Names with Seat Code'!A:F,6,FALSE)</f>
        <v>0</v>
      </c>
    </row>
    <row r="198" spans="1:12" ht="18.75" thickBot="1" x14ac:dyDescent="0.3">
      <c r="A198" s="4" t="s">
        <v>51</v>
      </c>
      <c r="B198" s="4" t="s">
        <v>62</v>
      </c>
      <c r="C198" s="5">
        <v>123</v>
      </c>
      <c r="D198" s="9" t="s">
        <v>53</v>
      </c>
      <c r="E198" s="4">
        <f t="shared" si="3"/>
        <v>8</v>
      </c>
      <c r="F198" s="5">
        <v>12</v>
      </c>
      <c r="G198" s="6">
        <f>VLOOKUP(J198,'Names with Seat Code'!A:I,9,FALSE)</f>
        <v>0</v>
      </c>
      <c r="H198" s="37" t="str">
        <f>VLOOKUP(J198,'Names with Seat Code'!A:E,5,FALSE)</f>
        <v>Richter</v>
      </c>
      <c r="I198" s="2" t="str">
        <f>VLOOKUP(J198,'Names with Seat Code'!A:E,3,FALSE)</f>
        <v>Jessica</v>
      </c>
      <c r="J198">
        <v>185</v>
      </c>
      <c r="K198" s="3" t="str">
        <f>VLOOKUP(J198,'Names with Seat Code'!A:E,4,FALSE)</f>
        <v/>
      </c>
      <c r="L198" s="1" t="str">
        <f>VLOOKUP(J198,'Names with Seat Code'!A:F,6,FALSE)</f>
        <v>Rick-ter or /ˈrɪktər/</v>
      </c>
    </row>
    <row r="199" spans="1:12" ht="18.75" thickTop="1" x14ac:dyDescent="0.25">
      <c r="A199" s="6" t="s">
        <v>48</v>
      </c>
      <c r="B199" s="6" t="s">
        <v>64</v>
      </c>
      <c r="C199" s="6">
        <v>101</v>
      </c>
      <c r="D199" s="7" t="s">
        <v>50</v>
      </c>
      <c r="E199" s="6">
        <f>E175+1</f>
        <v>9</v>
      </c>
      <c r="F199" s="8">
        <v>1</v>
      </c>
      <c r="G199" s="6">
        <f>VLOOKUP(J199,'Names with Seat Code'!A:I,9,FALSE)</f>
        <v>0</v>
      </c>
      <c r="H199" s="1" t="str">
        <f>VLOOKUP(J199,'Names with Seat Code'!A:E,5,FALSE)</f>
        <v>Robichaud</v>
      </c>
      <c r="I199" s="1" t="str">
        <f>VLOOKUP(J199,'Names with Seat Code'!A:E,3,FALSE)</f>
        <v>Charlotte</v>
      </c>
      <c r="J199">
        <v>186</v>
      </c>
      <c r="K199" t="str">
        <f>VLOOKUP(J199,'Names with Seat Code'!A:E,4,FALSE)</f>
        <v/>
      </c>
      <c r="L199" s="1" t="str">
        <f>VLOOKUP(J199,'Names with Seat Code'!A:F,6,FALSE)</f>
        <v>Shar-lit Row-bih-shawd</v>
      </c>
    </row>
    <row r="200" spans="1:12" x14ac:dyDescent="0.25">
      <c r="A200" s="6" t="s">
        <v>48</v>
      </c>
      <c r="B200" s="6" t="s">
        <v>64</v>
      </c>
      <c r="C200" s="6">
        <v>102</v>
      </c>
      <c r="D200" s="7" t="s">
        <v>50</v>
      </c>
      <c r="E200" s="6">
        <f t="shared" ref="E200:E210" si="4">E176+1</f>
        <v>9</v>
      </c>
      <c r="F200" s="8">
        <v>2</v>
      </c>
      <c r="G200" s="6">
        <f>VLOOKUP(J200,'Names with Seat Code'!A:I,9,FALSE)</f>
        <v>0</v>
      </c>
      <c r="H200" s="1" t="str">
        <f>VLOOKUP(J200,'Names with Seat Code'!A:E,5,FALSE)</f>
        <v>Robillard</v>
      </c>
      <c r="I200" s="1" t="str">
        <f>VLOOKUP(J200,'Names with Seat Code'!A:E,3,FALSE)</f>
        <v>Derek</v>
      </c>
      <c r="J200">
        <v>187</v>
      </c>
      <c r="K200" t="str">
        <f>VLOOKUP(J200,'Names with Seat Code'!A:E,4,FALSE)</f>
        <v/>
      </c>
      <c r="L200" s="1">
        <f>VLOOKUP(J200,'Names with Seat Code'!A:F,6,FALSE)</f>
        <v>0</v>
      </c>
    </row>
    <row r="201" spans="1:12" x14ac:dyDescent="0.25">
      <c r="A201" s="6" t="s">
        <v>48</v>
      </c>
      <c r="B201" s="6" t="s">
        <v>64</v>
      </c>
      <c r="C201" s="6">
        <v>103</v>
      </c>
      <c r="D201" s="7" t="s">
        <v>50</v>
      </c>
      <c r="E201" s="6">
        <f t="shared" si="4"/>
        <v>9</v>
      </c>
      <c r="F201" s="8">
        <v>3</v>
      </c>
      <c r="G201" s="6">
        <f>VLOOKUP(J201,'Names with Seat Code'!A:I,9,FALSE)</f>
        <v>0</v>
      </c>
      <c r="H201" s="1" t="str">
        <f>VLOOKUP(J201,'Names with Seat Code'!A:E,5,FALSE)</f>
        <v>Robinson</v>
      </c>
      <c r="I201" s="1" t="str">
        <f>VLOOKUP(J201,'Names with Seat Code'!A:E,3,FALSE)</f>
        <v>Isaac</v>
      </c>
      <c r="J201">
        <v>188</v>
      </c>
      <c r="K201" t="str">
        <f>VLOOKUP(J201,'Names with Seat Code'!A:E,4,FALSE)</f>
        <v/>
      </c>
      <c r="L201" s="1">
        <f>VLOOKUP(J201,'Names with Seat Code'!A:F,6,FALSE)</f>
        <v>0</v>
      </c>
    </row>
    <row r="202" spans="1:12" x14ac:dyDescent="0.25">
      <c r="A202" s="6" t="s">
        <v>48</v>
      </c>
      <c r="B202" s="6" t="s">
        <v>64</v>
      </c>
      <c r="C202" s="6">
        <v>104</v>
      </c>
      <c r="D202" s="7" t="s">
        <v>50</v>
      </c>
      <c r="E202" s="6">
        <f t="shared" si="4"/>
        <v>9</v>
      </c>
      <c r="F202" s="8">
        <v>4</v>
      </c>
      <c r="G202" s="6">
        <f>VLOOKUP(J202,'Names with Seat Code'!A:I,9,FALSE)</f>
        <v>0</v>
      </c>
      <c r="H202" s="1" t="str">
        <f>VLOOKUP(J202,'Names with Seat Code'!A:E,5,FALSE)</f>
        <v>Rock</v>
      </c>
      <c r="I202" s="1" t="str">
        <f>VLOOKUP(J202,'Names with Seat Code'!A:E,3,FALSE)</f>
        <v>Teresa</v>
      </c>
      <c r="J202">
        <v>189</v>
      </c>
      <c r="K202" t="str">
        <f>VLOOKUP(J202,'Names with Seat Code'!A:E,4,FALSE)</f>
        <v/>
      </c>
      <c r="L202" s="1">
        <f>VLOOKUP(J202,'Names with Seat Code'!A:F,6,FALSE)</f>
        <v>0</v>
      </c>
    </row>
    <row r="203" spans="1:12" x14ac:dyDescent="0.25">
      <c r="A203" s="6" t="s">
        <v>48</v>
      </c>
      <c r="B203" s="6" t="s">
        <v>64</v>
      </c>
      <c r="C203" s="6">
        <v>105</v>
      </c>
      <c r="D203" s="7" t="s">
        <v>50</v>
      </c>
      <c r="E203" s="6">
        <f t="shared" si="4"/>
        <v>9</v>
      </c>
      <c r="F203" s="8">
        <v>5</v>
      </c>
      <c r="G203" s="6">
        <f>VLOOKUP(J203,'Names with Seat Code'!A:I,9,FALSE)</f>
        <v>0</v>
      </c>
      <c r="H203" s="1" t="str">
        <f>VLOOKUP(J203,'Names with Seat Code'!A:E,5,FALSE)</f>
        <v>Rodrigues</v>
      </c>
      <c r="I203" s="1" t="str">
        <f>VLOOKUP(J203,'Names with Seat Code'!A:E,3,FALSE)</f>
        <v>James</v>
      </c>
      <c r="J203">
        <v>190</v>
      </c>
      <c r="K203" t="str">
        <f>VLOOKUP(J203,'Names with Seat Code'!A:E,4,FALSE)</f>
        <v/>
      </c>
      <c r="L203" s="1">
        <f>VLOOKUP(J203,'Names with Seat Code'!A:F,6,FALSE)</f>
        <v>0</v>
      </c>
    </row>
    <row r="204" spans="1:12" x14ac:dyDescent="0.25">
      <c r="A204" s="6" t="s">
        <v>48</v>
      </c>
      <c r="B204" s="6" t="s">
        <v>64</v>
      </c>
      <c r="C204" s="6">
        <v>106</v>
      </c>
      <c r="D204" s="7" t="s">
        <v>50</v>
      </c>
      <c r="E204" s="6">
        <f t="shared" si="4"/>
        <v>9</v>
      </c>
      <c r="F204" s="8">
        <v>6</v>
      </c>
      <c r="G204" s="6">
        <f>VLOOKUP(J204,'Names with Seat Code'!A:I,9,FALSE)</f>
        <v>0</v>
      </c>
      <c r="H204" s="1" t="str">
        <f>VLOOKUP(J204,'Names with Seat Code'!A:E,5,FALSE)</f>
        <v>Rogerson</v>
      </c>
      <c r="I204" s="1" t="str">
        <f>VLOOKUP(J204,'Names with Seat Code'!A:E,3,FALSE)</f>
        <v>Luke</v>
      </c>
      <c r="J204">
        <v>191</v>
      </c>
      <c r="K204" t="str">
        <f>VLOOKUP(J204,'Names with Seat Code'!A:E,4,FALSE)</f>
        <v/>
      </c>
      <c r="L204" s="1">
        <f>VLOOKUP(J204,'Names with Seat Code'!A:F,6,FALSE)</f>
        <v>0</v>
      </c>
    </row>
    <row r="205" spans="1:12" x14ac:dyDescent="0.25">
      <c r="A205" s="6" t="s">
        <v>48</v>
      </c>
      <c r="B205" s="6" t="s">
        <v>64</v>
      </c>
      <c r="C205" s="6">
        <v>107</v>
      </c>
      <c r="D205" s="7" t="s">
        <v>50</v>
      </c>
      <c r="E205" s="6">
        <f t="shared" si="4"/>
        <v>9</v>
      </c>
      <c r="F205" s="8">
        <v>7</v>
      </c>
      <c r="G205" s="6">
        <f>VLOOKUP(J205,'Names with Seat Code'!A:I,9,FALSE)</f>
        <v>0</v>
      </c>
      <c r="H205" s="1" t="str">
        <f>VLOOKUP(J205,'Names with Seat Code'!A:E,5,FALSE)</f>
        <v>Rojas</v>
      </c>
      <c r="I205" s="1" t="str">
        <f>VLOOKUP(J205,'Names with Seat Code'!A:E,3,FALSE)</f>
        <v>Javian</v>
      </c>
      <c r="J205">
        <v>192</v>
      </c>
      <c r="K205" t="str">
        <f>VLOOKUP(J205,'Names with Seat Code'!A:E,4,FALSE)</f>
        <v/>
      </c>
      <c r="L205" s="1" t="str">
        <f>VLOOKUP(J205,'Names with Seat Code'!A:F,6,FALSE)</f>
        <v>Jay-vi-en Ro-haws</v>
      </c>
    </row>
    <row r="206" spans="1:12" ht="18.75" thickBot="1" x14ac:dyDescent="0.3">
      <c r="A206" s="6" t="s">
        <v>48</v>
      </c>
      <c r="B206" s="6" t="s">
        <v>64</v>
      </c>
      <c r="C206" s="6">
        <v>108</v>
      </c>
      <c r="D206" s="7" t="s">
        <v>50</v>
      </c>
      <c r="E206" s="6">
        <f t="shared" si="4"/>
        <v>9</v>
      </c>
      <c r="F206" s="8">
        <v>8</v>
      </c>
      <c r="G206" s="6">
        <f>VLOOKUP(J206,'Names with Seat Code'!A:I,9,FALSE)</f>
        <v>0</v>
      </c>
      <c r="H206" s="1" t="str">
        <f>VLOOKUP(J206,'Names with Seat Code'!A:E,5,FALSE)</f>
        <v>Russo</v>
      </c>
      <c r="I206" s="1" t="str">
        <f>VLOOKUP(J206,'Names with Seat Code'!A:E,3,FALSE)</f>
        <v>Ellie</v>
      </c>
      <c r="J206" s="3">
        <v>193</v>
      </c>
      <c r="K206" t="str">
        <f>VLOOKUP(J206,'Names with Seat Code'!A:E,4,FALSE)</f>
        <v/>
      </c>
      <c r="L206" s="1">
        <f>VLOOKUP(J206,'Names with Seat Code'!A:F,6,FALSE)</f>
        <v>0</v>
      </c>
    </row>
    <row r="207" spans="1:12" ht="18.75" thickTop="1" x14ac:dyDescent="0.25">
      <c r="A207" s="6" t="s">
        <v>48</v>
      </c>
      <c r="B207" s="6" t="s">
        <v>64</v>
      </c>
      <c r="C207" s="6">
        <v>109</v>
      </c>
      <c r="D207" s="7" t="s">
        <v>50</v>
      </c>
      <c r="E207" s="6">
        <f t="shared" si="4"/>
        <v>9</v>
      </c>
      <c r="F207" s="8">
        <v>9</v>
      </c>
      <c r="G207" s="6">
        <f>VLOOKUP(J207,'Names with Seat Code'!A:I,9,FALSE)</f>
        <v>0</v>
      </c>
      <c r="H207" s="1" t="str">
        <f>VLOOKUP(J207,'Names with Seat Code'!A:E,5,FALSE)</f>
        <v>Ryland</v>
      </c>
      <c r="I207" s="1" t="str">
        <f>VLOOKUP(J207,'Names with Seat Code'!A:E,3,FALSE)</f>
        <v>Rejon</v>
      </c>
      <c r="J207">
        <v>194</v>
      </c>
      <c r="K207" t="str">
        <f>VLOOKUP(J207,'Names with Seat Code'!A:E,4,FALSE)</f>
        <v/>
      </c>
      <c r="L207" s="1" t="str">
        <f>VLOOKUP(J207,'Names with Seat Code'!A:F,6,FALSE)</f>
        <v>ray-john  R-eye-land</v>
      </c>
    </row>
    <row r="208" spans="1:12" x14ac:dyDescent="0.25">
      <c r="A208" s="6" t="s">
        <v>48</v>
      </c>
      <c r="B208" s="6" t="s">
        <v>64</v>
      </c>
      <c r="C208" s="6">
        <v>110</v>
      </c>
      <c r="D208" s="7" t="s">
        <v>50</v>
      </c>
      <c r="E208" s="6">
        <f t="shared" si="4"/>
        <v>9</v>
      </c>
      <c r="F208" s="8">
        <v>10</v>
      </c>
      <c r="G208" s="6">
        <f>VLOOKUP(J208,'Names with Seat Code'!A:I,9,FALSE)</f>
        <v>0</v>
      </c>
      <c r="H208" s="1" t="str">
        <f>VLOOKUP(J208,'Names with Seat Code'!A:E,5,FALSE)</f>
        <v>Sardinha</v>
      </c>
      <c r="I208" s="1" t="str">
        <f>VLOOKUP(J208,'Names with Seat Code'!A:E,3,FALSE)</f>
        <v>Lorenzo</v>
      </c>
      <c r="J208">
        <v>195</v>
      </c>
      <c r="K208" t="str">
        <f>VLOOKUP(J208,'Names with Seat Code'!A:E,4,FALSE)</f>
        <v/>
      </c>
      <c r="L208" s="1" t="str">
        <f>VLOOKUP(J208,'Names with Seat Code'!A:F,6,FALSE)</f>
        <v>loh-REN-zoh sar-DEEN-yah (the nh sounds like “ny”)</v>
      </c>
    </row>
    <row r="209" spans="1:12" x14ac:dyDescent="0.25">
      <c r="A209" s="6" t="s">
        <v>48</v>
      </c>
      <c r="B209" s="6" t="s">
        <v>64</v>
      </c>
      <c r="C209" s="6">
        <v>111</v>
      </c>
      <c r="D209" s="7" t="s">
        <v>50</v>
      </c>
      <c r="E209" s="6">
        <f t="shared" si="4"/>
        <v>9</v>
      </c>
      <c r="F209" s="8">
        <v>11</v>
      </c>
      <c r="G209" s="6">
        <f>VLOOKUP(J209,'Names with Seat Code'!A:I,9,FALSE)</f>
        <v>0</v>
      </c>
      <c r="H209" s="1" t="str">
        <f>VLOOKUP(J209,'Names with Seat Code'!A:E,5,FALSE)</f>
        <v>Sarre</v>
      </c>
      <c r="I209" s="1" t="str">
        <f>VLOOKUP(J209,'Names with Seat Code'!A:E,3,FALSE)</f>
        <v>Noah</v>
      </c>
      <c r="J209">
        <v>196</v>
      </c>
      <c r="K209" t="str">
        <f>VLOOKUP(J209,'Names with Seat Code'!A:E,4,FALSE)</f>
        <v/>
      </c>
      <c r="L209" s="1" t="str">
        <f>VLOOKUP(J209,'Names with Seat Code'!A:F,6,FALSE)</f>
        <v>Sarre (rhymes with car)</v>
      </c>
    </row>
    <row r="210" spans="1:12" ht="18.75" thickBot="1" x14ac:dyDescent="0.3">
      <c r="A210" s="4" t="s">
        <v>48</v>
      </c>
      <c r="B210" s="4" t="s">
        <v>64</v>
      </c>
      <c r="C210" s="4">
        <v>112</v>
      </c>
      <c r="D210" s="9" t="s">
        <v>50</v>
      </c>
      <c r="E210" s="4">
        <f t="shared" si="4"/>
        <v>9</v>
      </c>
      <c r="F210" s="5">
        <v>12</v>
      </c>
      <c r="G210" s="6">
        <f>VLOOKUP(J210,'Names with Seat Code'!A:I,9,FALSE)</f>
        <v>0</v>
      </c>
      <c r="H210" s="37" t="str">
        <f>VLOOKUP(J210,'Names with Seat Code'!A:E,5,FALSE)</f>
        <v>Savio</v>
      </c>
      <c r="I210" s="2" t="str">
        <f>VLOOKUP(J210,'Names with Seat Code'!A:E,3,FALSE)</f>
        <v>Katherine</v>
      </c>
      <c r="J210">
        <v>197</v>
      </c>
      <c r="K210" s="3" t="str">
        <f>VLOOKUP(J210,'Names with Seat Code'!A:E,4,FALSE)</f>
        <v/>
      </c>
      <c r="L210" s="1">
        <f>VLOOKUP(J210,'Names with Seat Code'!A:F,6,FALSE)</f>
        <v>0</v>
      </c>
    </row>
    <row r="211" spans="1:12" ht="18.75" thickTop="1" x14ac:dyDescent="0.25">
      <c r="A211" s="6" t="s">
        <v>51</v>
      </c>
      <c r="B211" s="6" t="s">
        <v>65</v>
      </c>
      <c r="C211" s="6">
        <v>124</v>
      </c>
      <c r="D211" s="7" t="s">
        <v>53</v>
      </c>
      <c r="E211" s="6">
        <f>E187+1</f>
        <v>9</v>
      </c>
      <c r="F211" s="8">
        <v>1</v>
      </c>
      <c r="G211" s="6">
        <f>VLOOKUP(J211,'Names with Seat Code'!A:I,9,FALSE)</f>
        <v>0</v>
      </c>
      <c r="H211" s="1" t="str">
        <f>VLOOKUP(J211,'Names with Seat Code'!A:E,5,FALSE)</f>
        <v>Scales</v>
      </c>
      <c r="I211" s="1" t="str">
        <f>VLOOKUP(J211,'Names with Seat Code'!A:E,3,FALSE)</f>
        <v>Megan</v>
      </c>
      <c r="J211">
        <v>198</v>
      </c>
      <c r="K211" t="str">
        <f>VLOOKUP(J211,'Names with Seat Code'!A:E,4,FALSE)</f>
        <v/>
      </c>
      <c r="L211" s="1">
        <f>VLOOKUP(J211,'Names with Seat Code'!A:F,6,FALSE)</f>
        <v>0</v>
      </c>
    </row>
    <row r="212" spans="1:12" x14ac:dyDescent="0.25">
      <c r="A212" s="6" t="s">
        <v>51</v>
      </c>
      <c r="B212" s="6" t="s">
        <v>65</v>
      </c>
      <c r="C212" s="6">
        <v>122</v>
      </c>
      <c r="D212" s="7" t="s">
        <v>53</v>
      </c>
      <c r="E212" s="6">
        <f t="shared" ref="E212:E222" si="5">E188+1</f>
        <v>9</v>
      </c>
      <c r="F212" s="8">
        <v>2</v>
      </c>
      <c r="G212" s="6">
        <f>VLOOKUP(J212,'Names with Seat Code'!A:I,9,FALSE)</f>
        <v>0</v>
      </c>
      <c r="H212" s="1" t="str">
        <f>VLOOKUP(J212,'Names with Seat Code'!A:E,5,FALSE)</f>
        <v>Schrager</v>
      </c>
      <c r="I212" s="1" t="str">
        <f>VLOOKUP(J212,'Names with Seat Code'!A:E,3,FALSE)</f>
        <v>Sophie</v>
      </c>
      <c r="J212">
        <v>199</v>
      </c>
      <c r="K212" t="str">
        <f>VLOOKUP(J212,'Names with Seat Code'!A:E,4,FALSE)</f>
        <v/>
      </c>
      <c r="L212" s="1" t="str">
        <f>VLOOKUP(J212,'Names with Seat Code'!A:F,6,FALSE)</f>
        <v>Soh-fee Shray-ger</v>
      </c>
    </row>
    <row r="213" spans="1:12" x14ac:dyDescent="0.25">
      <c r="A213" s="6" t="s">
        <v>51</v>
      </c>
      <c r="B213" s="6" t="s">
        <v>65</v>
      </c>
      <c r="C213" s="6">
        <v>120</v>
      </c>
      <c r="D213" s="7" t="s">
        <v>53</v>
      </c>
      <c r="E213" s="6">
        <f t="shared" si="5"/>
        <v>9</v>
      </c>
      <c r="F213" s="8">
        <v>3</v>
      </c>
      <c r="G213" s="6">
        <f>VLOOKUP(J213,'Names with Seat Code'!A:I,9,FALSE)</f>
        <v>0</v>
      </c>
      <c r="H213" s="1" t="str">
        <f>VLOOKUP(J213,'Names with Seat Code'!A:E,5,FALSE)</f>
        <v>Schultz</v>
      </c>
      <c r="I213" s="1" t="str">
        <f>VLOOKUP(J213,'Names with Seat Code'!A:E,3,FALSE)</f>
        <v>Rylie</v>
      </c>
      <c r="J213">
        <v>200</v>
      </c>
      <c r="K213" t="str">
        <f>VLOOKUP(J213,'Names with Seat Code'!A:E,4,FALSE)</f>
        <v/>
      </c>
      <c r="L213" s="1">
        <f>VLOOKUP(J213,'Names with Seat Code'!A:F,6,FALSE)</f>
        <v>0</v>
      </c>
    </row>
    <row r="214" spans="1:12" x14ac:dyDescent="0.25">
      <c r="A214" s="6" t="s">
        <v>51</v>
      </c>
      <c r="B214" s="6" t="s">
        <v>65</v>
      </c>
      <c r="C214" s="6">
        <v>118</v>
      </c>
      <c r="D214" s="7" t="s">
        <v>53</v>
      </c>
      <c r="E214" s="6">
        <f t="shared" si="5"/>
        <v>9</v>
      </c>
      <c r="F214" s="8">
        <v>4</v>
      </c>
      <c r="G214" s="6">
        <f>VLOOKUP(J214,'Names with Seat Code'!A:I,9,FALSE)</f>
        <v>0</v>
      </c>
      <c r="H214" s="1" t="str">
        <f>VLOOKUP(J214,'Names with Seat Code'!A:E,5,FALSE)</f>
        <v>Scully</v>
      </c>
      <c r="I214" s="1" t="str">
        <f>VLOOKUP(J214,'Names with Seat Code'!A:E,3,FALSE)</f>
        <v>Madeline</v>
      </c>
      <c r="J214">
        <v>201</v>
      </c>
      <c r="K214" t="str">
        <f>VLOOKUP(J214,'Names with Seat Code'!A:E,4,FALSE)</f>
        <v/>
      </c>
      <c r="L214" s="1">
        <f>VLOOKUP(J214,'Names with Seat Code'!A:F,6,FALSE)</f>
        <v>0</v>
      </c>
    </row>
    <row r="215" spans="1:12" x14ac:dyDescent="0.25">
      <c r="A215" s="6" t="s">
        <v>51</v>
      </c>
      <c r="B215" s="6" t="s">
        <v>65</v>
      </c>
      <c r="C215" s="6">
        <v>116</v>
      </c>
      <c r="D215" s="7" t="s">
        <v>53</v>
      </c>
      <c r="E215" s="6">
        <f t="shared" si="5"/>
        <v>9</v>
      </c>
      <c r="F215" s="8">
        <v>5</v>
      </c>
      <c r="G215" s="6">
        <f>VLOOKUP(J215,'Names with Seat Code'!A:I,9,FALSE)</f>
        <v>0</v>
      </c>
      <c r="H215" s="1" t="str">
        <f>VLOOKUP(J215,'Names with Seat Code'!A:E,5,FALSE)</f>
        <v>Selvakumar</v>
      </c>
      <c r="I215" s="1" t="str">
        <f>VLOOKUP(J215,'Names with Seat Code'!A:E,3,FALSE)</f>
        <v>Sachi</v>
      </c>
      <c r="J215">
        <v>202</v>
      </c>
      <c r="K215" t="str">
        <f>VLOOKUP(J215,'Names with Seat Code'!A:E,4,FALSE)</f>
        <v/>
      </c>
      <c r="L215" s="1" t="str">
        <f>VLOOKUP(J215,'Names with Seat Code'!A:F,6,FALSE)</f>
        <v>Sachi (Sa-Chee) Selvakumar (Selva-koomar)</v>
      </c>
    </row>
    <row r="216" spans="1:12" x14ac:dyDescent="0.25">
      <c r="A216" s="6" t="s">
        <v>51</v>
      </c>
      <c r="B216" s="6" t="s">
        <v>65</v>
      </c>
      <c r="C216" s="6">
        <v>114</v>
      </c>
      <c r="D216" s="7" t="s">
        <v>53</v>
      </c>
      <c r="E216" s="6">
        <f t="shared" si="5"/>
        <v>9</v>
      </c>
      <c r="F216" s="8">
        <v>6</v>
      </c>
      <c r="G216" s="6">
        <f>VLOOKUP(J216,'Names with Seat Code'!A:I,9,FALSE)</f>
        <v>0</v>
      </c>
      <c r="H216" s="1" t="str">
        <f>VLOOKUP(J216,'Names with Seat Code'!A:E,5,FALSE)</f>
        <v>Severance</v>
      </c>
      <c r="I216" s="1" t="str">
        <f>VLOOKUP(J216,'Names with Seat Code'!A:E,3,FALSE)</f>
        <v>Katie</v>
      </c>
      <c r="J216">
        <v>203</v>
      </c>
      <c r="K216" t="str">
        <f>VLOOKUP(J216,'Names with Seat Code'!A:E,4,FALSE)</f>
        <v/>
      </c>
      <c r="L216" s="1">
        <f>VLOOKUP(J216,'Names with Seat Code'!A:F,6,FALSE)</f>
        <v>0</v>
      </c>
    </row>
    <row r="217" spans="1:12" x14ac:dyDescent="0.25">
      <c r="A217" s="6" t="s">
        <v>51</v>
      </c>
      <c r="B217" s="6" t="s">
        <v>65</v>
      </c>
      <c r="C217" s="6">
        <v>112</v>
      </c>
      <c r="D217" s="7" t="s">
        <v>53</v>
      </c>
      <c r="E217" s="6">
        <f t="shared" si="5"/>
        <v>9</v>
      </c>
      <c r="F217" s="8">
        <v>7</v>
      </c>
      <c r="G217" s="6">
        <f>VLOOKUP(J217,'Names with Seat Code'!A:I,9,FALSE)</f>
        <v>0</v>
      </c>
      <c r="H217" s="1" t="str">
        <f>VLOOKUP(J217,'Names with Seat Code'!A:E,5,FALSE)</f>
        <v>Shanley</v>
      </c>
      <c r="I217" s="1" t="str">
        <f>VLOOKUP(J217,'Names with Seat Code'!A:E,3,FALSE)</f>
        <v>Annabelle</v>
      </c>
      <c r="J217">
        <v>204</v>
      </c>
      <c r="K217" t="str">
        <f>VLOOKUP(J217,'Names with Seat Code'!A:E,4,FALSE)</f>
        <v/>
      </c>
      <c r="L217" s="1">
        <f>VLOOKUP(J217,'Names with Seat Code'!A:F,6,FALSE)</f>
        <v>0</v>
      </c>
    </row>
    <row r="218" spans="1:12" ht="18.75" thickBot="1" x14ac:dyDescent="0.3">
      <c r="A218" s="6" t="s">
        <v>51</v>
      </c>
      <c r="B218" s="6" t="s">
        <v>65</v>
      </c>
      <c r="C218" s="6">
        <v>110</v>
      </c>
      <c r="D218" s="7" t="s">
        <v>53</v>
      </c>
      <c r="E218" s="6">
        <f t="shared" si="5"/>
        <v>9</v>
      </c>
      <c r="F218" s="8">
        <v>8</v>
      </c>
      <c r="G218" s="6">
        <f>VLOOKUP(J218,'Names with Seat Code'!A:I,9,FALSE)</f>
        <v>0</v>
      </c>
      <c r="H218" s="1" t="str">
        <f>VLOOKUP(J218,'Names with Seat Code'!A:E,5,FALSE)</f>
        <v>Shediac</v>
      </c>
      <c r="I218" s="1" t="str">
        <f>VLOOKUP(J218,'Names with Seat Code'!A:E,3,FALSE)</f>
        <v>Emme</v>
      </c>
      <c r="J218" s="3">
        <v>205</v>
      </c>
      <c r="K218" t="str">
        <f>VLOOKUP(J218,'Names with Seat Code'!A:E,4,FALSE)</f>
        <v/>
      </c>
      <c r="L218" s="1" t="str">
        <f>VLOOKUP(J218,'Names with Seat Code'!A:F,6,FALSE)</f>
        <v>Em-ee Shed-ee-ack</v>
      </c>
    </row>
    <row r="219" spans="1:12" ht="18.75" thickTop="1" x14ac:dyDescent="0.25">
      <c r="A219" s="6" t="s">
        <v>51</v>
      </c>
      <c r="B219" s="6" t="s">
        <v>65</v>
      </c>
      <c r="C219" s="6">
        <v>108</v>
      </c>
      <c r="D219" s="7" t="s">
        <v>53</v>
      </c>
      <c r="E219" s="6">
        <f t="shared" si="5"/>
        <v>9</v>
      </c>
      <c r="F219" s="8">
        <v>9</v>
      </c>
      <c r="G219" s="6">
        <f>VLOOKUP(J219,'Names with Seat Code'!A:I,9,FALSE)</f>
        <v>0</v>
      </c>
      <c r="H219" s="1" t="str">
        <f>VLOOKUP(J219,'Names with Seat Code'!A:E,5,FALSE)</f>
        <v>Shindelman</v>
      </c>
      <c r="I219" s="1" t="str">
        <f>VLOOKUP(J219,'Names with Seat Code'!A:E,3,FALSE)</f>
        <v>Allison</v>
      </c>
      <c r="J219">
        <v>206</v>
      </c>
      <c r="K219" t="str">
        <f>VLOOKUP(J219,'Names with Seat Code'!A:E,4,FALSE)</f>
        <v>Claire</v>
      </c>
      <c r="L219" s="1">
        <f>VLOOKUP(J219,'Names with Seat Code'!A:F,6,FALSE)</f>
        <v>0</v>
      </c>
    </row>
    <row r="220" spans="1:12" x14ac:dyDescent="0.25">
      <c r="A220" s="6" t="s">
        <v>51</v>
      </c>
      <c r="B220" s="6" t="s">
        <v>65</v>
      </c>
      <c r="C220" s="6">
        <v>106</v>
      </c>
      <c r="D220" s="7" t="s">
        <v>53</v>
      </c>
      <c r="E220" s="6">
        <f t="shared" si="5"/>
        <v>9</v>
      </c>
      <c r="F220" s="8">
        <v>10</v>
      </c>
      <c r="G220" s="6">
        <f>VLOOKUP(J220,'Names with Seat Code'!A:I,9,FALSE)</f>
        <v>0</v>
      </c>
      <c r="H220" s="1" t="str">
        <f>VLOOKUP(J220,'Names with Seat Code'!A:E,5,FALSE)</f>
        <v>Siciliano</v>
      </c>
      <c r="I220" s="1" t="str">
        <f>VLOOKUP(J220,'Names with Seat Code'!A:E,3,FALSE)</f>
        <v>John</v>
      </c>
      <c r="J220">
        <v>207</v>
      </c>
      <c r="K220" t="str">
        <f>VLOOKUP(J220,'Names with Seat Code'!A:E,4,FALSE)</f>
        <v>Paul</v>
      </c>
      <c r="L220" s="1" t="str">
        <f>VLOOKUP(J220,'Names with Seat Code'!A:F,6,FALSE)</f>
        <v xml:space="preserve">Sih silly ano </v>
      </c>
    </row>
    <row r="221" spans="1:12" x14ac:dyDescent="0.25">
      <c r="A221" s="6" t="s">
        <v>51</v>
      </c>
      <c r="B221" s="6" t="s">
        <v>65</v>
      </c>
      <c r="C221" s="6">
        <v>104</v>
      </c>
      <c r="D221" s="7" t="s">
        <v>53</v>
      </c>
      <c r="E221" s="6">
        <f t="shared" si="5"/>
        <v>9</v>
      </c>
      <c r="F221" s="8">
        <v>11</v>
      </c>
      <c r="G221" s="6">
        <f>VLOOKUP(J221,'Names with Seat Code'!A:I,9,FALSE)</f>
        <v>0</v>
      </c>
      <c r="H221" s="1" t="str">
        <f>VLOOKUP(J221,'Names with Seat Code'!A:E,5,FALSE)</f>
        <v>Sinclair</v>
      </c>
      <c r="I221" s="1" t="str">
        <f>VLOOKUP(J221,'Names with Seat Code'!A:E,3,FALSE)</f>
        <v>Owen</v>
      </c>
      <c r="J221">
        <v>208</v>
      </c>
      <c r="K221" t="str">
        <f>VLOOKUP(J221,'Names with Seat Code'!A:E,4,FALSE)</f>
        <v/>
      </c>
      <c r="L221" s="1">
        <f>VLOOKUP(J221,'Names with Seat Code'!A:F,6,FALSE)</f>
        <v>0</v>
      </c>
    </row>
    <row r="222" spans="1:12" ht="18.75" thickBot="1" x14ac:dyDescent="0.3">
      <c r="A222" s="4" t="s">
        <v>51</v>
      </c>
      <c r="B222" s="4" t="s">
        <v>65</v>
      </c>
      <c r="C222" s="5">
        <v>102</v>
      </c>
      <c r="D222" s="9" t="s">
        <v>53</v>
      </c>
      <c r="E222" s="4">
        <f t="shared" si="5"/>
        <v>9</v>
      </c>
      <c r="F222" s="5">
        <v>12</v>
      </c>
      <c r="G222" s="6">
        <f>VLOOKUP(J222,'Names with Seat Code'!A:I,9,FALSE)</f>
        <v>0</v>
      </c>
      <c r="H222" s="37" t="str">
        <f>VLOOKUP(J222,'Names with Seat Code'!A:E,5,FALSE)</f>
        <v>Skenderian</v>
      </c>
      <c r="I222" s="2" t="str">
        <f>VLOOKUP(J222,'Names with Seat Code'!A:E,3,FALSE)</f>
        <v>Sierra</v>
      </c>
      <c r="J222">
        <v>209</v>
      </c>
      <c r="K222" s="3" t="str">
        <f>VLOOKUP(J222,'Names with Seat Code'!A:E,4,FALSE)</f>
        <v/>
      </c>
      <c r="L222" s="1" t="str">
        <f>VLOOKUP(J222,'Names with Seat Code'!A:F,6,FALSE)</f>
        <v>Skin-dare-eee-n</v>
      </c>
    </row>
    <row r="223" spans="1:12" ht="18.75" thickTop="1" x14ac:dyDescent="0.25">
      <c r="A223" s="6" t="s">
        <v>48</v>
      </c>
      <c r="B223" s="6" t="s">
        <v>66</v>
      </c>
      <c r="C223" s="6">
        <v>101</v>
      </c>
      <c r="D223" s="7" t="s">
        <v>50</v>
      </c>
      <c r="E223" s="6">
        <f>E199+1</f>
        <v>10</v>
      </c>
      <c r="F223" s="8">
        <v>1</v>
      </c>
      <c r="G223" s="6">
        <f>VLOOKUP(J223,'Names with Seat Code'!A:I,9,FALSE)</f>
        <v>0</v>
      </c>
      <c r="H223" s="1" t="str">
        <f>VLOOKUP(J223,'Names with Seat Code'!A:E,5,FALSE)</f>
        <v>Slinn</v>
      </c>
      <c r="I223" s="1" t="str">
        <f>VLOOKUP(J223,'Names with Seat Code'!A:E,3,FALSE)</f>
        <v>John</v>
      </c>
      <c r="J223">
        <v>210</v>
      </c>
      <c r="K223" t="str">
        <f>VLOOKUP(J223,'Names with Seat Code'!A:E,4,FALSE)</f>
        <v/>
      </c>
      <c r="L223" s="1" t="str">
        <f>VLOOKUP(J223,'Names with Seat Code'!A:F,6,FALSE)</f>
        <v>John Slinn</v>
      </c>
    </row>
    <row r="224" spans="1:12" x14ac:dyDescent="0.25">
      <c r="A224" s="6" t="s">
        <v>48</v>
      </c>
      <c r="B224" s="6" t="s">
        <v>66</v>
      </c>
      <c r="C224" s="6">
        <v>102</v>
      </c>
      <c r="D224" s="7" t="s">
        <v>50</v>
      </c>
      <c r="E224" s="6">
        <f t="shared" ref="E224:E234" si="6">E200+1</f>
        <v>10</v>
      </c>
      <c r="F224" s="8">
        <v>2</v>
      </c>
      <c r="G224" s="6">
        <f>VLOOKUP(J224,'Names with Seat Code'!A:I,9,FALSE)</f>
        <v>0</v>
      </c>
      <c r="H224" s="1" t="str">
        <f>VLOOKUP(J224,'Names with Seat Code'!A:E,5,FALSE)</f>
        <v>Smith</v>
      </c>
      <c r="I224" s="1" t="str">
        <f>VLOOKUP(J224,'Names with Seat Code'!A:E,3,FALSE)</f>
        <v>Julia</v>
      </c>
      <c r="J224">
        <v>211</v>
      </c>
      <c r="K224" t="str">
        <f>VLOOKUP(J224,'Names with Seat Code'!A:E,4,FALSE)</f>
        <v/>
      </c>
      <c r="L224" s="1">
        <f>VLOOKUP(J224,'Names with Seat Code'!A:F,6,FALSE)</f>
        <v>0</v>
      </c>
    </row>
    <row r="225" spans="1:12" x14ac:dyDescent="0.25">
      <c r="A225" s="6" t="s">
        <v>48</v>
      </c>
      <c r="B225" s="6" t="s">
        <v>66</v>
      </c>
      <c r="C225" s="6">
        <v>103</v>
      </c>
      <c r="D225" s="7" t="s">
        <v>50</v>
      </c>
      <c r="E225" s="6">
        <f t="shared" si="6"/>
        <v>10</v>
      </c>
      <c r="F225" s="8">
        <v>3</v>
      </c>
      <c r="G225" s="6">
        <f>VLOOKUP(J225,'Names with Seat Code'!A:I,9,FALSE)</f>
        <v>0</v>
      </c>
      <c r="H225" s="1" t="str">
        <f>VLOOKUP(J225,'Names with Seat Code'!A:E,5,FALSE)</f>
        <v>Snyder</v>
      </c>
      <c r="I225" s="1" t="str">
        <f>VLOOKUP(J225,'Names with Seat Code'!A:E,3,FALSE)</f>
        <v>Noah</v>
      </c>
      <c r="J225">
        <v>212</v>
      </c>
      <c r="K225" t="str">
        <f>VLOOKUP(J225,'Names with Seat Code'!A:E,4,FALSE)</f>
        <v/>
      </c>
      <c r="L225" s="1">
        <f>VLOOKUP(J225,'Names with Seat Code'!A:F,6,FALSE)</f>
        <v>0</v>
      </c>
    </row>
    <row r="226" spans="1:12" x14ac:dyDescent="0.25">
      <c r="A226" s="6" t="s">
        <v>48</v>
      </c>
      <c r="B226" s="6" t="s">
        <v>66</v>
      </c>
      <c r="C226" s="6">
        <v>104</v>
      </c>
      <c r="D226" s="7" t="s">
        <v>50</v>
      </c>
      <c r="E226" s="6">
        <f t="shared" si="6"/>
        <v>10</v>
      </c>
      <c r="F226" s="8">
        <v>4</v>
      </c>
      <c r="G226" s="6">
        <f>VLOOKUP(J226,'Names with Seat Code'!A:I,9,FALSE)</f>
        <v>0</v>
      </c>
      <c r="H226" s="1" t="str">
        <f>VLOOKUP(J226,'Names with Seat Code'!A:E,5,FALSE)</f>
        <v>Soto</v>
      </c>
      <c r="I226" s="1" t="str">
        <f>VLOOKUP(J226,'Names with Seat Code'!A:E,3,FALSE)</f>
        <v>Aaron</v>
      </c>
      <c r="J226">
        <v>213</v>
      </c>
      <c r="K226" t="str">
        <f>VLOOKUP(J226,'Names with Seat Code'!A:E,4,FALSE)</f>
        <v>Sylvan</v>
      </c>
      <c r="L226" s="1" t="str">
        <f>VLOOKUP(J226,'Names with Seat Code'!A:F,6,FALSE)</f>
        <v>For middle name: Sill-ven</v>
      </c>
    </row>
    <row r="227" spans="1:12" x14ac:dyDescent="0.25">
      <c r="A227" s="6" t="s">
        <v>48</v>
      </c>
      <c r="B227" s="6" t="s">
        <v>66</v>
      </c>
      <c r="C227" s="6">
        <v>105</v>
      </c>
      <c r="D227" s="7" t="s">
        <v>50</v>
      </c>
      <c r="E227" s="6">
        <f t="shared" si="6"/>
        <v>10</v>
      </c>
      <c r="F227" s="8">
        <v>5</v>
      </c>
      <c r="G227" s="6">
        <f>VLOOKUP(J227,'Names with Seat Code'!A:I,9,FALSE)</f>
        <v>0</v>
      </c>
      <c r="H227" s="1" t="str">
        <f>VLOOKUP(J227,'Names with Seat Code'!A:E,5,FALSE)</f>
        <v>Spencer</v>
      </c>
      <c r="I227" s="1" t="str">
        <f>VLOOKUP(J227,'Names with Seat Code'!A:E,3,FALSE)</f>
        <v>Andrew</v>
      </c>
      <c r="J227">
        <v>214</v>
      </c>
      <c r="K227" t="str">
        <f>VLOOKUP(J227,'Names with Seat Code'!A:E,4,FALSE)</f>
        <v/>
      </c>
      <c r="L227" s="1">
        <f>VLOOKUP(J227,'Names with Seat Code'!A:F,6,FALSE)</f>
        <v>0</v>
      </c>
    </row>
    <row r="228" spans="1:12" x14ac:dyDescent="0.25">
      <c r="A228" s="6" t="s">
        <v>48</v>
      </c>
      <c r="B228" s="6" t="s">
        <v>66</v>
      </c>
      <c r="C228" s="6">
        <v>106</v>
      </c>
      <c r="D228" s="7" t="s">
        <v>50</v>
      </c>
      <c r="E228" s="6">
        <f t="shared" si="6"/>
        <v>10</v>
      </c>
      <c r="F228" s="8">
        <v>6</v>
      </c>
      <c r="G228" s="6">
        <f>VLOOKUP(J228,'Names with Seat Code'!A:I,9,FALSE)</f>
        <v>0</v>
      </c>
      <c r="H228" s="1" t="str">
        <f>VLOOKUP(J228,'Names with Seat Code'!A:E,5,FALSE)</f>
        <v>Speros</v>
      </c>
      <c r="I228" s="1" t="str">
        <f>VLOOKUP(J228,'Names with Seat Code'!A:E,3,FALSE)</f>
        <v>Elias</v>
      </c>
      <c r="J228">
        <v>215</v>
      </c>
      <c r="K228" t="str">
        <f>VLOOKUP(J228,'Names with Seat Code'!A:E,4,FALSE)</f>
        <v/>
      </c>
      <c r="L228" s="1">
        <f>VLOOKUP(J228,'Names with Seat Code'!A:F,6,FALSE)</f>
        <v>0</v>
      </c>
    </row>
    <row r="229" spans="1:12" x14ac:dyDescent="0.25">
      <c r="A229" s="6" t="s">
        <v>48</v>
      </c>
      <c r="B229" s="6" t="s">
        <v>66</v>
      </c>
      <c r="C229" s="6">
        <v>107</v>
      </c>
      <c r="D229" s="7" t="s">
        <v>50</v>
      </c>
      <c r="E229" s="6">
        <f t="shared" si="6"/>
        <v>10</v>
      </c>
      <c r="F229" s="8">
        <v>7</v>
      </c>
      <c r="G229" s="6">
        <f>VLOOKUP(J229,'Names with Seat Code'!A:I,9,FALSE)</f>
        <v>0</v>
      </c>
      <c r="H229" s="1" t="str">
        <f>VLOOKUP(J229,'Names with Seat Code'!A:E,5,FALSE)</f>
        <v>Spinazzola</v>
      </c>
      <c r="I229" s="1" t="str">
        <f>VLOOKUP(J229,'Names with Seat Code'!A:E,3,FALSE)</f>
        <v>Ava</v>
      </c>
      <c r="J229">
        <v>216</v>
      </c>
      <c r="K229" t="str">
        <f>VLOOKUP(J229,'Names with Seat Code'!A:E,4,FALSE)</f>
        <v/>
      </c>
      <c r="L229" s="1">
        <f>VLOOKUP(J229,'Names with Seat Code'!A:F,6,FALSE)</f>
        <v>0</v>
      </c>
    </row>
    <row r="230" spans="1:12" ht="18.75" thickBot="1" x14ac:dyDescent="0.3">
      <c r="A230" s="6" t="s">
        <v>48</v>
      </c>
      <c r="B230" s="6" t="s">
        <v>66</v>
      </c>
      <c r="C230" s="6">
        <v>108</v>
      </c>
      <c r="D230" s="7" t="s">
        <v>50</v>
      </c>
      <c r="E230" s="6">
        <f t="shared" si="6"/>
        <v>10</v>
      </c>
      <c r="F230" s="8">
        <v>8</v>
      </c>
      <c r="G230" s="6">
        <f>VLOOKUP(J230,'Names with Seat Code'!A:I,9,FALSE)</f>
        <v>0</v>
      </c>
      <c r="H230" s="1" t="str">
        <f>VLOOKUP(J230,'Names with Seat Code'!A:E,5,FALSE)</f>
        <v>Staffier</v>
      </c>
      <c r="I230" s="1" t="str">
        <f>VLOOKUP(J230,'Names with Seat Code'!A:E,3,FALSE)</f>
        <v>Ava</v>
      </c>
      <c r="J230" s="3">
        <v>217</v>
      </c>
      <c r="K230" t="str">
        <f>VLOOKUP(J230,'Names with Seat Code'!A:E,4,FALSE)</f>
        <v/>
      </c>
      <c r="L230" s="1" t="str">
        <f>VLOOKUP(J230,'Names with Seat Code'!A:F,6,FALSE)</f>
        <v>Ay-va Staff-ee-r</v>
      </c>
    </row>
    <row r="231" spans="1:12" ht="18.75" thickTop="1" x14ac:dyDescent="0.25">
      <c r="A231" s="6" t="s">
        <v>48</v>
      </c>
      <c r="B231" s="6" t="s">
        <v>66</v>
      </c>
      <c r="C231" s="6">
        <v>109</v>
      </c>
      <c r="D231" s="7" t="s">
        <v>50</v>
      </c>
      <c r="E231" s="6">
        <f t="shared" si="6"/>
        <v>10</v>
      </c>
      <c r="F231" s="8">
        <v>9</v>
      </c>
      <c r="G231" s="6">
        <f>VLOOKUP(J231,'Names with Seat Code'!A:I,9,FALSE)</f>
        <v>0</v>
      </c>
      <c r="H231" s="1" t="str">
        <f>VLOOKUP(J231,'Names with Seat Code'!A:E,5,FALSE)</f>
        <v>Studley</v>
      </c>
      <c r="I231" s="1" t="str">
        <f>VLOOKUP(J231,'Names with Seat Code'!A:E,3,FALSE)</f>
        <v>Charlie</v>
      </c>
      <c r="J231">
        <v>218</v>
      </c>
      <c r="K231" t="str">
        <f>VLOOKUP(J231,'Names with Seat Code'!A:E,4,FALSE)</f>
        <v/>
      </c>
      <c r="L231" s="1">
        <f>VLOOKUP(J231,'Names with Seat Code'!A:F,6,FALSE)</f>
        <v>0</v>
      </c>
    </row>
    <row r="232" spans="1:12" x14ac:dyDescent="0.25">
      <c r="A232" s="6" t="s">
        <v>48</v>
      </c>
      <c r="B232" s="6" t="s">
        <v>66</v>
      </c>
      <c r="C232" s="6">
        <v>110</v>
      </c>
      <c r="D232" s="7" t="s">
        <v>50</v>
      </c>
      <c r="E232" s="6">
        <f t="shared" si="6"/>
        <v>10</v>
      </c>
      <c r="F232" s="8">
        <v>10</v>
      </c>
      <c r="G232" s="6">
        <f>VLOOKUP(J232,'Names with Seat Code'!A:I,9,FALSE)</f>
        <v>0</v>
      </c>
      <c r="H232" s="1" t="str">
        <f>VLOOKUP(J232,'Names with Seat Code'!A:E,5,FALSE)</f>
        <v>Sullivan</v>
      </c>
      <c r="I232" s="1" t="str">
        <f>VLOOKUP(J232,'Names with Seat Code'!A:E,3,FALSE)</f>
        <v>Nolan</v>
      </c>
      <c r="J232">
        <v>219</v>
      </c>
      <c r="K232" t="str">
        <f>VLOOKUP(J232,'Names with Seat Code'!A:E,4,FALSE)</f>
        <v/>
      </c>
      <c r="L232" s="1" t="str">
        <f>VLOOKUP(J232,'Names with Seat Code'!A:F,6,FALSE)</f>
        <v>Nolan Sullivan</v>
      </c>
    </row>
    <row r="233" spans="1:12" x14ac:dyDescent="0.25">
      <c r="A233" s="6" t="s">
        <v>48</v>
      </c>
      <c r="B233" s="6" t="s">
        <v>66</v>
      </c>
      <c r="C233" s="6">
        <v>111</v>
      </c>
      <c r="D233" s="7" t="s">
        <v>50</v>
      </c>
      <c r="E233" s="6">
        <f t="shared" si="6"/>
        <v>10</v>
      </c>
      <c r="F233" s="8">
        <v>11</v>
      </c>
      <c r="G233" s="6">
        <f>VLOOKUP(J233,'Names with Seat Code'!A:I,9,FALSE)</f>
        <v>0</v>
      </c>
      <c r="H233" s="1" t="str">
        <f>VLOOKUP(J233,'Names with Seat Code'!A:E,5,FALSE)</f>
        <v>Sweat</v>
      </c>
      <c r="I233" s="1" t="str">
        <f>VLOOKUP(J233,'Names with Seat Code'!A:E,3,FALSE)</f>
        <v>Sabrina</v>
      </c>
      <c r="J233">
        <v>220</v>
      </c>
      <c r="K233" t="str">
        <f>VLOOKUP(J233,'Names with Seat Code'!A:E,4,FALSE)</f>
        <v/>
      </c>
      <c r="L233" s="1">
        <f>VLOOKUP(J233,'Names with Seat Code'!A:F,6,FALSE)</f>
        <v>0</v>
      </c>
    </row>
    <row r="234" spans="1:12" ht="18.75" thickBot="1" x14ac:dyDescent="0.3">
      <c r="A234" s="4" t="s">
        <v>48</v>
      </c>
      <c r="B234" s="4" t="s">
        <v>66</v>
      </c>
      <c r="C234" s="4">
        <v>112</v>
      </c>
      <c r="D234" s="9" t="s">
        <v>50</v>
      </c>
      <c r="E234" s="4">
        <f t="shared" si="6"/>
        <v>10</v>
      </c>
      <c r="F234" s="5">
        <v>12</v>
      </c>
      <c r="G234" s="6">
        <f>VLOOKUP(J234,'Names with Seat Code'!A:I,9,FALSE)</f>
        <v>0</v>
      </c>
      <c r="H234" s="37" t="str">
        <f>VLOOKUP(J234,'Names with Seat Code'!A:E,5,FALSE)</f>
        <v>Tartarini</v>
      </c>
      <c r="I234" s="2" t="str">
        <f>VLOOKUP(J234,'Names with Seat Code'!A:E,3,FALSE)</f>
        <v>Brooklynne</v>
      </c>
      <c r="J234">
        <v>221</v>
      </c>
      <c r="K234" s="3" t="str">
        <f>VLOOKUP(J234,'Names with Seat Code'!A:E,4,FALSE)</f>
        <v/>
      </c>
      <c r="L234" s="1">
        <f>VLOOKUP(J234,'Names with Seat Code'!A:F,6,FALSE)</f>
        <v>0</v>
      </c>
    </row>
    <row r="235" spans="1:12" ht="18.75" thickTop="1" x14ac:dyDescent="0.25">
      <c r="A235" s="6" t="s">
        <v>51</v>
      </c>
      <c r="B235" s="6" t="s">
        <v>65</v>
      </c>
      <c r="C235" s="6">
        <v>101</v>
      </c>
      <c r="D235" s="7" t="s">
        <v>53</v>
      </c>
      <c r="E235" s="6">
        <f>E211+1</f>
        <v>10</v>
      </c>
      <c r="F235" s="8">
        <v>1</v>
      </c>
      <c r="G235" s="6">
        <f>VLOOKUP(J235,'Names with Seat Code'!A:I,9,FALSE)</f>
        <v>0</v>
      </c>
      <c r="H235" s="1" t="str">
        <f>VLOOKUP(J235,'Names with Seat Code'!A:E,5,FALSE)</f>
        <v>Taubman</v>
      </c>
      <c r="I235" s="1" t="str">
        <f>VLOOKUP(J235,'Names with Seat Code'!A:E,3,FALSE)</f>
        <v>Nina</v>
      </c>
      <c r="J235">
        <v>222</v>
      </c>
      <c r="K235" t="str">
        <f>VLOOKUP(J235,'Names with Seat Code'!A:E,4,FALSE)</f>
        <v/>
      </c>
      <c r="L235" s="1" t="str">
        <f>VLOOKUP(J235,'Names with Seat Code'!A:F,6,FALSE)</f>
        <v>Ta-ow-b-man</v>
      </c>
    </row>
    <row r="236" spans="1:12" x14ac:dyDescent="0.25">
      <c r="A236" s="6" t="s">
        <v>51</v>
      </c>
      <c r="B236" s="6" t="s">
        <v>65</v>
      </c>
      <c r="C236" s="6">
        <v>103</v>
      </c>
      <c r="D236" s="7" t="s">
        <v>53</v>
      </c>
      <c r="E236" s="6">
        <f t="shared" ref="E236:E246" si="7">E212+1</f>
        <v>10</v>
      </c>
      <c r="F236" s="8">
        <v>2</v>
      </c>
      <c r="G236" s="6">
        <f>VLOOKUP(J236,'Names with Seat Code'!A:I,9,FALSE)</f>
        <v>0</v>
      </c>
      <c r="H236" s="1" t="str">
        <f>VLOOKUP(J236,'Names with Seat Code'!A:E,5,FALSE)</f>
        <v>Tawadros</v>
      </c>
      <c r="I236" s="1" t="str">
        <f>VLOOKUP(J236,'Names with Seat Code'!A:E,3,FALSE)</f>
        <v>Natalie</v>
      </c>
      <c r="J236">
        <v>223</v>
      </c>
      <c r="K236" t="str">
        <f>VLOOKUP(J236,'Names with Seat Code'!A:E,4,FALSE)</f>
        <v/>
      </c>
      <c r="L236" s="1" t="str">
        <f>VLOOKUP(J236,'Names with Seat Code'!A:F,6,FALSE)</f>
        <v>na-tah-lee ta-wa-dros</v>
      </c>
    </row>
    <row r="237" spans="1:12" x14ac:dyDescent="0.25">
      <c r="A237" s="6" t="s">
        <v>51</v>
      </c>
      <c r="B237" s="6" t="s">
        <v>65</v>
      </c>
      <c r="C237" s="6">
        <v>105</v>
      </c>
      <c r="D237" s="7" t="s">
        <v>53</v>
      </c>
      <c r="E237" s="6">
        <f t="shared" si="7"/>
        <v>10</v>
      </c>
      <c r="F237" s="8">
        <v>3</v>
      </c>
      <c r="G237" s="6">
        <f>VLOOKUP(J237,'Names with Seat Code'!A:I,9,FALSE)</f>
        <v>0</v>
      </c>
      <c r="H237" s="1" t="str">
        <f>VLOOKUP(J237,'Names with Seat Code'!A:E,5,FALSE)</f>
        <v>Toomey</v>
      </c>
      <c r="I237" s="1" t="str">
        <f>VLOOKUP(J237,'Names with Seat Code'!A:E,3,FALSE)</f>
        <v>Samantha</v>
      </c>
      <c r="J237">
        <v>224</v>
      </c>
      <c r="K237" t="str">
        <f>VLOOKUP(J237,'Names with Seat Code'!A:E,4,FALSE)</f>
        <v/>
      </c>
      <c r="L237" s="1" t="str">
        <f>VLOOKUP(J237,'Names with Seat Code'!A:F,6,FALSE)</f>
        <v xml:space="preserve">Samantha Toomey </v>
      </c>
    </row>
    <row r="238" spans="1:12" x14ac:dyDescent="0.25">
      <c r="A238" s="6" t="s">
        <v>51</v>
      </c>
      <c r="B238" s="6" t="s">
        <v>65</v>
      </c>
      <c r="C238" s="6">
        <v>107</v>
      </c>
      <c r="D238" s="7" t="s">
        <v>53</v>
      </c>
      <c r="E238" s="6">
        <f t="shared" si="7"/>
        <v>10</v>
      </c>
      <c r="F238" s="8">
        <v>4</v>
      </c>
      <c r="G238" s="6">
        <f>VLOOKUP(J238,'Names with Seat Code'!A:I,9,FALSE)</f>
        <v>0</v>
      </c>
      <c r="H238" s="1" t="str">
        <f>VLOOKUP(J238,'Names with Seat Code'!A:E,5,FALSE)</f>
        <v>Torrens</v>
      </c>
      <c r="I238" s="1" t="str">
        <f>VLOOKUP(J238,'Names with Seat Code'!A:E,3,FALSE)</f>
        <v>Alyson</v>
      </c>
      <c r="J238">
        <v>225</v>
      </c>
      <c r="K238" t="str">
        <f>VLOOKUP(J238,'Names with Seat Code'!A:E,4,FALSE)</f>
        <v/>
      </c>
      <c r="L238" s="1">
        <f>VLOOKUP(J238,'Names with Seat Code'!A:F,6,FALSE)</f>
        <v>0</v>
      </c>
    </row>
    <row r="239" spans="1:12" x14ac:dyDescent="0.25">
      <c r="A239" s="6" t="s">
        <v>51</v>
      </c>
      <c r="B239" s="6" t="s">
        <v>65</v>
      </c>
      <c r="C239" s="6">
        <v>109</v>
      </c>
      <c r="D239" s="7" t="s">
        <v>53</v>
      </c>
      <c r="E239" s="6">
        <f t="shared" si="7"/>
        <v>10</v>
      </c>
      <c r="F239" s="8">
        <v>5</v>
      </c>
      <c r="G239" s="6">
        <f>VLOOKUP(J239,'Names with Seat Code'!A:I,9,FALSE)</f>
        <v>0</v>
      </c>
      <c r="H239" s="1" t="str">
        <f>VLOOKUP(J239,'Names with Seat Code'!A:E,5,FALSE)</f>
        <v>Travassos</v>
      </c>
      <c r="I239" s="1" t="str">
        <f>VLOOKUP(J239,'Names with Seat Code'!A:E,3,FALSE)</f>
        <v>Franklin</v>
      </c>
      <c r="J239">
        <v>226</v>
      </c>
      <c r="K239" t="str">
        <f>VLOOKUP(J239,'Names with Seat Code'!A:E,4,FALSE)</f>
        <v/>
      </c>
      <c r="L239" s="1" t="str">
        <f>VLOOKUP(J239,'Names with Seat Code'!A:F,6,FALSE)</f>
        <v>Tra va sos</v>
      </c>
    </row>
    <row r="240" spans="1:12" x14ac:dyDescent="0.25">
      <c r="A240" s="6" t="s">
        <v>51</v>
      </c>
      <c r="B240" s="6" t="s">
        <v>65</v>
      </c>
      <c r="C240" s="6">
        <v>111</v>
      </c>
      <c r="D240" s="7" t="s">
        <v>53</v>
      </c>
      <c r="E240" s="6">
        <f t="shared" si="7"/>
        <v>10</v>
      </c>
      <c r="F240" s="8">
        <v>6</v>
      </c>
      <c r="G240" s="6">
        <f>VLOOKUP(J240,'Names with Seat Code'!A:I,9,FALSE)</f>
        <v>0</v>
      </c>
      <c r="H240" s="1" t="str">
        <f>VLOOKUP(J240,'Names with Seat Code'!A:E,5,FALSE)</f>
        <v>Upton</v>
      </c>
      <c r="I240" s="1" t="str">
        <f>VLOOKUP(J240,'Names with Seat Code'!A:E,3,FALSE)</f>
        <v>Meredith</v>
      </c>
      <c r="J240">
        <v>227</v>
      </c>
      <c r="K240" t="str">
        <f>VLOOKUP(J240,'Names with Seat Code'!A:E,4,FALSE)</f>
        <v>Lynne</v>
      </c>
      <c r="L240" s="1" t="str">
        <f>VLOOKUP(J240,'Names with Seat Code'!A:F,6,FALSE)</f>
        <v>Mare-uh-dith UP-Tin</v>
      </c>
    </row>
    <row r="241" spans="1:12" x14ac:dyDescent="0.25">
      <c r="A241" s="6" t="s">
        <v>51</v>
      </c>
      <c r="B241" s="6" t="s">
        <v>65</v>
      </c>
      <c r="C241" s="6">
        <v>113</v>
      </c>
      <c r="D241" s="7" t="s">
        <v>53</v>
      </c>
      <c r="E241" s="6">
        <f t="shared" si="7"/>
        <v>10</v>
      </c>
      <c r="F241" s="8">
        <v>7</v>
      </c>
      <c r="G241" s="6">
        <f>VLOOKUP(J241,'Names with Seat Code'!A:I,9,FALSE)</f>
        <v>0</v>
      </c>
      <c r="H241" s="1" t="str">
        <f>VLOOKUP(J241,'Names with Seat Code'!A:E,5,FALSE)</f>
        <v>Valentin</v>
      </c>
      <c r="I241" s="1" t="str">
        <f>VLOOKUP(J241,'Names with Seat Code'!A:E,3,FALSE)</f>
        <v>Andrew</v>
      </c>
      <c r="J241">
        <v>228</v>
      </c>
      <c r="K241" t="str">
        <f>VLOOKUP(J241,'Names with Seat Code'!A:E,4,FALSE)</f>
        <v>Jacob</v>
      </c>
      <c r="L241" s="1">
        <f>VLOOKUP(J241,'Names with Seat Code'!A:F,6,FALSE)</f>
        <v>0</v>
      </c>
    </row>
    <row r="242" spans="1:12" ht="18.75" thickBot="1" x14ac:dyDescent="0.3">
      <c r="A242" s="6" t="s">
        <v>51</v>
      </c>
      <c r="B242" s="6" t="s">
        <v>65</v>
      </c>
      <c r="C242" s="6">
        <v>115</v>
      </c>
      <c r="D242" s="7" t="s">
        <v>53</v>
      </c>
      <c r="E242" s="6">
        <f t="shared" si="7"/>
        <v>10</v>
      </c>
      <c r="F242" s="8">
        <v>8</v>
      </c>
      <c r="G242" s="6">
        <f>VLOOKUP(J242,'Names with Seat Code'!A:I,9,FALSE)</f>
        <v>0</v>
      </c>
      <c r="H242" s="1" t="str">
        <f>VLOOKUP(J242,'Names with Seat Code'!A:E,5,FALSE)</f>
        <v>Van Horn</v>
      </c>
      <c r="I242" s="1" t="str">
        <f>VLOOKUP(J242,'Names with Seat Code'!A:E,3,FALSE)</f>
        <v>Colby</v>
      </c>
      <c r="J242" s="3">
        <v>229</v>
      </c>
      <c r="K242">
        <f>VLOOKUP(J242,'Names with Seat Code'!A:E,4,FALSE)</f>
        <v>0</v>
      </c>
      <c r="L242" s="1">
        <f>VLOOKUP(J242,'Names with Seat Code'!A:F,6,FALSE)</f>
        <v>0</v>
      </c>
    </row>
    <row r="243" spans="1:12" ht="18.75" thickTop="1" x14ac:dyDescent="0.25">
      <c r="A243" s="6" t="s">
        <v>51</v>
      </c>
      <c r="B243" s="6" t="s">
        <v>65</v>
      </c>
      <c r="C243" s="6">
        <v>117</v>
      </c>
      <c r="D243" s="7" t="s">
        <v>53</v>
      </c>
      <c r="E243" s="6">
        <f t="shared" si="7"/>
        <v>10</v>
      </c>
      <c r="F243" s="8">
        <v>9</v>
      </c>
      <c r="G243" s="6">
        <f>VLOOKUP(J243,'Names with Seat Code'!A:I,9,FALSE)</f>
        <v>0</v>
      </c>
      <c r="H243" s="1" t="str">
        <f>VLOOKUP(J243,'Names with Seat Code'!A:E,5,FALSE)</f>
        <v>Van Magness</v>
      </c>
      <c r="I243" s="1" t="str">
        <f>VLOOKUP(J243,'Names with Seat Code'!A:E,3,FALSE)</f>
        <v>Katherine</v>
      </c>
      <c r="J243">
        <v>230</v>
      </c>
      <c r="K243" t="str">
        <f>VLOOKUP(J243,'Names with Seat Code'!A:E,4,FALSE)</f>
        <v>Anne</v>
      </c>
      <c r="L243" s="1">
        <f>VLOOKUP(J243,'Names with Seat Code'!A:F,6,FALSE)</f>
        <v>0</v>
      </c>
    </row>
    <row r="244" spans="1:12" x14ac:dyDescent="0.25">
      <c r="A244" s="6" t="s">
        <v>51</v>
      </c>
      <c r="B244" s="6" t="s">
        <v>65</v>
      </c>
      <c r="C244" s="6">
        <v>119</v>
      </c>
      <c r="D244" s="7" t="s">
        <v>53</v>
      </c>
      <c r="E244" s="6">
        <f t="shared" si="7"/>
        <v>10</v>
      </c>
      <c r="F244" s="8">
        <v>10</v>
      </c>
      <c r="G244" s="6">
        <f>VLOOKUP(J244,'Names with Seat Code'!A:I,9,FALSE)</f>
        <v>0</v>
      </c>
      <c r="H244" s="1" t="str">
        <f>VLOOKUP(J244,'Names with Seat Code'!A:E,5,FALSE)</f>
        <v>Ventura</v>
      </c>
      <c r="I244" s="1" t="str">
        <f>VLOOKUP(J244,'Names with Seat Code'!A:E,3,FALSE)</f>
        <v>Justin</v>
      </c>
      <c r="J244">
        <v>231</v>
      </c>
      <c r="K244" t="str">
        <f>VLOOKUP(J244,'Names with Seat Code'!A:E,4,FALSE)</f>
        <v>Thomas</v>
      </c>
      <c r="L244" s="1">
        <f>VLOOKUP(J244,'Names with Seat Code'!A:F,6,FALSE)</f>
        <v>0</v>
      </c>
    </row>
    <row r="245" spans="1:12" x14ac:dyDescent="0.25">
      <c r="A245" s="6" t="s">
        <v>51</v>
      </c>
      <c r="B245" s="6" t="s">
        <v>65</v>
      </c>
      <c r="C245" s="6">
        <v>121</v>
      </c>
      <c r="D245" s="7" t="s">
        <v>53</v>
      </c>
      <c r="E245" s="6">
        <f t="shared" si="7"/>
        <v>10</v>
      </c>
      <c r="F245" s="8">
        <v>11</v>
      </c>
      <c r="G245" s="6">
        <f>VLOOKUP(J245,'Names with Seat Code'!A:I,9,FALSE)</f>
        <v>0</v>
      </c>
      <c r="H245" s="1" t="str">
        <f>VLOOKUP(J245,'Names with Seat Code'!A:E,5,FALSE)</f>
        <v>Viliott</v>
      </c>
      <c r="I245" s="1" t="str">
        <f>VLOOKUP(J245,'Names with Seat Code'!A:E,3,FALSE)</f>
        <v>Dario</v>
      </c>
      <c r="J245">
        <v>232</v>
      </c>
      <c r="K245" t="str">
        <f>VLOOKUP(J245,'Names with Seat Code'!A:E,4,FALSE)</f>
        <v/>
      </c>
      <c r="L245" s="1" t="str">
        <f>VLOOKUP(J245,'Names with Seat Code'!A:F,6,FALSE)</f>
        <v>Dario Vil-e-ott</v>
      </c>
    </row>
    <row r="246" spans="1:12" ht="18.75" thickBot="1" x14ac:dyDescent="0.3">
      <c r="A246" s="4" t="s">
        <v>51</v>
      </c>
      <c r="B246" s="4" t="s">
        <v>65</v>
      </c>
      <c r="C246" s="5">
        <v>123</v>
      </c>
      <c r="D246" s="9" t="s">
        <v>53</v>
      </c>
      <c r="E246" s="4">
        <f t="shared" si="7"/>
        <v>10</v>
      </c>
      <c r="F246" s="5">
        <v>12</v>
      </c>
      <c r="G246" s="6">
        <f>VLOOKUP(J246,'Names with Seat Code'!A:I,9,FALSE)</f>
        <v>0</v>
      </c>
      <c r="H246" s="37" t="str">
        <f>VLOOKUP(J246,'Names with Seat Code'!A:E,5,FALSE)</f>
        <v>Vitarisi</v>
      </c>
      <c r="I246" s="2" t="str">
        <f>VLOOKUP(J246,'Names with Seat Code'!A:E,3,FALSE)</f>
        <v>Nathan</v>
      </c>
      <c r="J246">
        <v>233</v>
      </c>
      <c r="K246" s="3" t="str">
        <f>VLOOKUP(J246,'Names with Seat Code'!A:E,4,FALSE)</f>
        <v/>
      </c>
      <c r="L246" s="1" t="str">
        <f>VLOOKUP(J246,'Names with Seat Code'!A:F,6,FALSE)</f>
        <v>Vit-er-eesee</v>
      </c>
    </row>
    <row r="247" spans="1:12" ht="18.75" thickTop="1" x14ac:dyDescent="0.25">
      <c r="A247" s="6" t="s">
        <v>48</v>
      </c>
      <c r="B247" s="6" t="s">
        <v>67</v>
      </c>
      <c r="C247" s="6">
        <v>101</v>
      </c>
      <c r="D247" s="7" t="s">
        <v>50</v>
      </c>
      <c r="E247" s="6">
        <f>E223+1</f>
        <v>11</v>
      </c>
      <c r="F247" s="8">
        <v>1</v>
      </c>
      <c r="G247" s="6">
        <f>VLOOKUP(J247,'Names with Seat Code'!A:I,9,FALSE)</f>
        <v>0</v>
      </c>
      <c r="H247" s="1" t="str">
        <f>VLOOKUP(J247,'Names with Seat Code'!A:E,5,FALSE)</f>
        <v>Ward</v>
      </c>
      <c r="I247" s="1" t="str">
        <f>VLOOKUP(J247,'Names with Seat Code'!A:E,3,FALSE)</f>
        <v>Jacob</v>
      </c>
      <c r="J247">
        <v>234</v>
      </c>
      <c r="K247" t="str">
        <f>VLOOKUP(J247,'Names with Seat Code'!A:E,4,FALSE)</f>
        <v>Michael</v>
      </c>
      <c r="L247" s="1">
        <f>VLOOKUP(J247,'Names with Seat Code'!A:F,6,FALSE)</f>
        <v>0</v>
      </c>
    </row>
    <row r="248" spans="1:12" x14ac:dyDescent="0.25">
      <c r="A248" s="6" t="s">
        <v>48</v>
      </c>
      <c r="B248" s="6" t="s">
        <v>67</v>
      </c>
      <c r="C248" s="6">
        <v>102</v>
      </c>
      <c r="D248" s="7" t="s">
        <v>50</v>
      </c>
      <c r="E248" s="6">
        <f t="shared" ref="E248:E258" si="8">E224+1</f>
        <v>11</v>
      </c>
      <c r="F248" s="8">
        <v>2</v>
      </c>
      <c r="G248" s="6">
        <f>VLOOKUP(J248,'Names with Seat Code'!A:I,9,FALSE)</f>
        <v>0</v>
      </c>
      <c r="H248" s="1" t="str">
        <f>VLOOKUP(J248,'Names with Seat Code'!A:E,5,FALSE)</f>
        <v>Weaver</v>
      </c>
      <c r="I248" s="1" t="str">
        <f>VLOOKUP(J248,'Names with Seat Code'!A:E,3,FALSE)</f>
        <v>Kyle</v>
      </c>
      <c r="J248">
        <v>235</v>
      </c>
      <c r="K248" t="str">
        <f>VLOOKUP(J248,'Names with Seat Code'!A:E,4,FALSE)</f>
        <v/>
      </c>
      <c r="L248" s="1">
        <f>VLOOKUP(J248,'Names with Seat Code'!A:F,6,FALSE)</f>
        <v>0</v>
      </c>
    </row>
    <row r="249" spans="1:12" x14ac:dyDescent="0.25">
      <c r="A249" s="6" t="s">
        <v>48</v>
      </c>
      <c r="B249" s="6" t="s">
        <v>67</v>
      </c>
      <c r="C249" s="6">
        <v>103</v>
      </c>
      <c r="D249" s="7" t="s">
        <v>50</v>
      </c>
      <c r="E249" s="6">
        <f t="shared" si="8"/>
        <v>11</v>
      </c>
      <c r="F249" s="8">
        <v>3</v>
      </c>
      <c r="G249" s="6">
        <f>VLOOKUP(J249,'Names with Seat Code'!A:I,9,FALSE)</f>
        <v>0</v>
      </c>
      <c r="H249" s="1" t="str">
        <f>VLOOKUP(J249,'Names with Seat Code'!A:E,5,FALSE)</f>
        <v>Weaver</v>
      </c>
      <c r="I249" s="1" t="str">
        <f>VLOOKUP(J249,'Names with Seat Code'!A:E,3,FALSE)</f>
        <v>Tess</v>
      </c>
      <c r="J249">
        <v>236</v>
      </c>
      <c r="K249" t="str">
        <f>VLOOKUP(J249,'Names with Seat Code'!A:E,4,FALSE)</f>
        <v/>
      </c>
      <c r="L249" s="1">
        <f>VLOOKUP(J249,'Names with Seat Code'!A:F,6,FALSE)</f>
        <v>0</v>
      </c>
    </row>
    <row r="250" spans="1:12" x14ac:dyDescent="0.25">
      <c r="A250" s="6" t="s">
        <v>48</v>
      </c>
      <c r="B250" s="6" t="s">
        <v>67</v>
      </c>
      <c r="C250" s="6">
        <v>104</v>
      </c>
      <c r="D250" s="7" t="s">
        <v>50</v>
      </c>
      <c r="E250" s="6">
        <f t="shared" si="8"/>
        <v>11</v>
      </c>
      <c r="F250" s="8">
        <v>4</v>
      </c>
      <c r="G250" s="6">
        <f>VLOOKUP(J250,'Names with Seat Code'!A:I,9,FALSE)</f>
        <v>0</v>
      </c>
      <c r="H250" s="1" t="str">
        <f>VLOOKUP(J250,'Names with Seat Code'!A:E,5,FALSE)</f>
        <v>Weber</v>
      </c>
      <c r="I250" s="1" t="str">
        <f>VLOOKUP(J250,'Names with Seat Code'!A:E,3,FALSE)</f>
        <v>Leah</v>
      </c>
      <c r="J250">
        <v>237</v>
      </c>
      <c r="K250" t="str">
        <f>VLOOKUP(J250,'Names with Seat Code'!A:E,4,FALSE)</f>
        <v/>
      </c>
      <c r="L250" s="1">
        <f>VLOOKUP(J250,'Names with Seat Code'!A:F,6,FALSE)</f>
        <v>0</v>
      </c>
    </row>
    <row r="251" spans="1:12" x14ac:dyDescent="0.25">
      <c r="A251" s="6" t="s">
        <v>48</v>
      </c>
      <c r="B251" s="6" t="s">
        <v>67</v>
      </c>
      <c r="C251" s="6">
        <v>105</v>
      </c>
      <c r="D251" s="7" t="s">
        <v>50</v>
      </c>
      <c r="E251" s="6">
        <f t="shared" si="8"/>
        <v>11</v>
      </c>
      <c r="F251" s="8">
        <v>5</v>
      </c>
      <c r="G251" s="6">
        <f>VLOOKUP(J251,'Names with Seat Code'!A:I,9,FALSE)</f>
        <v>0</v>
      </c>
      <c r="H251" s="1" t="str">
        <f>VLOOKUP(J251,'Names with Seat Code'!A:E,5,FALSE)</f>
        <v>White</v>
      </c>
      <c r="I251" s="1" t="str">
        <f>VLOOKUP(J251,'Names with Seat Code'!A:E,3,FALSE)</f>
        <v>Emma</v>
      </c>
      <c r="J251">
        <v>238</v>
      </c>
      <c r="K251" t="str">
        <f>VLOOKUP(J251,'Names with Seat Code'!A:E,4,FALSE)</f>
        <v/>
      </c>
      <c r="L251" s="1">
        <f>VLOOKUP(J251,'Names with Seat Code'!A:F,6,FALSE)</f>
        <v>0</v>
      </c>
    </row>
    <row r="252" spans="1:12" x14ac:dyDescent="0.25">
      <c r="A252" s="6" t="s">
        <v>48</v>
      </c>
      <c r="B252" s="6" t="s">
        <v>67</v>
      </c>
      <c r="C252" s="6">
        <v>106</v>
      </c>
      <c r="D252" s="7" t="s">
        <v>50</v>
      </c>
      <c r="E252" s="6">
        <f t="shared" si="8"/>
        <v>11</v>
      </c>
      <c r="F252" s="8">
        <v>6</v>
      </c>
      <c r="G252" s="6">
        <f>VLOOKUP(J252,'Names with Seat Code'!A:I,9,FALSE)</f>
        <v>0</v>
      </c>
      <c r="H252" s="1" t="str">
        <f>VLOOKUP(J252,'Names with Seat Code'!A:E,5,FALSE)</f>
        <v>Wiggins</v>
      </c>
      <c r="I252" s="1" t="str">
        <f>VLOOKUP(J252,'Names with Seat Code'!A:E,3,FALSE)</f>
        <v>John</v>
      </c>
      <c r="J252">
        <v>239</v>
      </c>
      <c r="K252" t="str">
        <f>VLOOKUP(J252,'Names with Seat Code'!A:E,4,FALSE)</f>
        <v/>
      </c>
      <c r="L252" s="1">
        <f>VLOOKUP(J252,'Names with Seat Code'!A:F,6,FALSE)</f>
        <v>0</v>
      </c>
    </row>
    <row r="253" spans="1:12" x14ac:dyDescent="0.25">
      <c r="A253" s="6" t="s">
        <v>48</v>
      </c>
      <c r="B253" s="6" t="s">
        <v>67</v>
      </c>
      <c r="C253" s="6">
        <v>107</v>
      </c>
      <c r="D253" s="7" t="s">
        <v>50</v>
      </c>
      <c r="E253" s="6">
        <f t="shared" si="8"/>
        <v>11</v>
      </c>
      <c r="F253" s="8">
        <v>7</v>
      </c>
      <c r="G253" s="6">
        <f>VLOOKUP(J253,'Names with Seat Code'!A:I,9,FALSE)</f>
        <v>0</v>
      </c>
      <c r="H253" s="1" t="str">
        <f>VLOOKUP(J253,'Names with Seat Code'!A:E,5,FALSE)</f>
        <v>Wilder</v>
      </c>
      <c r="I253" s="1" t="str">
        <f>VLOOKUP(J253,'Names with Seat Code'!A:E,3,FALSE)</f>
        <v>Angela</v>
      </c>
      <c r="J253">
        <v>240</v>
      </c>
      <c r="K253" t="str">
        <f>VLOOKUP(J253,'Names with Seat Code'!A:E,4,FALSE)</f>
        <v/>
      </c>
      <c r="L253" s="1">
        <f>VLOOKUP(J253,'Names with Seat Code'!A:F,6,FALSE)</f>
        <v>0</v>
      </c>
    </row>
    <row r="254" spans="1:12" ht="18.75" thickBot="1" x14ac:dyDescent="0.3">
      <c r="A254" s="6" t="s">
        <v>48</v>
      </c>
      <c r="B254" s="6" t="s">
        <v>67</v>
      </c>
      <c r="C254" s="6">
        <v>108</v>
      </c>
      <c r="D254" s="7" t="s">
        <v>50</v>
      </c>
      <c r="E254" s="6">
        <f t="shared" si="8"/>
        <v>11</v>
      </c>
      <c r="F254" s="8">
        <v>8</v>
      </c>
      <c r="G254" s="6" t="e">
        <f>VLOOKUP(J254,'Names with Seat Code'!A:I,9,FALSE)</f>
        <v>#N/A</v>
      </c>
      <c r="H254" s="1" t="e">
        <f>VLOOKUP(J254,'Names with Seat Code'!A:E,5,FALSE)</f>
        <v>#N/A</v>
      </c>
      <c r="I254" s="1" t="e">
        <f>VLOOKUP(J254,'Names with Seat Code'!A:E,3,FALSE)</f>
        <v>#N/A</v>
      </c>
      <c r="J254" s="3">
        <v>999</v>
      </c>
      <c r="K254" t="e">
        <f>VLOOKUP(J254,'Names with Seat Code'!A:E,4,FALSE)</f>
        <v>#N/A</v>
      </c>
      <c r="L254" s="1" t="e">
        <f>VLOOKUP(J254,'Names with Seat Code'!A:F,6,FALSE)</f>
        <v>#N/A</v>
      </c>
    </row>
    <row r="255" spans="1:12" ht="18.75" thickTop="1" x14ac:dyDescent="0.25">
      <c r="A255" s="6" t="s">
        <v>48</v>
      </c>
      <c r="B255" s="6" t="s">
        <v>67</v>
      </c>
      <c r="C255" s="6">
        <v>109</v>
      </c>
      <c r="D255" s="7" t="s">
        <v>50</v>
      </c>
      <c r="E255" s="6">
        <f t="shared" si="8"/>
        <v>11</v>
      </c>
      <c r="F255" s="8">
        <v>9</v>
      </c>
      <c r="G255" s="6" t="e">
        <f>VLOOKUP(J255,'Names with Seat Code'!A:I,9,FALSE)</f>
        <v>#N/A</v>
      </c>
      <c r="H255" s="1" t="e">
        <f>VLOOKUP(J255,'Names with Seat Code'!A:E,5,FALSE)</f>
        <v>#N/A</v>
      </c>
      <c r="I255" s="1" t="e">
        <f>VLOOKUP(J255,'Names with Seat Code'!A:E,3,FALSE)</f>
        <v>#N/A</v>
      </c>
      <c r="J255">
        <v>999</v>
      </c>
      <c r="K255" t="e">
        <f>VLOOKUP(J255,'Names with Seat Code'!A:E,4,FALSE)</f>
        <v>#N/A</v>
      </c>
      <c r="L255" s="1" t="e">
        <f>VLOOKUP(J255,'Names with Seat Code'!A:F,6,FALSE)</f>
        <v>#N/A</v>
      </c>
    </row>
    <row r="256" spans="1:12" x14ac:dyDescent="0.25">
      <c r="A256" s="6" t="s">
        <v>48</v>
      </c>
      <c r="B256" s="6" t="s">
        <v>67</v>
      </c>
      <c r="C256" s="6">
        <v>110</v>
      </c>
      <c r="D256" s="7" t="s">
        <v>50</v>
      </c>
      <c r="E256" s="6">
        <f t="shared" si="8"/>
        <v>11</v>
      </c>
      <c r="F256" s="8">
        <v>10</v>
      </c>
      <c r="G256" s="6" t="e">
        <f>VLOOKUP(J256,'Names with Seat Code'!A:I,9,FALSE)</f>
        <v>#N/A</v>
      </c>
      <c r="H256" s="1" t="e">
        <f>VLOOKUP(J256,'Names with Seat Code'!A:E,5,FALSE)</f>
        <v>#N/A</v>
      </c>
      <c r="I256" s="1" t="e">
        <f>VLOOKUP(J256,'Names with Seat Code'!A:E,3,FALSE)</f>
        <v>#N/A</v>
      </c>
      <c r="J256">
        <v>999</v>
      </c>
      <c r="K256" t="e">
        <f>VLOOKUP(J256,'Names with Seat Code'!A:E,4,FALSE)</f>
        <v>#N/A</v>
      </c>
      <c r="L256" s="1" t="e">
        <f>VLOOKUP(J256,'Names with Seat Code'!A:F,6,FALSE)</f>
        <v>#N/A</v>
      </c>
    </row>
    <row r="257" spans="1:12" x14ac:dyDescent="0.25">
      <c r="A257" s="6" t="s">
        <v>48</v>
      </c>
      <c r="B257" s="6" t="s">
        <v>67</v>
      </c>
      <c r="C257" s="6">
        <v>111</v>
      </c>
      <c r="D257" s="7" t="s">
        <v>50</v>
      </c>
      <c r="E257" s="6">
        <f t="shared" si="8"/>
        <v>11</v>
      </c>
      <c r="F257" s="8">
        <v>11</v>
      </c>
      <c r="G257" s="6" t="e">
        <f>VLOOKUP(J257,'Names with Seat Code'!A:I,9,FALSE)</f>
        <v>#N/A</v>
      </c>
      <c r="H257" s="1" t="e">
        <f>VLOOKUP(J257,'Names with Seat Code'!A:E,5,FALSE)</f>
        <v>#N/A</v>
      </c>
      <c r="I257" s="1" t="e">
        <f>VLOOKUP(J257,'Names with Seat Code'!A:E,3,FALSE)</f>
        <v>#N/A</v>
      </c>
      <c r="J257">
        <v>999</v>
      </c>
      <c r="K257" t="e">
        <f>VLOOKUP(J257,'Names with Seat Code'!A:E,4,FALSE)</f>
        <v>#N/A</v>
      </c>
      <c r="L257" s="1" t="e">
        <f>VLOOKUP(J257,'Names with Seat Code'!A:F,6,FALSE)</f>
        <v>#N/A</v>
      </c>
    </row>
    <row r="258" spans="1:12" ht="18.75" thickBot="1" x14ac:dyDescent="0.3">
      <c r="A258" s="4" t="s">
        <v>48</v>
      </c>
      <c r="B258" s="4" t="s">
        <v>67</v>
      </c>
      <c r="C258" s="4">
        <v>112</v>
      </c>
      <c r="D258" s="9" t="s">
        <v>50</v>
      </c>
      <c r="E258" s="4">
        <f t="shared" si="8"/>
        <v>11</v>
      </c>
      <c r="F258" s="5">
        <v>12</v>
      </c>
      <c r="G258" s="6" t="e">
        <f>VLOOKUP(J258,'Names with Seat Code'!A:I,9,FALSE)</f>
        <v>#N/A</v>
      </c>
      <c r="H258" s="37" t="e">
        <f>VLOOKUP(J258,'Names with Seat Code'!A:E,5,FALSE)</f>
        <v>#N/A</v>
      </c>
      <c r="I258" s="2" t="e">
        <f>VLOOKUP(J258,'Names with Seat Code'!A:E,3,FALSE)</f>
        <v>#N/A</v>
      </c>
      <c r="J258">
        <v>999</v>
      </c>
      <c r="K258" s="3" t="e">
        <f>VLOOKUP(J258,'Names with Seat Code'!A:E,4,FALSE)</f>
        <v>#N/A</v>
      </c>
      <c r="L258" s="1" t="e">
        <f>VLOOKUP(J258,'Names with Seat Code'!A:F,6,FALSE)</f>
        <v>#N/A</v>
      </c>
    </row>
    <row r="259" spans="1:12" ht="19.5" thickTop="1" thickBot="1" x14ac:dyDescent="0.3">
      <c r="A259" s="6" t="s">
        <v>51</v>
      </c>
      <c r="B259" s="6" t="s">
        <v>68</v>
      </c>
      <c r="C259" s="6">
        <v>126</v>
      </c>
      <c r="D259" s="7" t="s">
        <v>53</v>
      </c>
      <c r="E259" s="6">
        <f>E235+1</f>
        <v>11</v>
      </c>
      <c r="F259" s="8">
        <v>1</v>
      </c>
      <c r="G259" s="6">
        <f>VLOOKUP(J259,'Names with Seat Code'!A:I,9,FALSE)</f>
        <v>0</v>
      </c>
      <c r="H259" s="1" t="str">
        <f>VLOOKUP(J259,'Names with Seat Code'!A:E,5,FALSE)</f>
        <v>Williams</v>
      </c>
      <c r="I259" s="1" t="str">
        <f>VLOOKUP(J259,'Names with Seat Code'!A:E,3,FALSE)</f>
        <v>Aidan</v>
      </c>
      <c r="J259" s="3">
        <v>241</v>
      </c>
      <c r="K259" t="str">
        <f>VLOOKUP(J259,'Names with Seat Code'!A:E,4,FALSE)</f>
        <v>Auddie</v>
      </c>
      <c r="L259" s="1" t="str">
        <f>VLOOKUP(J259,'Names with Seat Code'!A:F,6,FALSE)</f>
        <v>Auddie(Awd-ie)</v>
      </c>
    </row>
    <row r="260" spans="1:12" ht="18.75" thickTop="1" x14ac:dyDescent="0.25">
      <c r="A260" s="6" t="s">
        <v>51</v>
      </c>
      <c r="B260" s="6" t="s">
        <v>68</v>
      </c>
      <c r="C260" s="6">
        <v>124</v>
      </c>
      <c r="D260" s="7" t="s">
        <v>53</v>
      </c>
      <c r="E260" s="6">
        <f t="shared" ref="E260" si="9">E236+1</f>
        <v>11</v>
      </c>
      <c r="F260" s="8">
        <v>2</v>
      </c>
      <c r="G260" s="6">
        <f>VLOOKUP(J260,'Names with Seat Code'!A:I,9,FALSE)</f>
        <v>0</v>
      </c>
      <c r="H260" s="1" t="str">
        <f>VLOOKUP(J260,'Names with Seat Code'!A:E,5,FALSE)</f>
        <v>Wright</v>
      </c>
      <c r="I260" s="1" t="str">
        <f>VLOOKUP(J260,'Names with Seat Code'!A:E,3,FALSE)</f>
        <v>Jamari</v>
      </c>
      <c r="J260">
        <v>242</v>
      </c>
      <c r="L260" s="1">
        <f>VLOOKUP(J260,'Names with Seat Code'!A:F,6,FALSE)</f>
        <v>0</v>
      </c>
    </row>
    <row r="261" spans="1:12" x14ac:dyDescent="0.25">
      <c r="A261" s="6" t="s">
        <v>51</v>
      </c>
      <c r="B261" s="6" t="s">
        <v>68</v>
      </c>
      <c r="C261" s="6">
        <v>122</v>
      </c>
      <c r="D261" s="7" t="s">
        <v>53</v>
      </c>
      <c r="E261" s="6">
        <f>E237+1</f>
        <v>11</v>
      </c>
      <c r="F261" s="8">
        <v>3</v>
      </c>
      <c r="G261" s="6">
        <f>VLOOKUP(J261,'Names with Seat Code'!A:I,9,FALSE)</f>
        <v>0</v>
      </c>
      <c r="H261" s="1" t="str">
        <f>VLOOKUP(J261,'Names with Seat Code'!A:E,5,FALSE)</f>
        <v>Wright</v>
      </c>
      <c r="I261" s="1" t="str">
        <f>VLOOKUP(J261,'Names with Seat Code'!A:E,3,FALSE)</f>
        <v>Jared</v>
      </c>
      <c r="J261">
        <v>243</v>
      </c>
      <c r="L261" s="1">
        <f>VLOOKUP(J261,'Names with Seat Code'!A:F,6,FALSE)</f>
        <v>0</v>
      </c>
    </row>
    <row r="262" spans="1:12" x14ac:dyDescent="0.25">
      <c r="A262" s="6" t="s">
        <v>51</v>
      </c>
      <c r="B262" s="6" t="s">
        <v>68</v>
      </c>
      <c r="C262" s="6">
        <v>120</v>
      </c>
      <c r="D262" s="7" t="s">
        <v>53</v>
      </c>
      <c r="E262" s="6">
        <f t="shared" ref="E262:E272" si="10">E238+1</f>
        <v>11</v>
      </c>
      <c r="F262" s="8">
        <v>4</v>
      </c>
      <c r="G262" s="6">
        <f>VLOOKUP(J262,'Names with Seat Code'!A:I,9,FALSE)</f>
        <v>0</v>
      </c>
      <c r="H262" s="1" t="str">
        <f>VLOOKUP(J262,'Names with Seat Code'!A:E,5,FALSE)</f>
        <v>Yandle</v>
      </c>
      <c r="I262" s="1" t="str">
        <f>VLOOKUP(J262,'Names with Seat Code'!A:E,3,FALSE)</f>
        <v>Quinn</v>
      </c>
      <c r="J262">
        <v>244</v>
      </c>
      <c r="L262" s="1">
        <f>VLOOKUP(J262,'Names with Seat Code'!A:F,6,FALSE)</f>
        <v>0</v>
      </c>
    </row>
    <row r="263" spans="1:12" x14ac:dyDescent="0.25">
      <c r="A263" s="6" t="s">
        <v>51</v>
      </c>
      <c r="B263" s="6" t="s">
        <v>68</v>
      </c>
      <c r="C263" s="6">
        <v>118</v>
      </c>
      <c r="D263" s="7" t="s">
        <v>53</v>
      </c>
      <c r="E263" s="6">
        <f t="shared" si="10"/>
        <v>11</v>
      </c>
      <c r="F263" s="8">
        <v>5</v>
      </c>
      <c r="G263" s="6">
        <f>VLOOKUP(J263,'Names with Seat Code'!A:I,9,FALSE)</f>
        <v>0</v>
      </c>
      <c r="H263" s="1" t="str">
        <f>VLOOKUP(J263,'Names with Seat Code'!A:E,5,FALSE)</f>
        <v>Zani</v>
      </c>
      <c r="I263" s="1" t="str">
        <f>VLOOKUP(J263,'Names with Seat Code'!A:E,3,FALSE)</f>
        <v>John</v>
      </c>
      <c r="J263">
        <v>245</v>
      </c>
      <c r="L263" s="1" t="str">
        <f>VLOOKUP(J263,'Names with Seat Code'!A:F,6,FALSE)</f>
        <v>John ZAH-nee</v>
      </c>
    </row>
    <row r="264" spans="1:12" x14ac:dyDescent="0.25">
      <c r="A264" s="6" t="s">
        <v>51</v>
      </c>
      <c r="B264" s="6" t="s">
        <v>68</v>
      </c>
      <c r="C264" s="6">
        <v>116</v>
      </c>
      <c r="D264" s="7" t="s">
        <v>53</v>
      </c>
      <c r="E264" s="6">
        <f t="shared" si="10"/>
        <v>11</v>
      </c>
      <c r="F264" s="8">
        <v>6</v>
      </c>
      <c r="G264" s="6">
        <f>VLOOKUP(J264,'Names with Seat Code'!A:I,9,FALSE)</f>
        <v>0</v>
      </c>
      <c r="H264" s="1" t="str">
        <f>VLOOKUP(J264,'Names with Seat Code'!A:E,5,FALSE)</f>
        <v>Zheng</v>
      </c>
      <c r="I264" s="1" t="str">
        <f>VLOOKUP(J264,'Names with Seat Code'!A:E,3,FALSE)</f>
        <v>Jiayu</v>
      </c>
      <c r="J264">
        <v>246</v>
      </c>
      <c r="L264" s="1" t="str">
        <f>VLOOKUP(J264,'Names with Seat Code'!A:F,6,FALSE)</f>
        <v>jah-yoo Jung</v>
      </c>
    </row>
    <row r="265" spans="1:12" x14ac:dyDescent="0.25">
      <c r="A265" s="6" t="s">
        <v>51</v>
      </c>
      <c r="B265" s="6" t="s">
        <v>68</v>
      </c>
      <c r="C265" s="6">
        <v>118</v>
      </c>
      <c r="D265" s="7" t="s">
        <v>53</v>
      </c>
      <c r="E265" s="6">
        <f t="shared" si="10"/>
        <v>11</v>
      </c>
      <c r="F265" s="8">
        <v>7</v>
      </c>
      <c r="G265" s="6" t="e">
        <f>VLOOKUP(J265,'Names with Seat Code'!A:I,9,FALSE)</f>
        <v>#N/A</v>
      </c>
      <c r="H265" s="1" t="e">
        <f>VLOOKUP(J265,'Names with Seat Code'!A:E,5,FALSE)</f>
        <v>#N/A</v>
      </c>
      <c r="I265" s="1" t="e">
        <f>VLOOKUP(J265,'Names with Seat Code'!A:E,3,FALSE)</f>
        <v>#N/A</v>
      </c>
      <c r="J265">
        <v>247</v>
      </c>
    </row>
    <row r="266" spans="1:12" x14ac:dyDescent="0.25">
      <c r="A266" s="6" t="s">
        <v>51</v>
      </c>
      <c r="B266" s="6" t="s">
        <v>68</v>
      </c>
      <c r="C266" s="6">
        <v>116</v>
      </c>
      <c r="D266" s="7" t="s">
        <v>53</v>
      </c>
      <c r="E266" s="6">
        <f t="shared" si="10"/>
        <v>11</v>
      </c>
      <c r="F266" s="8">
        <v>8</v>
      </c>
      <c r="G266" s="6" t="e">
        <f>VLOOKUP(J266,'Names with Seat Code'!A:I,9,FALSE)</f>
        <v>#N/A</v>
      </c>
      <c r="H266" s="1" t="e">
        <f>VLOOKUP(J266,'Names with Seat Code'!A:E,5,FALSE)</f>
        <v>#N/A</v>
      </c>
      <c r="I266" s="1" t="e">
        <f>VLOOKUP(J266,'Names with Seat Code'!A:E,3,FALSE)</f>
        <v>#N/A</v>
      </c>
      <c r="J266">
        <v>248</v>
      </c>
    </row>
    <row r="267" spans="1:12" x14ac:dyDescent="0.25">
      <c r="A267" s="6" t="s">
        <v>51</v>
      </c>
      <c r="B267" s="6" t="s">
        <v>68</v>
      </c>
      <c r="C267" s="6">
        <v>114</v>
      </c>
      <c r="D267" s="7" t="s">
        <v>53</v>
      </c>
      <c r="E267" s="6">
        <f t="shared" si="10"/>
        <v>11</v>
      </c>
      <c r="F267" s="8">
        <v>9</v>
      </c>
      <c r="G267" s="6" t="e">
        <f>VLOOKUP(J267,'Names with Seat Code'!A:I,9,FALSE)</f>
        <v>#N/A</v>
      </c>
      <c r="H267" s="1" t="e">
        <f>VLOOKUP(J267,'Names with Seat Code'!A:E,5,FALSE)</f>
        <v>#N/A</v>
      </c>
      <c r="I267" s="1" t="e">
        <f>VLOOKUP(J267,'Names with Seat Code'!A:E,3,FALSE)</f>
        <v>#N/A</v>
      </c>
      <c r="J267">
        <v>249</v>
      </c>
    </row>
    <row r="268" spans="1:12" x14ac:dyDescent="0.25">
      <c r="A268" s="6" t="s">
        <v>51</v>
      </c>
      <c r="B268" s="6" t="s">
        <v>68</v>
      </c>
      <c r="C268" s="6">
        <v>112</v>
      </c>
      <c r="D268" s="7" t="s">
        <v>53</v>
      </c>
      <c r="E268" s="6">
        <f t="shared" si="10"/>
        <v>11</v>
      </c>
      <c r="F268" s="8">
        <v>10</v>
      </c>
      <c r="G268" s="6" t="e">
        <f>VLOOKUP(J268,'Names with Seat Code'!A:I,9,FALSE)</f>
        <v>#N/A</v>
      </c>
      <c r="H268" s="1" t="e">
        <f>VLOOKUP(J268,'Names with Seat Code'!A:E,5,FALSE)</f>
        <v>#N/A</v>
      </c>
      <c r="I268" s="1" t="e">
        <f>VLOOKUP(J268,'Names with Seat Code'!A:E,3,FALSE)</f>
        <v>#N/A</v>
      </c>
      <c r="J268">
        <v>250</v>
      </c>
    </row>
    <row r="269" spans="1:12" x14ac:dyDescent="0.25">
      <c r="A269" s="6" t="s">
        <v>51</v>
      </c>
      <c r="B269" s="6" t="s">
        <v>68</v>
      </c>
      <c r="C269" s="6">
        <v>110</v>
      </c>
      <c r="D269" s="7" t="s">
        <v>53</v>
      </c>
      <c r="E269" s="6">
        <f t="shared" si="10"/>
        <v>11</v>
      </c>
      <c r="F269" s="8">
        <v>11</v>
      </c>
      <c r="G269" s="6" t="e">
        <f>VLOOKUP(J269,'Names with Seat Code'!A:I,9,FALSE)</f>
        <v>#N/A</v>
      </c>
      <c r="H269" s="1" t="e">
        <f>VLOOKUP(J269,'Names with Seat Code'!A:E,5,FALSE)</f>
        <v>#N/A</v>
      </c>
      <c r="I269" s="1" t="e">
        <f>VLOOKUP(J269,'Names with Seat Code'!A:E,3,FALSE)</f>
        <v>#N/A</v>
      </c>
      <c r="J269">
        <v>251</v>
      </c>
    </row>
    <row r="270" spans="1:12" x14ac:dyDescent="0.25">
      <c r="A270" s="6" t="s">
        <v>51</v>
      </c>
      <c r="B270" s="6" t="s">
        <v>68</v>
      </c>
      <c r="C270" s="6">
        <v>108</v>
      </c>
      <c r="D270" s="7" t="s">
        <v>53</v>
      </c>
      <c r="E270" s="6">
        <f t="shared" si="10"/>
        <v>11</v>
      </c>
      <c r="F270" s="8">
        <v>12</v>
      </c>
      <c r="G270" s="6" t="e">
        <f>VLOOKUP(J270,'Names with Seat Code'!A:I,9,FALSE)</f>
        <v>#N/A</v>
      </c>
      <c r="H270" s="1" t="e">
        <f>VLOOKUP(J270,'Names with Seat Code'!A:E,5,FALSE)</f>
        <v>#N/A</v>
      </c>
      <c r="I270" s="1" t="e">
        <f>VLOOKUP(J270,'Names with Seat Code'!A:E,3,FALSE)</f>
        <v>#N/A</v>
      </c>
      <c r="J270">
        <v>257</v>
      </c>
    </row>
    <row r="271" spans="1:12" x14ac:dyDescent="0.25">
      <c r="A271" s="6" t="s">
        <v>51</v>
      </c>
      <c r="B271" s="6" t="s">
        <v>68</v>
      </c>
      <c r="C271" s="6">
        <v>106</v>
      </c>
      <c r="D271" s="7" t="s">
        <v>53</v>
      </c>
      <c r="E271" s="6">
        <f t="shared" si="10"/>
        <v>12</v>
      </c>
      <c r="G271" s="6" t="e">
        <f>VLOOKUP(J271,'Names with Seat Code'!A:I,9,FALSE)</f>
        <v>#N/A</v>
      </c>
      <c r="H271" s="1" t="e">
        <f>VLOOKUP(J271,'Names with Seat Code'!A:E,5,FALSE)</f>
        <v>#N/A</v>
      </c>
      <c r="I271" s="1" t="e">
        <f>VLOOKUP(J271,'Names with Seat Code'!A:E,3,FALSE)</f>
        <v>#N/A</v>
      </c>
      <c r="J271">
        <v>258</v>
      </c>
    </row>
    <row r="272" spans="1:12" ht="18.75" thickBot="1" x14ac:dyDescent="0.3">
      <c r="A272" s="4" t="s">
        <v>51</v>
      </c>
      <c r="B272" s="4" t="s">
        <v>68</v>
      </c>
      <c r="C272" s="5">
        <v>104</v>
      </c>
      <c r="D272" s="9" t="s">
        <v>53</v>
      </c>
      <c r="E272" s="4">
        <f t="shared" si="10"/>
        <v>12</v>
      </c>
      <c r="F272" s="5"/>
      <c r="G272" s="6" t="e">
        <f>VLOOKUP(J272,'Names with Seat Code'!A:I,9,FALSE)</f>
        <v>#N/A</v>
      </c>
      <c r="H272" s="1" t="e">
        <f>VLOOKUP(J272,'Names with Seat Code'!A:E,5,FALSE)</f>
        <v>#N/A</v>
      </c>
      <c r="I272" s="1" t="e">
        <f>VLOOKUP(J272,'Names with Seat Code'!A:E,3,FALSE)</f>
        <v>#N/A</v>
      </c>
      <c r="J272">
        <v>259</v>
      </c>
    </row>
    <row r="273" spans="1:10" ht="18.75" thickTop="1" x14ac:dyDescent="0.25">
      <c r="A273" s="6" t="s">
        <v>48</v>
      </c>
      <c r="B273" s="6" t="s">
        <v>69</v>
      </c>
      <c r="C273" s="6">
        <v>101</v>
      </c>
      <c r="D273" s="7" t="s">
        <v>50</v>
      </c>
      <c r="E273" s="6">
        <f>E249+1</f>
        <v>12</v>
      </c>
      <c r="F273" s="8">
        <v>1</v>
      </c>
      <c r="G273" s="6" t="e">
        <f>VLOOKUP(J273,'Names with Seat Code'!A:I,9,FALSE)</f>
        <v>#N/A</v>
      </c>
      <c r="H273" s="1" t="e">
        <f>VLOOKUP(J273,'Names with Seat Code'!A:E,5,FALSE)</f>
        <v>#N/A</v>
      </c>
      <c r="I273" s="1" t="e">
        <f>VLOOKUP(J273,'Names with Seat Code'!A:E,3,FALSE)</f>
        <v>#N/A</v>
      </c>
      <c r="J273">
        <v>260</v>
      </c>
    </row>
    <row r="274" spans="1:10" x14ac:dyDescent="0.25">
      <c r="A274" s="6" t="s">
        <v>48</v>
      </c>
      <c r="B274" s="6" t="s">
        <v>69</v>
      </c>
      <c r="C274" s="6">
        <v>102</v>
      </c>
      <c r="D274" s="7" t="s">
        <v>50</v>
      </c>
      <c r="E274" s="6">
        <f t="shared" ref="E274:E284" si="11">E250+1</f>
        <v>12</v>
      </c>
      <c r="F274" s="8">
        <v>2</v>
      </c>
      <c r="G274" s="6" t="e">
        <f>VLOOKUP(J274,'Names with Seat Code'!A:I,9,FALSE)</f>
        <v>#N/A</v>
      </c>
      <c r="H274" s="1" t="e">
        <f>VLOOKUP(J274,'Names with Seat Code'!A:E,5,FALSE)</f>
        <v>#N/A</v>
      </c>
      <c r="I274" s="1" t="e">
        <f>VLOOKUP(J274,'Names with Seat Code'!A:E,3,FALSE)</f>
        <v>#N/A</v>
      </c>
      <c r="J274">
        <v>261</v>
      </c>
    </row>
    <row r="275" spans="1:10" x14ac:dyDescent="0.25">
      <c r="A275" s="6" t="s">
        <v>48</v>
      </c>
      <c r="B275" s="6" t="s">
        <v>69</v>
      </c>
      <c r="C275" s="6">
        <v>103</v>
      </c>
      <c r="D275" s="7" t="s">
        <v>50</v>
      </c>
      <c r="E275" s="6">
        <f t="shared" si="11"/>
        <v>12</v>
      </c>
      <c r="F275" s="8">
        <v>3</v>
      </c>
      <c r="G275" s="6" t="e">
        <f>VLOOKUP(J275,'Names with Seat Code'!A:I,9,FALSE)</f>
        <v>#N/A</v>
      </c>
      <c r="H275" s="1" t="e">
        <f>VLOOKUP(J275,'Names with Seat Code'!A:E,5,FALSE)</f>
        <v>#N/A</v>
      </c>
      <c r="I275" s="1" t="e">
        <f>VLOOKUP(J275,'Names with Seat Code'!A:E,3,FALSE)</f>
        <v>#N/A</v>
      </c>
      <c r="J275">
        <v>262</v>
      </c>
    </row>
    <row r="276" spans="1:10" x14ac:dyDescent="0.25">
      <c r="A276" s="6" t="s">
        <v>48</v>
      </c>
      <c r="B276" s="6" t="s">
        <v>69</v>
      </c>
      <c r="C276" s="6">
        <v>104</v>
      </c>
      <c r="D276" s="7" t="s">
        <v>50</v>
      </c>
      <c r="E276" s="6">
        <f t="shared" si="11"/>
        <v>12</v>
      </c>
      <c r="F276" s="8">
        <v>4</v>
      </c>
      <c r="G276" s="6" t="e">
        <f>VLOOKUP(J276,'Names with Seat Code'!A:I,9,FALSE)</f>
        <v>#N/A</v>
      </c>
      <c r="H276" s="1" t="e">
        <f>VLOOKUP(J276,'Names with Seat Code'!A:E,5,FALSE)</f>
        <v>#N/A</v>
      </c>
      <c r="I276" s="1" t="e">
        <f>VLOOKUP(J276,'Names with Seat Code'!A:E,3,FALSE)</f>
        <v>#N/A</v>
      </c>
      <c r="J276">
        <v>263</v>
      </c>
    </row>
    <row r="277" spans="1:10" x14ac:dyDescent="0.25">
      <c r="A277" s="6" t="s">
        <v>48</v>
      </c>
      <c r="B277" s="6" t="s">
        <v>69</v>
      </c>
      <c r="C277" s="6">
        <v>105</v>
      </c>
      <c r="D277" s="7" t="s">
        <v>50</v>
      </c>
      <c r="E277" s="6">
        <f t="shared" si="11"/>
        <v>12</v>
      </c>
      <c r="F277" s="8">
        <v>5</v>
      </c>
      <c r="G277" s="6" t="e">
        <f>VLOOKUP(J277,'Names with Seat Code'!A:I,9,FALSE)</f>
        <v>#N/A</v>
      </c>
      <c r="H277" s="1" t="e">
        <f>VLOOKUP(J277,'Names with Seat Code'!A:E,5,FALSE)</f>
        <v>#N/A</v>
      </c>
      <c r="I277" s="1" t="e">
        <f>VLOOKUP(J277,'Names with Seat Code'!A:E,3,FALSE)</f>
        <v>#N/A</v>
      </c>
      <c r="J277">
        <v>264</v>
      </c>
    </row>
    <row r="278" spans="1:10" x14ac:dyDescent="0.25">
      <c r="A278" s="6" t="s">
        <v>48</v>
      </c>
      <c r="B278" s="6" t="s">
        <v>69</v>
      </c>
      <c r="C278" s="6">
        <v>106</v>
      </c>
      <c r="D278" s="7" t="s">
        <v>50</v>
      </c>
      <c r="E278" s="6">
        <f t="shared" si="11"/>
        <v>12</v>
      </c>
      <c r="F278" s="8">
        <v>6</v>
      </c>
      <c r="G278" s="6" t="e">
        <f>VLOOKUP(J278,'Names with Seat Code'!A:I,9,FALSE)</f>
        <v>#N/A</v>
      </c>
      <c r="H278" s="1" t="e">
        <f>VLOOKUP(J278,'Names with Seat Code'!A:E,5,FALSE)</f>
        <v>#N/A</v>
      </c>
      <c r="I278" s="1" t="e">
        <f>VLOOKUP(J278,'Names with Seat Code'!A:E,3,FALSE)</f>
        <v>#N/A</v>
      </c>
      <c r="J278">
        <v>265</v>
      </c>
    </row>
    <row r="279" spans="1:10" x14ac:dyDescent="0.25">
      <c r="A279" s="6" t="s">
        <v>48</v>
      </c>
      <c r="B279" s="6" t="s">
        <v>69</v>
      </c>
      <c r="C279" s="6">
        <v>107</v>
      </c>
      <c r="D279" s="7" t="s">
        <v>50</v>
      </c>
      <c r="E279" s="6">
        <f t="shared" si="11"/>
        <v>12</v>
      </c>
      <c r="F279" s="8">
        <v>7</v>
      </c>
      <c r="G279" s="6" t="e">
        <f>VLOOKUP(J279,'Names with Seat Code'!A:I,9,FALSE)</f>
        <v>#N/A</v>
      </c>
      <c r="H279" s="1" t="e">
        <f>VLOOKUP(J279,'Names with Seat Code'!A:E,5,FALSE)</f>
        <v>#N/A</v>
      </c>
      <c r="I279" s="1" t="e">
        <f>VLOOKUP(J279,'Names with Seat Code'!A:E,3,FALSE)</f>
        <v>#N/A</v>
      </c>
      <c r="J279">
        <v>266</v>
      </c>
    </row>
    <row r="280" spans="1:10" x14ac:dyDescent="0.25">
      <c r="A280" s="6" t="s">
        <v>48</v>
      </c>
      <c r="B280" s="6" t="s">
        <v>69</v>
      </c>
      <c r="C280" s="6">
        <v>108</v>
      </c>
      <c r="D280" s="7" t="s">
        <v>50</v>
      </c>
      <c r="E280" s="6">
        <f t="shared" si="11"/>
        <v>12</v>
      </c>
      <c r="F280" s="8">
        <v>8</v>
      </c>
      <c r="G280" s="6" t="e">
        <f>VLOOKUP(J280,'Names with Seat Code'!A:I,9,FALSE)</f>
        <v>#N/A</v>
      </c>
      <c r="H280" s="1" t="e">
        <f>VLOOKUP(J280,'Names with Seat Code'!A:E,5,FALSE)</f>
        <v>#N/A</v>
      </c>
      <c r="I280" s="1" t="e">
        <f>VLOOKUP(J280,'Names with Seat Code'!A:E,3,FALSE)</f>
        <v>#N/A</v>
      </c>
      <c r="J280">
        <v>267</v>
      </c>
    </row>
    <row r="281" spans="1:10" x14ac:dyDescent="0.25">
      <c r="A281" s="6" t="s">
        <v>48</v>
      </c>
      <c r="B281" s="6" t="s">
        <v>69</v>
      </c>
      <c r="C281" s="6">
        <v>109</v>
      </c>
      <c r="D281" s="7" t="s">
        <v>50</v>
      </c>
      <c r="E281" s="6">
        <f t="shared" si="11"/>
        <v>12</v>
      </c>
      <c r="F281" s="8">
        <v>9</v>
      </c>
      <c r="G281" s="6" t="e">
        <f>VLOOKUP(J281,'Names with Seat Code'!A:I,9,FALSE)</f>
        <v>#N/A</v>
      </c>
      <c r="H281" s="1" t="e">
        <f>VLOOKUP(J281,'Names with Seat Code'!A:E,5,FALSE)</f>
        <v>#N/A</v>
      </c>
      <c r="I281" s="1" t="e">
        <f>VLOOKUP(J281,'Names with Seat Code'!A:E,3,FALSE)</f>
        <v>#N/A</v>
      </c>
      <c r="J281">
        <v>268</v>
      </c>
    </row>
    <row r="282" spans="1:10" x14ac:dyDescent="0.25">
      <c r="A282" s="6" t="s">
        <v>48</v>
      </c>
      <c r="B282" s="6" t="s">
        <v>69</v>
      </c>
      <c r="C282" s="6">
        <v>110</v>
      </c>
      <c r="D282" s="7" t="s">
        <v>50</v>
      </c>
      <c r="E282" s="6">
        <f t="shared" si="11"/>
        <v>12</v>
      </c>
      <c r="F282" s="8">
        <v>10</v>
      </c>
      <c r="G282" s="6" t="e">
        <f>VLOOKUP(J282,'Names with Seat Code'!A:I,9,FALSE)</f>
        <v>#N/A</v>
      </c>
      <c r="H282" s="1" t="e">
        <f>VLOOKUP(J282,'Names with Seat Code'!A:E,5,FALSE)</f>
        <v>#N/A</v>
      </c>
      <c r="I282" s="1" t="e">
        <f>VLOOKUP(J282,'Names with Seat Code'!A:E,3,FALSE)</f>
        <v>#N/A</v>
      </c>
      <c r="J282">
        <v>269</v>
      </c>
    </row>
    <row r="283" spans="1:10" x14ac:dyDescent="0.25">
      <c r="A283" s="6" t="s">
        <v>48</v>
      </c>
      <c r="B283" s="6" t="s">
        <v>69</v>
      </c>
      <c r="C283" s="6">
        <v>111</v>
      </c>
      <c r="D283" s="7" t="s">
        <v>50</v>
      </c>
      <c r="E283" s="6">
        <f t="shared" si="11"/>
        <v>12</v>
      </c>
      <c r="F283" s="8">
        <v>11</v>
      </c>
      <c r="G283" s="6" t="e">
        <f>VLOOKUP(J283,'Names with Seat Code'!A:I,9,FALSE)</f>
        <v>#N/A</v>
      </c>
      <c r="H283" s="1" t="e">
        <f>VLOOKUP(J283,'Names with Seat Code'!A:E,5,FALSE)</f>
        <v>#N/A</v>
      </c>
      <c r="I283" s="1" t="e">
        <f>VLOOKUP(J283,'Names with Seat Code'!A:E,3,FALSE)</f>
        <v>#N/A</v>
      </c>
      <c r="J283">
        <v>270</v>
      </c>
    </row>
    <row r="284" spans="1:10" ht="18.75" thickBot="1" x14ac:dyDescent="0.3">
      <c r="A284" s="4" t="s">
        <v>48</v>
      </c>
      <c r="B284" s="4" t="s">
        <v>69</v>
      </c>
      <c r="C284" s="4">
        <v>112</v>
      </c>
      <c r="D284" s="9" t="s">
        <v>50</v>
      </c>
      <c r="E284" s="4">
        <f t="shared" si="11"/>
        <v>12</v>
      </c>
      <c r="F284" s="5">
        <v>12</v>
      </c>
      <c r="G284" s="6" t="e">
        <f>VLOOKUP(J284,'Names with Seat Code'!A:I,9,FALSE)</f>
        <v>#N/A</v>
      </c>
      <c r="H284" s="1" t="e">
        <f>VLOOKUP(J284,'Names with Seat Code'!A:E,5,FALSE)</f>
        <v>#N/A</v>
      </c>
      <c r="I284" s="1" t="e">
        <f>VLOOKUP(J284,'Names with Seat Code'!A:E,3,FALSE)</f>
        <v>#N/A</v>
      </c>
      <c r="J284">
        <v>271</v>
      </c>
    </row>
    <row r="285" spans="1:10" ht="18.75" thickTop="1" x14ac:dyDescent="0.25">
      <c r="A285" s="6" t="s">
        <v>51</v>
      </c>
      <c r="B285" s="6" t="s">
        <v>68</v>
      </c>
      <c r="C285" s="6">
        <v>101</v>
      </c>
      <c r="D285" s="7" t="s">
        <v>53</v>
      </c>
      <c r="E285" s="6">
        <f>E261+1</f>
        <v>12</v>
      </c>
      <c r="F285" s="8">
        <v>1</v>
      </c>
      <c r="G285" s="6" t="e">
        <f>VLOOKUP(J285,'Names with Seat Code'!A:I,9,FALSE)</f>
        <v>#N/A</v>
      </c>
      <c r="H285" s="1" t="e">
        <f>VLOOKUP(J285,'Names with Seat Code'!A:E,5,FALSE)</f>
        <v>#N/A</v>
      </c>
      <c r="I285" s="1" t="e">
        <f>VLOOKUP(J285,'Names with Seat Code'!A:E,3,FALSE)</f>
        <v>#N/A</v>
      </c>
      <c r="J285">
        <v>272</v>
      </c>
    </row>
    <row r="286" spans="1:10" x14ac:dyDescent="0.25">
      <c r="A286" s="6" t="s">
        <v>51</v>
      </c>
      <c r="B286" s="6" t="s">
        <v>68</v>
      </c>
      <c r="C286" s="6">
        <v>103</v>
      </c>
      <c r="D286" s="7" t="s">
        <v>53</v>
      </c>
      <c r="E286" s="6">
        <f t="shared" ref="E286:E290" si="12">E262+1</f>
        <v>12</v>
      </c>
      <c r="F286" s="8">
        <v>2</v>
      </c>
      <c r="G286" s="6" t="e">
        <f>VLOOKUP(J286,'Names with Seat Code'!A:I,9,FALSE)</f>
        <v>#N/A</v>
      </c>
      <c r="H286" s="1" t="e">
        <f>VLOOKUP(J286,'Names with Seat Code'!A:E,5,FALSE)</f>
        <v>#N/A</v>
      </c>
      <c r="I286" s="1" t="e">
        <f>VLOOKUP(J286,'Names with Seat Code'!A:E,3,FALSE)</f>
        <v>#N/A</v>
      </c>
      <c r="J286">
        <v>273</v>
      </c>
    </row>
    <row r="287" spans="1:10" x14ac:dyDescent="0.25">
      <c r="A287" s="6" t="s">
        <v>51</v>
      </c>
      <c r="B287" s="6" t="s">
        <v>68</v>
      </c>
      <c r="C287" s="6">
        <v>105</v>
      </c>
      <c r="D287" s="7" t="s">
        <v>53</v>
      </c>
      <c r="E287" s="6">
        <f t="shared" si="12"/>
        <v>12</v>
      </c>
      <c r="F287" s="8">
        <v>3</v>
      </c>
      <c r="G287" s="6" t="e">
        <f>VLOOKUP(J287,'Names with Seat Code'!A:I,9,FALSE)</f>
        <v>#N/A</v>
      </c>
      <c r="H287" s="1" t="e">
        <f>VLOOKUP(J287,'Names with Seat Code'!A:E,5,FALSE)</f>
        <v>#N/A</v>
      </c>
      <c r="I287" s="1" t="e">
        <f>VLOOKUP(J287,'Names with Seat Code'!A:E,3,FALSE)</f>
        <v>#N/A</v>
      </c>
      <c r="J287">
        <v>274</v>
      </c>
    </row>
    <row r="288" spans="1:10" x14ac:dyDescent="0.25">
      <c r="A288" s="6" t="s">
        <v>51</v>
      </c>
      <c r="B288" s="6" t="s">
        <v>68</v>
      </c>
      <c r="C288" s="6">
        <v>107</v>
      </c>
      <c r="D288" s="7" t="s">
        <v>53</v>
      </c>
      <c r="E288" s="6">
        <f t="shared" si="12"/>
        <v>12</v>
      </c>
      <c r="F288" s="8">
        <v>4</v>
      </c>
      <c r="G288" s="6" t="e">
        <f>VLOOKUP(J288,'Names with Seat Code'!A:I,9,FALSE)</f>
        <v>#N/A</v>
      </c>
      <c r="H288" s="1" t="e">
        <f>VLOOKUP(J288,'Names with Seat Code'!A:E,5,FALSE)</f>
        <v>#N/A</v>
      </c>
      <c r="I288" s="1" t="e">
        <f>VLOOKUP(J288,'Names with Seat Code'!A:E,3,FALSE)</f>
        <v>#N/A</v>
      </c>
      <c r="J288">
        <v>275</v>
      </c>
    </row>
    <row r="289" spans="1:10" x14ac:dyDescent="0.25">
      <c r="A289" s="6" t="s">
        <v>51</v>
      </c>
      <c r="B289" s="6" t="s">
        <v>68</v>
      </c>
      <c r="C289" s="6">
        <v>109</v>
      </c>
      <c r="D289" s="7" t="s">
        <v>53</v>
      </c>
      <c r="E289" s="6">
        <f t="shared" si="12"/>
        <v>12</v>
      </c>
      <c r="F289" s="8">
        <v>5</v>
      </c>
      <c r="G289" s="6" t="e">
        <f>VLOOKUP(J289,'Names with Seat Code'!A:I,9,FALSE)</f>
        <v>#N/A</v>
      </c>
      <c r="H289" s="1" t="e">
        <f>VLOOKUP(J289,'Names with Seat Code'!A:E,5,FALSE)</f>
        <v>#N/A</v>
      </c>
      <c r="I289" s="1" t="e">
        <f>VLOOKUP(J289,'Names with Seat Code'!A:E,3,FALSE)</f>
        <v>#N/A</v>
      </c>
      <c r="J289">
        <v>276</v>
      </c>
    </row>
    <row r="290" spans="1:10" x14ac:dyDescent="0.25">
      <c r="A290" s="6" t="s">
        <v>51</v>
      </c>
      <c r="B290" s="6" t="s">
        <v>68</v>
      </c>
      <c r="C290" s="6">
        <v>111</v>
      </c>
      <c r="D290" s="7" t="s">
        <v>53</v>
      </c>
      <c r="E290" s="6">
        <f t="shared" si="12"/>
        <v>12</v>
      </c>
      <c r="F290" s="8">
        <v>6</v>
      </c>
      <c r="G290" s="6" t="e">
        <f>VLOOKUP(J290,'Names with Seat Code'!A:I,9,FALSE)</f>
        <v>#N/A</v>
      </c>
      <c r="H290" s="1" t="e">
        <f>VLOOKUP(J290,'Names with Seat Code'!A:E,5,FALSE)</f>
        <v>#N/A</v>
      </c>
      <c r="I290" s="1" t="e">
        <f>VLOOKUP(J290,'Names with Seat Code'!A:E,3,FALSE)</f>
        <v>#N/A</v>
      </c>
      <c r="J290">
        <v>276</v>
      </c>
    </row>
  </sheetData>
  <protectedRanges>
    <protectedRange sqref="B2:B6 E1:E260 E291:E65448" name="Range1"/>
    <protectedRange sqref="E261:E290" name="Range1_1"/>
  </protectedRanges>
  <phoneticPr fontId="3" type="noConversion"/>
  <pageMargins left="0.75" right="0.75" top="1" bottom="1" header="0.5" footer="0.5"/>
  <pageSetup scale="38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L270"/>
  <sheetViews>
    <sheetView zoomScale="75" workbookViewId="0">
      <pane ySplit="1" topLeftCell="A202" activePane="bottomLeft" state="frozen"/>
      <selection activeCell="I3" sqref="I3"/>
      <selection pane="bottomLeft" activeCell="I261" sqref="I261"/>
    </sheetView>
  </sheetViews>
  <sheetFormatPr defaultRowHeight="12.75" x14ac:dyDescent="0.2"/>
  <cols>
    <col min="1" max="1" width="14.7109375" customWidth="1"/>
    <col min="2" max="2" width="7.42578125" customWidth="1"/>
    <col min="3" max="3" width="17.140625" customWidth="1"/>
    <col min="4" max="4" width="21.85546875" style="12" customWidth="1"/>
    <col min="5" max="5" width="9.85546875" customWidth="1"/>
    <col min="6" max="6" width="8.28515625" customWidth="1"/>
    <col min="7" max="7" width="14.42578125" customWidth="1"/>
    <col min="8" max="8" width="19.85546875" style="10" customWidth="1"/>
    <col min="9" max="9" width="24.85546875" style="10" customWidth="1"/>
    <col min="10" max="10" width="25.5703125" customWidth="1"/>
  </cols>
  <sheetData>
    <row r="1" spans="1:12" ht="18.75" thickBot="1" x14ac:dyDescent="0.3">
      <c r="A1" s="4" t="s">
        <v>43</v>
      </c>
      <c r="B1" s="4" t="s">
        <v>44</v>
      </c>
      <c r="C1" s="4" t="s">
        <v>45</v>
      </c>
      <c r="D1" s="15" t="s">
        <v>71</v>
      </c>
      <c r="E1" s="4" t="s">
        <v>46</v>
      </c>
      <c r="F1" s="4" t="s">
        <v>44</v>
      </c>
      <c r="G1" s="5" t="s">
        <v>45</v>
      </c>
      <c r="H1" s="13" t="s">
        <v>18</v>
      </c>
      <c r="I1" s="4" t="s">
        <v>20</v>
      </c>
    </row>
    <row r="2" spans="1:12" ht="18.75" thickTop="1" x14ac:dyDescent="0.25">
      <c r="A2" s="6" t="s">
        <v>47</v>
      </c>
      <c r="B2" s="6"/>
      <c r="C2" s="6" t="s">
        <v>88</v>
      </c>
      <c r="D2" s="14" t="s">
        <v>72</v>
      </c>
      <c r="E2" s="6" t="s">
        <v>47</v>
      </c>
      <c r="F2" s="6"/>
      <c r="G2" s="8" t="s">
        <v>88</v>
      </c>
      <c r="H2" s="6" t="str">
        <f>'Grad Raw Data'!I2</f>
        <v>Amelia</v>
      </c>
      <c r="I2" s="6" t="str">
        <f>'Grad Raw Data'!H2</f>
        <v>Borawski</v>
      </c>
      <c r="J2" s="6">
        <f>'Grad Raw Data'!G2</f>
        <v>0</v>
      </c>
    </row>
    <row r="3" spans="1:12" ht="18" x14ac:dyDescent="0.25">
      <c r="A3" s="6" t="s">
        <v>47</v>
      </c>
      <c r="B3" s="6"/>
      <c r="C3" s="6" t="s">
        <v>90</v>
      </c>
      <c r="D3" s="14" t="s">
        <v>72</v>
      </c>
      <c r="E3" s="6" t="s">
        <v>47</v>
      </c>
      <c r="F3" s="6"/>
      <c r="G3" s="8" t="s">
        <v>90</v>
      </c>
      <c r="H3" s="6" t="str">
        <f>'Grad Raw Data'!I3</f>
        <v>-</v>
      </c>
      <c r="I3" s="6" t="str">
        <f>'Grad Raw Data'!H3</f>
        <v>-</v>
      </c>
      <c r="J3" s="6">
        <f>'Grad Raw Data'!G3</f>
        <v>0</v>
      </c>
    </row>
    <row r="4" spans="1:12" ht="18" x14ac:dyDescent="0.25">
      <c r="A4" s="6" t="s">
        <v>47</v>
      </c>
      <c r="B4" s="6"/>
      <c r="C4" s="6">
        <v>2</v>
      </c>
      <c r="D4" s="11" t="s">
        <v>72</v>
      </c>
      <c r="E4" s="6" t="s">
        <v>47</v>
      </c>
      <c r="F4" s="6"/>
      <c r="G4" s="8">
        <v>2</v>
      </c>
      <c r="H4" s="6" t="str">
        <f>'Grad Raw Data'!H4</f>
        <v>Boyko</v>
      </c>
      <c r="I4" s="6" t="str">
        <f>'Grad Raw Data'!I4</f>
        <v>Indigo</v>
      </c>
      <c r="J4" s="6">
        <f>'Grad Raw Data'!G4</f>
        <v>0</v>
      </c>
      <c r="L4" s="6"/>
    </row>
    <row r="5" spans="1:12" ht="18" x14ac:dyDescent="0.25">
      <c r="A5" s="6" t="s">
        <v>47</v>
      </c>
      <c r="B5" s="6"/>
      <c r="C5" s="6">
        <v>3</v>
      </c>
      <c r="D5" s="11" t="s">
        <v>72</v>
      </c>
      <c r="E5" s="6" t="s">
        <v>47</v>
      </c>
      <c r="F5" s="6"/>
      <c r="G5" s="8">
        <v>3</v>
      </c>
      <c r="H5" s="6" t="str">
        <f>'Grad Raw Data'!I5</f>
        <v>Jason</v>
      </c>
      <c r="I5" s="6" t="str">
        <f>'Grad Raw Data'!I5</f>
        <v>Jason</v>
      </c>
      <c r="J5" s="6">
        <f>'Grad Raw Data'!G5</f>
        <v>0</v>
      </c>
      <c r="L5" s="6"/>
    </row>
    <row r="6" spans="1:12" ht="18" x14ac:dyDescent="0.25">
      <c r="A6" s="6" t="s">
        <v>47</v>
      </c>
      <c r="B6" s="6"/>
      <c r="C6" s="6">
        <v>4</v>
      </c>
      <c r="D6" s="11" t="s">
        <v>72</v>
      </c>
      <c r="E6" s="6" t="s">
        <v>47</v>
      </c>
      <c r="F6" s="6"/>
      <c r="G6" s="8">
        <v>4</v>
      </c>
      <c r="H6" s="6" t="str">
        <f>'Grad Raw Data'!I6</f>
        <v>Jessica</v>
      </c>
      <c r="I6" s="6" t="str">
        <f>'Grad Raw Data'!H6</f>
        <v>Wong</v>
      </c>
      <c r="J6" s="6"/>
      <c r="L6" s="6"/>
    </row>
    <row r="7" spans="1:12" ht="18" x14ac:dyDescent="0.25">
      <c r="A7" s="6" t="s">
        <v>48</v>
      </c>
      <c r="B7" s="6" t="s">
        <v>49</v>
      </c>
      <c r="C7" s="6">
        <v>101</v>
      </c>
      <c r="D7" s="11">
        <f>(F7-1)*12+G7</f>
        <v>1</v>
      </c>
      <c r="E7" s="6" t="s">
        <v>50</v>
      </c>
      <c r="F7" s="6">
        <v>1</v>
      </c>
      <c r="G7" s="8">
        <v>1</v>
      </c>
      <c r="H7" s="6" t="str">
        <f>'Grad Raw Data'!I7</f>
        <v>Clara</v>
      </c>
      <c r="I7" s="6" t="str">
        <f>'Grad Raw Data'!H7</f>
        <v>Healy</v>
      </c>
      <c r="J7" s="6">
        <f>'Grad Raw Data'!G7</f>
        <v>0</v>
      </c>
      <c r="L7" s="6"/>
    </row>
    <row r="8" spans="1:12" ht="18" x14ac:dyDescent="0.25">
      <c r="A8" s="6" t="s">
        <v>48</v>
      </c>
      <c r="B8" s="6" t="s">
        <v>49</v>
      </c>
      <c r="C8" s="6">
        <v>102</v>
      </c>
      <c r="D8" s="11">
        <f t="shared" ref="D8:D71" si="0">(F8-1)*12+G8</f>
        <v>2</v>
      </c>
      <c r="E8" s="6" t="s">
        <v>50</v>
      </c>
      <c r="F8" s="6">
        <v>1</v>
      </c>
      <c r="G8" s="8">
        <v>2</v>
      </c>
      <c r="H8" s="6" t="str">
        <f>'Grad Raw Data'!I8</f>
        <v>Samuel</v>
      </c>
      <c r="I8" s="6" t="str">
        <f>'Grad Raw Data'!H8</f>
        <v>Hillery</v>
      </c>
      <c r="J8" s="6">
        <f>'Grad Raw Data'!G8</f>
        <v>0</v>
      </c>
      <c r="L8" s="6"/>
    </row>
    <row r="9" spans="1:12" ht="18" x14ac:dyDescent="0.25">
      <c r="A9" s="6" t="s">
        <v>48</v>
      </c>
      <c r="B9" s="6" t="s">
        <v>49</v>
      </c>
      <c r="C9" s="6">
        <v>103</v>
      </c>
      <c r="D9" s="11">
        <f t="shared" si="0"/>
        <v>3</v>
      </c>
      <c r="E9" s="6" t="s">
        <v>50</v>
      </c>
      <c r="F9" s="6">
        <v>1</v>
      </c>
      <c r="G9" s="8">
        <v>3</v>
      </c>
      <c r="H9" s="6" t="str">
        <f>'Grad Raw Data'!I9</f>
        <v>Piper</v>
      </c>
      <c r="I9" s="6" t="str">
        <f>'Grad Raw Data'!H9</f>
        <v>Martin</v>
      </c>
      <c r="J9" s="6">
        <f>'Grad Raw Data'!G9</f>
        <v>0</v>
      </c>
      <c r="L9" s="6"/>
    </row>
    <row r="10" spans="1:12" ht="18" x14ac:dyDescent="0.25">
      <c r="A10" s="6" t="s">
        <v>48</v>
      </c>
      <c r="B10" s="6" t="s">
        <v>49</v>
      </c>
      <c r="C10" s="6">
        <v>104</v>
      </c>
      <c r="D10" s="11">
        <f t="shared" si="0"/>
        <v>4</v>
      </c>
      <c r="E10" s="6" t="s">
        <v>50</v>
      </c>
      <c r="F10" s="6">
        <v>1</v>
      </c>
      <c r="G10" s="8">
        <v>4</v>
      </c>
      <c r="H10" s="6" t="str">
        <f>'Grad Raw Data'!I10</f>
        <v>Aidan</v>
      </c>
      <c r="I10" s="6" t="str">
        <f>'Grad Raw Data'!H10</f>
        <v>Mullin</v>
      </c>
      <c r="J10" s="6">
        <f>'Grad Raw Data'!G10</f>
        <v>0</v>
      </c>
      <c r="L10" s="6"/>
    </row>
    <row r="11" spans="1:12" ht="18" x14ac:dyDescent="0.25">
      <c r="A11" s="6" t="s">
        <v>48</v>
      </c>
      <c r="B11" s="6" t="s">
        <v>49</v>
      </c>
      <c r="C11" s="6">
        <v>105</v>
      </c>
      <c r="D11" s="11">
        <f t="shared" si="0"/>
        <v>5</v>
      </c>
      <c r="E11" s="6" t="s">
        <v>50</v>
      </c>
      <c r="F11" s="6">
        <v>1</v>
      </c>
      <c r="G11" s="8">
        <v>5</v>
      </c>
      <c r="H11" s="6" t="str">
        <f>'Grad Raw Data'!I11</f>
        <v>Emma</v>
      </c>
      <c r="I11" s="6" t="str">
        <f>'Grad Raw Data'!H11</f>
        <v>Nelson</v>
      </c>
      <c r="J11" s="6">
        <f>'Grad Raw Data'!G11</f>
        <v>0</v>
      </c>
      <c r="L11" s="6"/>
    </row>
    <row r="12" spans="1:12" ht="18" x14ac:dyDescent="0.25">
      <c r="A12" s="6" t="s">
        <v>48</v>
      </c>
      <c r="B12" s="6" t="s">
        <v>49</v>
      </c>
      <c r="C12" s="6">
        <v>106</v>
      </c>
      <c r="D12" s="11">
        <f t="shared" si="0"/>
        <v>6</v>
      </c>
      <c r="E12" s="6" t="s">
        <v>50</v>
      </c>
      <c r="F12" s="6">
        <v>1</v>
      </c>
      <c r="G12" s="8">
        <v>6</v>
      </c>
      <c r="H12" s="6" t="str">
        <f>'Grad Raw Data'!I12</f>
        <v>Thomas</v>
      </c>
      <c r="I12" s="6" t="str">
        <f>'Grad Raw Data'!H12</f>
        <v>Stathoulopoulos</v>
      </c>
      <c r="J12" s="6">
        <f>'Grad Raw Data'!G12</f>
        <v>0</v>
      </c>
      <c r="L12" s="6"/>
    </row>
    <row r="13" spans="1:12" ht="18" x14ac:dyDescent="0.25">
      <c r="A13" s="6" t="s">
        <v>48</v>
      </c>
      <c r="B13" s="6" t="s">
        <v>49</v>
      </c>
      <c r="C13" s="6">
        <v>107</v>
      </c>
      <c r="D13" s="11">
        <f t="shared" si="0"/>
        <v>7</v>
      </c>
      <c r="E13" s="6" t="s">
        <v>50</v>
      </c>
      <c r="F13" s="6">
        <v>1</v>
      </c>
      <c r="G13" s="8">
        <v>7</v>
      </c>
      <c r="H13" s="6" t="str">
        <f>'Grad Raw Data'!I13</f>
        <v>Cara</v>
      </c>
      <c r="I13" s="6" t="str">
        <f>'Grad Raw Data'!H13</f>
        <v>Vitarisi</v>
      </c>
      <c r="J13" s="6">
        <f>'Grad Raw Data'!G13</f>
        <v>0</v>
      </c>
      <c r="L13" s="6"/>
    </row>
    <row r="14" spans="1:12" ht="18" x14ac:dyDescent="0.25">
      <c r="A14" s="6" t="s">
        <v>48</v>
      </c>
      <c r="B14" s="6" t="s">
        <v>49</v>
      </c>
      <c r="C14" s="6">
        <v>108</v>
      </c>
      <c r="D14" s="11">
        <f t="shared" si="0"/>
        <v>8</v>
      </c>
      <c r="E14" s="6" t="s">
        <v>50</v>
      </c>
      <c r="F14" s="6">
        <v>1</v>
      </c>
      <c r="G14" s="8">
        <v>8</v>
      </c>
      <c r="H14" s="6" t="str">
        <f>'Grad Raw Data'!I14</f>
        <v>Jillian</v>
      </c>
      <c r="I14" s="6" t="str">
        <f>'Grad Raw Data'!H14</f>
        <v>Abate</v>
      </c>
      <c r="J14" s="6">
        <f>'Grad Raw Data'!G14</f>
        <v>0</v>
      </c>
      <c r="L14" s="6"/>
    </row>
    <row r="15" spans="1:12" ht="18" x14ac:dyDescent="0.25">
      <c r="A15" s="6" t="s">
        <v>48</v>
      </c>
      <c r="B15" s="6" t="s">
        <v>49</v>
      </c>
      <c r="C15" s="6">
        <v>109</v>
      </c>
      <c r="D15" s="11">
        <f t="shared" si="0"/>
        <v>9</v>
      </c>
      <c r="E15" s="6" t="s">
        <v>50</v>
      </c>
      <c r="F15" s="6">
        <v>1</v>
      </c>
      <c r="G15" s="8">
        <v>9</v>
      </c>
      <c r="H15" s="6" t="str">
        <f>'Grad Raw Data'!I15</f>
        <v>Logan</v>
      </c>
      <c r="I15" s="6" t="str">
        <f>'Grad Raw Data'!H15</f>
        <v>Abrams</v>
      </c>
      <c r="J15" s="6">
        <f>'Grad Raw Data'!G15</f>
        <v>0</v>
      </c>
      <c r="L15" s="6"/>
    </row>
    <row r="16" spans="1:12" ht="18" x14ac:dyDescent="0.25">
      <c r="A16" s="6" t="s">
        <v>48</v>
      </c>
      <c r="B16" s="6" t="s">
        <v>49</v>
      </c>
      <c r="C16" s="6">
        <v>110</v>
      </c>
      <c r="D16" s="11">
        <f t="shared" si="0"/>
        <v>10</v>
      </c>
      <c r="E16" s="6" t="s">
        <v>50</v>
      </c>
      <c r="F16" s="6">
        <v>1</v>
      </c>
      <c r="G16" s="8">
        <v>10</v>
      </c>
      <c r="H16" s="6" t="str">
        <f>'Grad Raw Data'!I16</f>
        <v>Raniya</v>
      </c>
      <c r="I16" s="6" t="str">
        <f>'Grad Raw Data'!H16</f>
        <v>Abubakar</v>
      </c>
      <c r="J16" s="6">
        <f>'Grad Raw Data'!G16</f>
        <v>0</v>
      </c>
      <c r="L16" s="6"/>
    </row>
    <row r="17" spans="1:12" ht="18" x14ac:dyDescent="0.25">
      <c r="A17" s="6" t="s">
        <v>48</v>
      </c>
      <c r="B17" s="6" t="s">
        <v>49</v>
      </c>
      <c r="C17" s="6">
        <v>111</v>
      </c>
      <c r="D17" s="11">
        <f t="shared" si="0"/>
        <v>11</v>
      </c>
      <c r="E17" s="6" t="s">
        <v>50</v>
      </c>
      <c r="F17" s="6">
        <v>1</v>
      </c>
      <c r="G17" s="8">
        <v>11</v>
      </c>
      <c r="H17" s="6" t="str">
        <f>'Grad Raw Data'!I17</f>
        <v>Luis</v>
      </c>
      <c r="I17" s="6" t="str">
        <f>'Grad Raw Data'!H17</f>
        <v>Aburto Campos</v>
      </c>
      <c r="J17" s="6">
        <f>'Grad Raw Data'!G17</f>
        <v>0</v>
      </c>
      <c r="L17" s="6"/>
    </row>
    <row r="18" spans="1:12" ht="18.75" thickBot="1" x14ac:dyDescent="0.3">
      <c r="A18" s="4" t="s">
        <v>48</v>
      </c>
      <c r="B18" s="4" t="s">
        <v>49</v>
      </c>
      <c r="C18" s="4">
        <v>112</v>
      </c>
      <c r="D18" s="11">
        <f t="shared" si="0"/>
        <v>12</v>
      </c>
      <c r="E18" s="4" t="s">
        <v>50</v>
      </c>
      <c r="F18" s="4">
        <v>1</v>
      </c>
      <c r="G18" s="5">
        <v>12</v>
      </c>
      <c r="H18" s="6" t="str">
        <f>'Grad Raw Data'!I18</f>
        <v>Devyn</v>
      </c>
      <c r="I18" s="6" t="str">
        <f>'Grad Raw Data'!H18</f>
        <v>Ahlert</v>
      </c>
      <c r="J18" s="6">
        <f>'Grad Raw Data'!G18</f>
        <v>0</v>
      </c>
    </row>
    <row r="19" spans="1:12" ht="18.75" thickTop="1" x14ac:dyDescent="0.25">
      <c r="A19" s="6" t="s">
        <v>51</v>
      </c>
      <c r="B19" s="6" t="s">
        <v>52</v>
      </c>
      <c r="C19" s="6">
        <v>122</v>
      </c>
      <c r="D19" s="11">
        <f t="shared" si="0"/>
        <v>1</v>
      </c>
      <c r="E19" s="6" t="s">
        <v>53</v>
      </c>
      <c r="F19" s="6">
        <v>1</v>
      </c>
      <c r="G19" s="8">
        <v>1</v>
      </c>
      <c r="H19" s="6" t="str">
        <f>'Grad Raw Data'!I19</f>
        <v>Alexander</v>
      </c>
      <c r="I19" s="6" t="str">
        <f>'Grad Raw Data'!H19</f>
        <v>Aiello</v>
      </c>
      <c r="J19" s="6">
        <f>'Grad Raw Data'!G19</f>
        <v>0</v>
      </c>
    </row>
    <row r="20" spans="1:12" ht="18" x14ac:dyDescent="0.25">
      <c r="A20" s="6" t="s">
        <v>51</v>
      </c>
      <c r="B20" s="6" t="s">
        <v>52</v>
      </c>
      <c r="C20" s="6">
        <v>120</v>
      </c>
      <c r="D20" s="11">
        <f t="shared" si="0"/>
        <v>2</v>
      </c>
      <c r="E20" s="6" t="s">
        <v>53</v>
      </c>
      <c r="F20" s="6">
        <v>1</v>
      </c>
      <c r="G20" s="8">
        <v>2</v>
      </c>
      <c r="H20" s="6" t="str">
        <f>'Grad Raw Data'!I20</f>
        <v>Reese</v>
      </c>
      <c r="I20" s="6" t="str">
        <f>'Grad Raw Data'!H20</f>
        <v>Allen</v>
      </c>
      <c r="J20" s="6">
        <f>'Grad Raw Data'!G20</f>
        <v>0</v>
      </c>
    </row>
    <row r="21" spans="1:12" ht="18" x14ac:dyDescent="0.25">
      <c r="A21" s="6" t="s">
        <v>51</v>
      </c>
      <c r="B21" s="6" t="s">
        <v>52</v>
      </c>
      <c r="C21" s="6">
        <v>118</v>
      </c>
      <c r="D21" s="11">
        <f t="shared" si="0"/>
        <v>3</v>
      </c>
      <c r="E21" s="6" t="s">
        <v>53</v>
      </c>
      <c r="F21" s="6">
        <v>1</v>
      </c>
      <c r="G21" s="8">
        <v>3</v>
      </c>
      <c r="H21" s="6" t="str">
        <f>'Grad Raw Data'!I21</f>
        <v>Fabricio</v>
      </c>
      <c r="I21" s="6" t="str">
        <f>'Grad Raw Data'!H21</f>
        <v>Amado</v>
      </c>
      <c r="J21" s="6">
        <f>'Grad Raw Data'!G21</f>
        <v>0</v>
      </c>
    </row>
    <row r="22" spans="1:12" ht="18" x14ac:dyDescent="0.25">
      <c r="A22" s="6" t="s">
        <v>51</v>
      </c>
      <c r="B22" s="6" t="s">
        <v>52</v>
      </c>
      <c r="C22" s="6">
        <v>116</v>
      </c>
      <c r="D22" s="11">
        <f t="shared" si="0"/>
        <v>4</v>
      </c>
      <c r="E22" s="6" t="s">
        <v>53</v>
      </c>
      <c r="F22" s="6">
        <v>1</v>
      </c>
      <c r="G22" s="8">
        <v>4</v>
      </c>
      <c r="H22" s="6" t="str">
        <f>'Grad Raw Data'!I22</f>
        <v>Joseph</v>
      </c>
      <c r="I22" s="6" t="str">
        <f>'Grad Raw Data'!H22</f>
        <v>Amirault</v>
      </c>
      <c r="J22" s="6">
        <f>'Grad Raw Data'!G22</f>
        <v>0</v>
      </c>
    </row>
    <row r="23" spans="1:12" ht="18" x14ac:dyDescent="0.25">
      <c r="A23" s="6" t="s">
        <v>51</v>
      </c>
      <c r="B23" s="6" t="s">
        <v>52</v>
      </c>
      <c r="C23" s="6">
        <v>114</v>
      </c>
      <c r="D23" s="11">
        <f t="shared" si="0"/>
        <v>5</v>
      </c>
      <c r="E23" s="6" t="s">
        <v>53</v>
      </c>
      <c r="F23" s="6">
        <v>1</v>
      </c>
      <c r="G23" s="8">
        <v>5</v>
      </c>
      <c r="H23" s="6" t="str">
        <f>'Grad Raw Data'!I23</f>
        <v>Brady</v>
      </c>
      <c r="I23" s="6" t="str">
        <f>'Grad Raw Data'!H23</f>
        <v>Anderson</v>
      </c>
      <c r="J23" s="6">
        <f>'Grad Raw Data'!G23</f>
        <v>0</v>
      </c>
    </row>
    <row r="24" spans="1:12" ht="18" x14ac:dyDescent="0.25">
      <c r="A24" s="6" t="s">
        <v>51</v>
      </c>
      <c r="B24" s="6" t="s">
        <v>52</v>
      </c>
      <c r="C24" s="6">
        <v>112</v>
      </c>
      <c r="D24" s="11">
        <f t="shared" si="0"/>
        <v>6</v>
      </c>
      <c r="E24" s="6" t="s">
        <v>53</v>
      </c>
      <c r="F24" s="6">
        <v>1</v>
      </c>
      <c r="G24" s="8">
        <v>6</v>
      </c>
      <c r="H24" s="6" t="str">
        <f>'Grad Raw Data'!I24</f>
        <v>Barrington</v>
      </c>
      <c r="I24" s="6" t="str">
        <f>'Grad Raw Data'!H24</f>
        <v>Anderson</v>
      </c>
      <c r="J24" s="6">
        <f>'Grad Raw Data'!G24</f>
        <v>0</v>
      </c>
    </row>
    <row r="25" spans="1:12" ht="18" x14ac:dyDescent="0.25">
      <c r="A25" s="6" t="s">
        <v>51</v>
      </c>
      <c r="B25" s="6" t="s">
        <v>52</v>
      </c>
      <c r="C25" s="6">
        <v>110</v>
      </c>
      <c r="D25" s="11">
        <f t="shared" si="0"/>
        <v>7</v>
      </c>
      <c r="E25" s="6" t="s">
        <v>53</v>
      </c>
      <c r="F25" s="6">
        <v>1</v>
      </c>
      <c r="G25" s="8">
        <v>7</v>
      </c>
      <c r="H25" s="6" t="str">
        <f>'Grad Raw Data'!I25</f>
        <v>Isabella</v>
      </c>
      <c r="I25" s="6" t="str">
        <f>'Grad Raw Data'!H25</f>
        <v>Aquino</v>
      </c>
      <c r="J25" s="6">
        <f>'Grad Raw Data'!G25</f>
        <v>0</v>
      </c>
    </row>
    <row r="26" spans="1:12" ht="18" x14ac:dyDescent="0.25">
      <c r="A26" s="6" t="s">
        <v>51</v>
      </c>
      <c r="B26" s="6" t="s">
        <v>52</v>
      </c>
      <c r="C26" s="6">
        <v>108</v>
      </c>
      <c r="D26" s="11">
        <f t="shared" si="0"/>
        <v>8</v>
      </c>
      <c r="E26" s="6" t="s">
        <v>53</v>
      </c>
      <c r="F26" s="6">
        <v>1</v>
      </c>
      <c r="G26" s="8">
        <v>8</v>
      </c>
      <c r="H26" s="6" t="str">
        <f>'Grad Raw Data'!I26</f>
        <v>Lucas</v>
      </c>
      <c r="I26" s="6" t="str">
        <f>'Grad Raw Data'!H26</f>
        <v>Aquino</v>
      </c>
      <c r="J26" s="6">
        <f>'Grad Raw Data'!G26</f>
        <v>0</v>
      </c>
    </row>
    <row r="27" spans="1:12" ht="18" x14ac:dyDescent="0.25">
      <c r="A27" s="6" t="s">
        <v>51</v>
      </c>
      <c r="B27" s="6" t="s">
        <v>52</v>
      </c>
      <c r="C27" s="6">
        <v>106</v>
      </c>
      <c r="D27" s="11">
        <f t="shared" si="0"/>
        <v>9</v>
      </c>
      <c r="E27" s="6" t="s">
        <v>53</v>
      </c>
      <c r="F27" s="6">
        <v>1</v>
      </c>
      <c r="G27" s="8">
        <v>9</v>
      </c>
      <c r="H27" s="6" t="str">
        <f>'Grad Raw Data'!I27</f>
        <v>Tiago</v>
      </c>
      <c r="I27" s="6" t="str">
        <f>'Grad Raw Data'!H27</f>
        <v>Araujo</v>
      </c>
      <c r="J27" s="6">
        <f>'Grad Raw Data'!G27</f>
        <v>0</v>
      </c>
    </row>
    <row r="28" spans="1:12" ht="18" x14ac:dyDescent="0.25">
      <c r="A28" s="6" t="s">
        <v>51</v>
      </c>
      <c r="B28" s="6" t="s">
        <v>52</v>
      </c>
      <c r="C28" s="6">
        <v>104</v>
      </c>
      <c r="D28" s="11">
        <f t="shared" si="0"/>
        <v>10</v>
      </c>
      <c r="E28" s="6" t="s">
        <v>53</v>
      </c>
      <c r="F28" s="6">
        <v>1</v>
      </c>
      <c r="G28" s="8">
        <v>10</v>
      </c>
      <c r="H28" s="6" t="str">
        <f>'Grad Raw Data'!I28</f>
        <v>Chloe</v>
      </c>
      <c r="I28" s="6" t="str">
        <f>'Grad Raw Data'!H28</f>
        <v>Aretusi</v>
      </c>
      <c r="J28" s="6">
        <f>'Grad Raw Data'!G28</f>
        <v>0</v>
      </c>
    </row>
    <row r="29" spans="1:12" ht="18" x14ac:dyDescent="0.25">
      <c r="A29" s="6" t="s">
        <v>51</v>
      </c>
      <c r="B29" s="6" t="s">
        <v>52</v>
      </c>
      <c r="C29" s="6">
        <v>102</v>
      </c>
      <c r="D29" s="11">
        <f t="shared" si="0"/>
        <v>11</v>
      </c>
      <c r="E29" s="6" t="s">
        <v>53</v>
      </c>
      <c r="F29" s="6">
        <v>1</v>
      </c>
      <c r="G29" s="8">
        <v>11</v>
      </c>
      <c r="H29" s="6" t="str">
        <f>'Grad Raw Data'!I29</f>
        <v>Evan</v>
      </c>
      <c r="I29" s="6" t="str">
        <f>'Grad Raw Data'!H29</f>
        <v>Audley</v>
      </c>
      <c r="J29" s="6">
        <f>'Grad Raw Data'!G29</f>
        <v>0</v>
      </c>
    </row>
    <row r="30" spans="1:12" ht="18.75" thickBot="1" x14ac:dyDescent="0.3">
      <c r="A30" s="4" t="s">
        <v>51</v>
      </c>
      <c r="B30" s="4" t="s">
        <v>52</v>
      </c>
      <c r="C30" s="4">
        <v>101</v>
      </c>
      <c r="D30" s="11">
        <f t="shared" si="0"/>
        <v>12</v>
      </c>
      <c r="E30" s="4" t="s">
        <v>53</v>
      </c>
      <c r="F30" s="4">
        <v>1</v>
      </c>
      <c r="G30" s="5">
        <v>12</v>
      </c>
      <c r="H30" s="6" t="str">
        <f>'Grad Raw Data'!I30</f>
        <v>Natalie</v>
      </c>
      <c r="I30" s="6" t="str">
        <f>'Grad Raw Data'!H30</f>
        <v>Austin</v>
      </c>
      <c r="J30" s="6">
        <f>'Grad Raw Data'!G30</f>
        <v>0</v>
      </c>
    </row>
    <row r="31" spans="1:12" ht="18.75" thickTop="1" x14ac:dyDescent="0.25">
      <c r="A31" s="6" t="s">
        <v>48</v>
      </c>
      <c r="B31" s="6" t="s">
        <v>54</v>
      </c>
      <c r="C31" s="6">
        <v>101</v>
      </c>
      <c r="D31" s="11">
        <f t="shared" si="0"/>
        <v>13</v>
      </c>
      <c r="E31" s="6" t="s">
        <v>50</v>
      </c>
      <c r="F31" s="6">
        <v>2</v>
      </c>
      <c r="G31" s="8">
        <v>1</v>
      </c>
      <c r="H31" s="6" t="str">
        <f>'Grad Raw Data'!I31</f>
        <v>Vivian</v>
      </c>
      <c r="I31" s="6" t="str">
        <f>'Grad Raw Data'!H31</f>
        <v>Balas</v>
      </c>
      <c r="J31" s="6">
        <f>'Grad Raw Data'!G31</f>
        <v>0</v>
      </c>
    </row>
    <row r="32" spans="1:12" ht="18" x14ac:dyDescent="0.25">
      <c r="A32" s="6" t="s">
        <v>48</v>
      </c>
      <c r="B32" s="6" t="s">
        <v>54</v>
      </c>
      <c r="C32" s="6">
        <v>102</v>
      </c>
      <c r="D32" s="11">
        <f t="shared" si="0"/>
        <v>14</v>
      </c>
      <c r="E32" s="6" t="s">
        <v>50</v>
      </c>
      <c r="F32" s="6">
        <v>2</v>
      </c>
      <c r="G32" s="8">
        <v>2</v>
      </c>
      <c r="H32" s="6" t="str">
        <f>'Grad Raw Data'!I32</f>
        <v>Kaua</v>
      </c>
      <c r="I32" s="6" t="str">
        <f>'Grad Raw Data'!H32</f>
        <v>Batista</v>
      </c>
      <c r="J32" s="6">
        <f>'Grad Raw Data'!G32</f>
        <v>0</v>
      </c>
    </row>
    <row r="33" spans="1:10" ht="18" x14ac:dyDescent="0.25">
      <c r="A33" s="6" t="s">
        <v>48</v>
      </c>
      <c r="B33" s="6" t="s">
        <v>54</v>
      </c>
      <c r="C33" s="6">
        <v>103</v>
      </c>
      <c r="D33" s="11">
        <f t="shared" si="0"/>
        <v>15</v>
      </c>
      <c r="E33" s="6" t="s">
        <v>50</v>
      </c>
      <c r="F33" s="6">
        <v>2</v>
      </c>
      <c r="G33" s="8">
        <v>3</v>
      </c>
      <c r="H33" s="6" t="str">
        <f>'Grad Raw Data'!I33</f>
        <v>Carson</v>
      </c>
      <c r="I33" s="6" t="str">
        <f>'Grad Raw Data'!H33</f>
        <v>Beaulieu</v>
      </c>
      <c r="J33" s="6">
        <f>'Grad Raw Data'!G33</f>
        <v>0</v>
      </c>
    </row>
    <row r="34" spans="1:10" ht="18" x14ac:dyDescent="0.25">
      <c r="A34" s="6" t="s">
        <v>48</v>
      </c>
      <c r="B34" s="6" t="s">
        <v>54</v>
      </c>
      <c r="C34" s="6">
        <v>104</v>
      </c>
      <c r="D34" s="11">
        <f t="shared" si="0"/>
        <v>16</v>
      </c>
      <c r="E34" s="6" t="s">
        <v>50</v>
      </c>
      <c r="F34" s="6">
        <v>2</v>
      </c>
      <c r="G34" s="8">
        <v>4</v>
      </c>
      <c r="H34" s="6" t="str">
        <f>'Grad Raw Data'!I34</f>
        <v>Jahnai</v>
      </c>
      <c r="I34" s="6" t="str">
        <f>'Grad Raw Data'!H34</f>
        <v>Belfon</v>
      </c>
      <c r="J34" s="6">
        <f>'Grad Raw Data'!G34</f>
        <v>0</v>
      </c>
    </row>
    <row r="35" spans="1:10" ht="18" x14ac:dyDescent="0.25">
      <c r="A35" s="6" t="s">
        <v>48</v>
      </c>
      <c r="B35" s="6" t="s">
        <v>54</v>
      </c>
      <c r="C35" s="6">
        <v>105</v>
      </c>
      <c r="D35" s="11">
        <f t="shared" si="0"/>
        <v>17</v>
      </c>
      <c r="E35" s="6" t="s">
        <v>50</v>
      </c>
      <c r="F35" s="6">
        <v>2</v>
      </c>
      <c r="G35" s="8">
        <v>5</v>
      </c>
      <c r="H35" s="6" t="str">
        <f>'Grad Raw Data'!I35</f>
        <v>Amelia</v>
      </c>
      <c r="I35" s="6" t="str">
        <f>'Grad Raw Data'!H35</f>
        <v>Benedict</v>
      </c>
      <c r="J35" s="6">
        <f>'Grad Raw Data'!G35</f>
        <v>0</v>
      </c>
    </row>
    <row r="36" spans="1:10" ht="18" x14ac:dyDescent="0.25">
      <c r="A36" s="6" t="s">
        <v>48</v>
      </c>
      <c r="B36" s="6" t="s">
        <v>54</v>
      </c>
      <c r="C36" s="6">
        <v>106</v>
      </c>
      <c r="D36" s="11">
        <f t="shared" si="0"/>
        <v>18</v>
      </c>
      <c r="E36" s="6" t="s">
        <v>50</v>
      </c>
      <c r="F36" s="6">
        <v>2</v>
      </c>
      <c r="G36" s="8">
        <v>6</v>
      </c>
      <c r="H36" s="6" t="str">
        <f>'Grad Raw Data'!I36</f>
        <v>Jamison</v>
      </c>
      <c r="I36" s="6" t="str">
        <f>'Grad Raw Data'!H36</f>
        <v>Bentley</v>
      </c>
      <c r="J36" s="6">
        <f>'Grad Raw Data'!G36</f>
        <v>0</v>
      </c>
    </row>
    <row r="37" spans="1:10" ht="18" x14ac:dyDescent="0.25">
      <c r="A37" s="6" t="s">
        <v>48</v>
      </c>
      <c r="B37" s="6" t="s">
        <v>54</v>
      </c>
      <c r="C37" s="6">
        <v>107</v>
      </c>
      <c r="D37" s="11">
        <f t="shared" si="0"/>
        <v>19</v>
      </c>
      <c r="E37" s="6" t="s">
        <v>50</v>
      </c>
      <c r="F37" s="6">
        <v>2</v>
      </c>
      <c r="G37" s="8">
        <v>7</v>
      </c>
      <c r="H37" s="6" t="str">
        <f>'Grad Raw Data'!I37</f>
        <v>Dhanya</v>
      </c>
      <c r="I37" s="6" t="str">
        <f>'Grad Raw Data'!H37</f>
        <v>Bhola</v>
      </c>
      <c r="J37" s="6">
        <f>'Grad Raw Data'!G37</f>
        <v>0</v>
      </c>
    </row>
    <row r="38" spans="1:10" ht="18" x14ac:dyDescent="0.25">
      <c r="A38" s="6" t="s">
        <v>48</v>
      </c>
      <c r="B38" s="6" t="s">
        <v>54</v>
      </c>
      <c r="C38" s="6">
        <v>108</v>
      </c>
      <c r="D38" s="11">
        <f t="shared" si="0"/>
        <v>20</v>
      </c>
      <c r="E38" s="6" t="s">
        <v>50</v>
      </c>
      <c r="F38" s="6">
        <v>2</v>
      </c>
      <c r="G38" s="8">
        <v>8</v>
      </c>
      <c r="H38" s="6" t="str">
        <f>'Grad Raw Data'!I38</f>
        <v>Elizabeth</v>
      </c>
      <c r="I38" s="6" t="str">
        <f>'Grad Raw Data'!H38</f>
        <v>Boucher</v>
      </c>
      <c r="J38" s="6">
        <f>'Grad Raw Data'!G38</f>
        <v>0</v>
      </c>
    </row>
    <row r="39" spans="1:10" ht="18" x14ac:dyDescent="0.25">
      <c r="A39" s="6" t="s">
        <v>48</v>
      </c>
      <c r="B39" s="6" t="s">
        <v>54</v>
      </c>
      <c r="C39" s="6">
        <v>109</v>
      </c>
      <c r="D39" s="11">
        <f t="shared" si="0"/>
        <v>21</v>
      </c>
      <c r="E39" s="6" t="s">
        <v>50</v>
      </c>
      <c r="F39" s="6">
        <v>2</v>
      </c>
      <c r="G39" s="8">
        <v>9</v>
      </c>
      <c r="H39" s="6" t="str">
        <f>'Grad Raw Data'!I39</f>
        <v>Danielle</v>
      </c>
      <c r="I39" s="6" t="str">
        <f>'Grad Raw Data'!H39</f>
        <v>Bowers</v>
      </c>
      <c r="J39" s="6">
        <f>'Grad Raw Data'!G39</f>
        <v>0</v>
      </c>
    </row>
    <row r="40" spans="1:10" ht="18" x14ac:dyDescent="0.25">
      <c r="A40" s="6" t="s">
        <v>48</v>
      </c>
      <c r="B40" s="6" t="s">
        <v>54</v>
      </c>
      <c r="C40" s="6">
        <v>110</v>
      </c>
      <c r="D40" s="11">
        <f t="shared" si="0"/>
        <v>22</v>
      </c>
      <c r="E40" s="6" t="s">
        <v>50</v>
      </c>
      <c r="F40" s="6">
        <v>2</v>
      </c>
      <c r="G40" s="8">
        <v>10</v>
      </c>
      <c r="H40" s="6" t="str">
        <f>'Grad Raw Data'!I40</f>
        <v>Lucas</v>
      </c>
      <c r="I40" s="6" t="str">
        <f>'Grad Raw Data'!H40</f>
        <v>Bowlin</v>
      </c>
      <c r="J40" s="6">
        <f>'Grad Raw Data'!G40</f>
        <v>0</v>
      </c>
    </row>
    <row r="41" spans="1:10" ht="18" x14ac:dyDescent="0.25">
      <c r="A41" s="6" t="s">
        <v>48</v>
      </c>
      <c r="B41" s="6" t="s">
        <v>54</v>
      </c>
      <c r="C41" s="6">
        <v>111</v>
      </c>
      <c r="D41" s="11">
        <f t="shared" si="0"/>
        <v>23</v>
      </c>
      <c r="E41" s="6" t="s">
        <v>50</v>
      </c>
      <c r="F41" s="6">
        <v>2</v>
      </c>
      <c r="G41" s="8">
        <v>11</v>
      </c>
      <c r="H41" s="6" t="str">
        <f>'Grad Raw Data'!I41</f>
        <v>Kaleb</v>
      </c>
      <c r="I41" s="6" t="str">
        <f>'Grad Raw Data'!H41</f>
        <v>Brady</v>
      </c>
      <c r="J41" s="6">
        <f>'Grad Raw Data'!G41</f>
        <v>0</v>
      </c>
    </row>
    <row r="42" spans="1:10" ht="18.75" thickBot="1" x14ac:dyDescent="0.3">
      <c r="A42" s="4" t="s">
        <v>48</v>
      </c>
      <c r="B42" s="4" t="s">
        <v>54</v>
      </c>
      <c r="C42" s="4">
        <v>112</v>
      </c>
      <c r="D42" s="11">
        <f t="shared" si="0"/>
        <v>24</v>
      </c>
      <c r="E42" s="4" t="s">
        <v>50</v>
      </c>
      <c r="F42" s="4">
        <v>2</v>
      </c>
      <c r="G42" s="5">
        <v>12</v>
      </c>
      <c r="H42" s="6" t="str">
        <f>'Grad Raw Data'!I42</f>
        <v>A.J.</v>
      </c>
      <c r="I42" s="6" t="str">
        <f>'Grad Raw Data'!H42</f>
        <v>Bramante</v>
      </c>
      <c r="J42" s="6">
        <f>'Grad Raw Data'!G42</f>
        <v>0</v>
      </c>
    </row>
    <row r="43" spans="1:10" ht="18.75" thickTop="1" x14ac:dyDescent="0.25">
      <c r="A43" s="6" t="s">
        <v>51</v>
      </c>
      <c r="B43" s="6" t="s">
        <v>52</v>
      </c>
      <c r="C43" s="6">
        <v>103</v>
      </c>
      <c r="D43" s="11">
        <f t="shared" si="0"/>
        <v>13</v>
      </c>
      <c r="E43" s="6" t="s">
        <v>53</v>
      </c>
      <c r="F43" s="6">
        <v>2</v>
      </c>
      <c r="G43" s="8">
        <v>1</v>
      </c>
      <c r="H43" s="6" t="str">
        <f>'Grad Raw Data'!I43</f>
        <v>Ashley</v>
      </c>
      <c r="I43" s="6" t="str">
        <f>'Grad Raw Data'!H43</f>
        <v>Brown</v>
      </c>
      <c r="J43" s="6">
        <f>'Grad Raw Data'!G43</f>
        <v>0</v>
      </c>
    </row>
    <row r="44" spans="1:10" ht="18" x14ac:dyDescent="0.25">
      <c r="A44" s="6" t="s">
        <v>51</v>
      </c>
      <c r="B44" s="6" t="s">
        <v>52</v>
      </c>
      <c r="C44" s="6">
        <v>105</v>
      </c>
      <c r="D44" s="11">
        <f t="shared" si="0"/>
        <v>14</v>
      </c>
      <c r="E44" s="6" t="s">
        <v>53</v>
      </c>
      <c r="F44" s="6">
        <v>2</v>
      </c>
      <c r="G44" s="8">
        <v>2</v>
      </c>
      <c r="H44" s="6" t="str">
        <f>'Grad Raw Data'!I44</f>
        <v>Elijah</v>
      </c>
      <c r="I44" s="6" t="str">
        <f>'Grad Raw Data'!H44</f>
        <v>Brown</v>
      </c>
      <c r="J44" s="6">
        <f>'Grad Raw Data'!G44</f>
        <v>0</v>
      </c>
    </row>
    <row r="45" spans="1:10" ht="18" x14ac:dyDescent="0.25">
      <c r="A45" s="6" t="s">
        <v>51</v>
      </c>
      <c r="B45" s="6" t="s">
        <v>52</v>
      </c>
      <c r="C45" s="6">
        <v>107</v>
      </c>
      <c r="D45" s="11">
        <f t="shared" si="0"/>
        <v>15</v>
      </c>
      <c r="E45" s="6" t="s">
        <v>53</v>
      </c>
      <c r="F45" s="6">
        <v>2</v>
      </c>
      <c r="G45" s="8">
        <v>3</v>
      </c>
      <c r="H45" s="6" t="str">
        <f>'Grad Raw Data'!I45</f>
        <v>Braeden</v>
      </c>
      <c r="I45" s="6" t="str">
        <f>'Grad Raw Data'!H45</f>
        <v>Callan</v>
      </c>
      <c r="J45" s="6">
        <f>'Grad Raw Data'!G45</f>
        <v>0</v>
      </c>
    </row>
    <row r="46" spans="1:10" ht="18" x14ac:dyDescent="0.25">
      <c r="A46" s="6" t="s">
        <v>51</v>
      </c>
      <c r="B46" s="6" t="s">
        <v>52</v>
      </c>
      <c r="C46" s="6">
        <v>109</v>
      </c>
      <c r="D46" s="11">
        <f t="shared" si="0"/>
        <v>16</v>
      </c>
      <c r="E46" s="6" t="s">
        <v>53</v>
      </c>
      <c r="F46" s="6">
        <v>2</v>
      </c>
      <c r="G46" s="8">
        <v>4</v>
      </c>
      <c r="H46" s="6" t="str">
        <f>'Grad Raw Data'!I46</f>
        <v>Nilton</v>
      </c>
      <c r="I46" s="6" t="str">
        <f>'Grad Raw Data'!H46</f>
        <v>Campos</v>
      </c>
      <c r="J46" s="6">
        <f>'Grad Raw Data'!G46</f>
        <v>0</v>
      </c>
    </row>
    <row r="47" spans="1:10" ht="18" x14ac:dyDescent="0.25">
      <c r="A47" s="6" t="s">
        <v>51</v>
      </c>
      <c r="B47" s="6" t="s">
        <v>52</v>
      </c>
      <c r="C47" s="6">
        <v>111</v>
      </c>
      <c r="D47" s="11">
        <f t="shared" si="0"/>
        <v>17</v>
      </c>
      <c r="E47" s="6" t="s">
        <v>53</v>
      </c>
      <c r="F47" s="6">
        <v>2</v>
      </c>
      <c r="G47" s="8">
        <v>5</v>
      </c>
      <c r="H47" s="6" t="str">
        <f>'Grad Raw Data'!I47</f>
        <v>Ethan</v>
      </c>
      <c r="I47" s="6" t="str">
        <f>'Grad Raw Data'!H47</f>
        <v>Cannon</v>
      </c>
      <c r="J47" s="6">
        <f>'Grad Raw Data'!G47</f>
        <v>0</v>
      </c>
    </row>
    <row r="48" spans="1:10" ht="18" x14ac:dyDescent="0.25">
      <c r="A48" s="6" t="s">
        <v>51</v>
      </c>
      <c r="B48" s="6" t="s">
        <v>52</v>
      </c>
      <c r="C48" s="6">
        <v>113</v>
      </c>
      <c r="D48" s="11">
        <f t="shared" si="0"/>
        <v>18</v>
      </c>
      <c r="E48" s="6" t="s">
        <v>53</v>
      </c>
      <c r="F48" s="6">
        <v>2</v>
      </c>
      <c r="G48" s="8">
        <v>6</v>
      </c>
      <c r="H48" s="6" t="str">
        <f>'Grad Raw Data'!I48</f>
        <v>Lucas</v>
      </c>
      <c r="I48" s="6" t="str">
        <f>'Grad Raw Data'!H48</f>
        <v>Carcione</v>
      </c>
      <c r="J48" s="6">
        <f>'Grad Raw Data'!G48</f>
        <v>0</v>
      </c>
    </row>
    <row r="49" spans="1:10" ht="18" x14ac:dyDescent="0.25">
      <c r="A49" s="6" t="s">
        <v>51</v>
      </c>
      <c r="B49" s="6" t="s">
        <v>52</v>
      </c>
      <c r="C49" s="6">
        <v>115</v>
      </c>
      <c r="D49" s="11">
        <f t="shared" si="0"/>
        <v>19</v>
      </c>
      <c r="E49" s="6" t="s">
        <v>53</v>
      </c>
      <c r="F49" s="6">
        <v>2</v>
      </c>
      <c r="G49" s="8">
        <v>7</v>
      </c>
      <c r="H49" s="6" t="str">
        <f>'Grad Raw Data'!I49</f>
        <v>Nicholas</v>
      </c>
      <c r="I49" s="6" t="str">
        <f>'Grad Raw Data'!H49</f>
        <v>Casarano</v>
      </c>
      <c r="J49" s="6">
        <f>'Grad Raw Data'!G49</f>
        <v>0</v>
      </c>
    </row>
    <row r="50" spans="1:10" ht="18" x14ac:dyDescent="0.25">
      <c r="A50" s="6" t="s">
        <v>51</v>
      </c>
      <c r="B50" s="6" t="s">
        <v>52</v>
      </c>
      <c r="C50" s="6">
        <v>117</v>
      </c>
      <c r="D50" s="11">
        <f t="shared" si="0"/>
        <v>20</v>
      </c>
      <c r="E50" s="6" t="s">
        <v>53</v>
      </c>
      <c r="F50" s="6">
        <v>2</v>
      </c>
      <c r="G50" s="8">
        <v>8</v>
      </c>
      <c r="H50" s="6" t="str">
        <f>'Grad Raw Data'!I50</f>
        <v>Maggie</v>
      </c>
      <c r="I50" s="6" t="str">
        <f>'Grad Raw Data'!H50</f>
        <v>Champlin-Scharff</v>
      </c>
      <c r="J50" s="6">
        <f>'Grad Raw Data'!G50</f>
        <v>0</v>
      </c>
    </row>
    <row r="51" spans="1:10" ht="18" x14ac:dyDescent="0.25">
      <c r="A51" s="6" t="s">
        <v>51</v>
      </c>
      <c r="B51" s="6" t="s">
        <v>52</v>
      </c>
      <c r="C51" s="6">
        <v>119</v>
      </c>
      <c r="D51" s="11">
        <f t="shared" si="0"/>
        <v>21</v>
      </c>
      <c r="E51" s="6" t="s">
        <v>53</v>
      </c>
      <c r="F51" s="6">
        <v>2</v>
      </c>
      <c r="G51" s="8">
        <v>9</v>
      </c>
      <c r="H51" s="6" t="str">
        <f>'Grad Raw Data'!I51</f>
        <v>Elsa</v>
      </c>
      <c r="I51" s="6" t="str">
        <f>'Grad Raw Data'!H51</f>
        <v>Chow</v>
      </c>
      <c r="J51" s="6">
        <f>'Grad Raw Data'!G51</f>
        <v>0</v>
      </c>
    </row>
    <row r="52" spans="1:10" ht="18" x14ac:dyDescent="0.25">
      <c r="A52" s="6" t="s">
        <v>51</v>
      </c>
      <c r="B52" s="6" t="s">
        <v>52</v>
      </c>
      <c r="C52" s="6">
        <v>121</v>
      </c>
      <c r="D52" s="11">
        <f t="shared" si="0"/>
        <v>22</v>
      </c>
      <c r="E52" s="6" t="s">
        <v>53</v>
      </c>
      <c r="F52" s="6">
        <v>2</v>
      </c>
      <c r="G52" s="8">
        <v>10</v>
      </c>
      <c r="H52" s="6" t="str">
        <f>'Grad Raw Data'!I52</f>
        <v>Will</v>
      </c>
      <c r="I52" s="6" t="str">
        <f>'Grad Raw Data'!H52</f>
        <v>Chute</v>
      </c>
      <c r="J52" s="6">
        <f>'Grad Raw Data'!G52</f>
        <v>0</v>
      </c>
    </row>
    <row r="53" spans="1:10" ht="18" x14ac:dyDescent="0.25">
      <c r="A53" s="6" t="s">
        <v>51</v>
      </c>
      <c r="B53" s="6" t="s">
        <v>52</v>
      </c>
      <c r="C53" s="6">
        <v>1</v>
      </c>
      <c r="D53" s="11">
        <f t="shared" si="0"/>
        <v>23</v>
      </c>
      <c r="E53" s="6" t="s">
        <v>53</v>
      </c>
      <c r="F53" s="6">
        <v>2</v>
      </c>
      <c r="G53" s="8">
        <v>11</v>
      </c>
      <c r="H53" s="6" t="str">
        <f>'Grad Raw Data'!I53</f>
        <v>Max</v>
      </c>
      <c r="I53" s="6" t="str">
        <f>'Grad Raw Data'!H53</f>
        <v>Cinelli</v>
      </c>
      <c r="J53" s="6">
        <f>'Grad Raw Data'!G53</f>
        <v>0</v>
      </c>
    </row>
    <row r="54" spans="1:10" ht="18.75" thickBot="1" x14ac:dyDescent="0.3">
      <c r="A54" s="4" t="s">
        <v>51</v>
      </c>
      <c r="B54" s="4" t="s">
        <v>52</v>
      </c>
      <c r="C54" s="4">
        <v>3</v>
      </c>
      <c r="D54" s="11">
        <f t="shared" si="0"/>
        <v>24</v>
      </c>
      <c r="E54" s="4" t="s">
        <v>53</v>
      </c>
      <c r="F54" s="4">
        <v>2</v>
      </c>
      <c r="G54" s="5">
        <v>12</v>
      </c>
      <c r="H54" s="6" t="str">
        <f>'Grad Raw Data'!I54</f>
        <v>Olivia</v>
      </c>
      <c r="I54" s="6" t="str">
        <f>'Grad Raw Data'!H54</f>
        <v>Cirrone</v>
      </c>
      <c r="J54" s="6">
        <f>'Grad Raw Data'!G54</f>
        <v>0</v>
      </c>
    </row>
    <row r="55" spans="1:10" ht="18.75" thickTop="1" x14ac:dyDescent="0.25">
      <c r="A55" s="6" t="s">
        <v>48</v>
      </c>
      <c r="B55" s="6" t="s">
        <v>55</v>
      </c>
      <c r="C55" s="6">
        <v>101</v>
      </c>
      <c r="D55" s="11">
        <f t="shared" si="0"/>
        <v>25</v>
      </c>
      <c r="E55" s="6" t="s">
        <v>50</v>
      </c>
      <c r="F55" s="6">
        <v>3</v>
      </c>
      <c r="G55" s="8">
        <v>1</v>
      </c>
      <c r="H55" s="6" t="str">
        <f>'Grad Raw Data'!I55</f>
        <v>Chadley</v>
      </c>
      <c r="I55" s="6" t="str">
        <f>'Grad Raw Data'!H55</f>
        <v>Civil</v>
      </c>
      <c r="J55" s="6">
        <f>'Grad Raw Data'!G55</f>
        <v>0</v>
      </c>
    </row>
    <row r="56" spans="1:10" ht="18" x14ac:dyDescent="0.25">
      <c r="A56" s="6" t="s">
        <v>48</v>
      </c>
      <c r="B56" s="6" t="s">
        <v>55</v>
      </c>
      <c r="C56" s="6">
        <v>102</v>
      </c>
      <c r="D56" s="11">
        <f t="shared" si="0"/>
        <v>26</v>
      </c>
      <c r="E56" s="6" t="s">
        <v>50</v>
      </c>
      <c r="F56" s="6">
        <v>3</v>
      </c>
      <c r="G56" s="8">
        <v>2</v>
      </c>
      <c r="H56" s="6" t="str">
        <f>'Grad Raw Data'!I56</f>
        <v>Sam</v>
      </c>
      <c r="I56" s="6" t="str">
        <f>'Grad Raw Data'!H56</f>
        <v>Clark</v>
      </c>
      <c r="J56" s="6">
        <f>'Grad Raw Data'!G56</f>
        <v>0</v>
      </c>
    </row>
    <row r="57" spans="1:10" ht="18" x14ac:dyDescent="0.25">
      <c r="A57" s="6" t="s">
        <v>48</v>
      </c>
      <c r="B57" s="6" t="s">
        <v>55</v>
      </c>
      <c r="C57" s="6">
        <v>103</v>
      </c>
      <c r="D57" s="11">
        <f t="shared" si="0"/>
        <v>27</v>
      </c>
      <c r="E57" s="6" t="s">
        <v>50</v>
      </c>
      <c r="F57" s="6">
        <v>3</v>
      </c>
      <c r="G57" s="8">
        <v>3</v>
      </c>
      <c r="H57" s="6" t="str">
        <f>'Grad Raw Data'!I57</f>
        <v>Thomas</v>
      </c>
      <c r="I57" s="6" t="str">
        <f>'Grad Raw Data'!H57</f>
        <v>Cockrell</v>
      </c>
      <c r="J57" s="6">
        <f>'Grad Raw Data'!G57</f>
        <v>0</v>
      </c>
    </row>
    <row r="58" spans="1:10" ht="18" x14ac:dyDescent="0.25">
      <c r="A58" s="6" t="s">
        <v>48</v>
      </c>
      <c r="B58" s="6" t="s">
        <v>55</v>
      </c>
      <c r="C58" s="6">
        <v>104</v>
      </c>
      <c r="D58" s="11">
        <f t="shared" si="0"/>
        <v>28</v>
      </c>
      <c r="E58" s="6" t="s">
        <v>50</v>
      </c>
      <c r="F58" s="6">
        <v>3</v>
      </c>
      <c r="G58" s="8">
        <v>4</v>
      </c>
      <c r="H58" s="6" t="str">
        <f>'Grad Raw Data'!I58</f>
        <v>Brady</v>
      </c>
      <c r="I58" s="6" t="str">
        <f>'Grad Raw Data'!H58</f>
        <v>Comenos</v>
      </c>
      <c r="J58" s="6">
        <f>'Grad Raw Data'!G58</f>
        <v>0</v>
      </c>
    </row>
    <row r="59" spans="1:10" ht="18" x14ac:dyDescent="0.25">
      <c r="A59" s="6" t="s">
        <v>48</v>
      </c>
      <c r="B59" s="6" t="s">
        <v>55</v>
      </c>
      <c r="C59" s="6">
        <v>105</v>
      </c>
      <c r="D59" s="11">
        <f t="shared" si="0"/>
        <v>29</v>
      </c>
      <c r="E59" s="6" t="s">
        <v>50</v>
      </c>
      <c r="F59" s="6">
        <v>3</v>
      </c>
      <c r="G59" s="8">
        <v>5</v>
      </c>
      <c r="H59" s="6" t="str">
        <f>'Grad Raw Data'!I59</f>
        <v>Landen</v>
      </c>
      <c r="I59" s="6" t="str">
        <f>'Grad Raw Data'!H59</f>
        <v>Connelly</v>
      </c>
      <c r="J59" s="6">
        <f>'Grad Raw Data'!G59</f>
        <v>0</v>
      </c>
    </row>
    <row r="60" spans="1:10" ht="18" x14ac:dyDescent="0.25">
      <c r="A60" s="6" t="s">
        <v>48</v>
      </c>
      <c r="B60" s="6" t="s">
        <v>55</v>
      </c>
      <c r="C60" s="6">
        <v>106</v>
      </c>
      <c r="D60" s="11">
        <f t="shared" si="0"/>
        <v>30</v>
      </c>
      <c r="E60" s="6" t="s">
        <v>50</v>
      </c>
      <c r="F60" s="6">
        <v>3</v>
      </c>
      <c r="G60" s="8">
        <v>6</v>
      </c>
      <c r="H60" s="6" t="str">
        <f>'Grad Raw Data'!I60</f>
        <v>Tim</v>
      </c>
      <c r="I60" s="6" t="str">
        <f>'Grad Raw Data'!H60</f>
        <v>Connolly</v>
      </c>
      <c r="J60" s="6">
        <f>'Grad Raw Data'!G60</f>
        <v>0</v>
      </c>
    </row>
    <row r="61" spans="1:10" ht="18" x14ac:dyDescent="0.25">
      <c r="A61" s="6" t="s">
        <v>48</v>
      </c>
      <c r="B61" s="6" t="s">
        <v>55</v>
      </c>
      <c r="C61" s="6">
        <v>107</v>
      </c>
      <c r="D61" s="11">
        <f t="shared" si="0"/>
        <v>31</v>
      </c>
      <c r="E61" s="6" t="s">
        <v>50</v>
      </c>
      <c r="F61" s="6">
        <v>3</v>
      </c>
      <c r="G61" s="8">
        <v>7</v>
      </c>
      <c r="H61" s="6" t="str">
        <f>'Grad Raw Data'!I61</f>
        <v>Derek</v>
      </c>
      <c r="I61" s="6" t="str">
        <f>'Grad Raw Data'!H61</f>
        <v>Connor</v>
      </c>
      <c r="J61" s="6">
        <f>'Grad Raw Data'!G61</f>
        <v>0</v>
      </c>
    </row>
    <row r="62" spans="1:10" ht="18" x14ac:dyDescent="0.25">
      <c r="A62" s="6" t="s">
        <v>48</v>
      </c>
      <c r="B62" s="6" t="s">
        <v>55</v>
      </c>
      <c r="C62" s="6">
        <v>108</v>
      </c>
      <c r="D62" s="11">
        <f t="shared" si="0"/>
        <v>32</v>
      </c>
      <c r="E62" s="6" t="s">
        <v>50</v>
      </c>
      <c r="F62" s="6">
        <v>3</v>
      </c>
      <c r="G62" s="8">
        <v>8</v>
      </c>
      <c r="H62" s="6" t="str">
        <f>'Grad Raw Data'!I62</f>
        <v>Kayla</v>
      </c>
      <c r="I62" s="6" t="str">
        <f>'Grad Raw Data'!H62</f>
        <v>Cox</v>
      </c>
      <c r="J62" s="6">
        <f>'Grad Raw Data'!G62</f>
        <v>0</v>
      </c>
    </row>
    <row r="63" spans="1:10" ht="18" x14ac:dyDescent="0.25">
      <c r="A63" s="6" t="s">
        <v>48</v>
      </c>
      <c r="B63" s="6" t="s">
        <v>55</v>
      </c>
      <c r="C63" s="6">
        <v>109</v>
      </c>
      <c r="D63" s="11">
        <f t="shared" si="0"/>
        <v>33</v>
      </c>
      <c r="E63" s="6" t="s">
        <v>50</v>
      </c>
      <c r="F63" s="6">
        <v>3</v>
      </c>
      <c r="G63" s="8">
        <v>9</v>
      </c>
      <c r="H63" s="6" t="str">
        <f>'Grad Raw Data'!I63</f>
        <v>John</v>
      </c>
      <c r="I63" s="6" t="str">
        <f>'Grad Raw Data'!H63</f>
        <v>Coyne</v>
      </c>
      <c r="J63" s="6">
        <f>'Grad Raw Data'!G63</f>
        <v>0</v>
      </c>
    </row>
    <row r="64" spans="1:10" ht="18" x14ac:dyDescent="0.25">
      <c r="A64" s="6" t="s">
        <v>48</v>
      </c>
      <c r="B64" s="6" t="s">
        <v>55</v>
      </c>
      <c r="C64" s="6">
        <v>110</v>
      </c>
      <c r="D64" s="11">
        <f t="shared" si="0"/>
        <v>34</v>
      </c>
      <c r="E64" s="6" t="s">
        <v>50</v>
      </c>
      <c r="F64" s="6">
        <v>3</v>
      </c>
      <c r="G64" s="8">
        <v>10</v>
      </c>
      <c r="H64" s="6" t="str">
        <f>'Grad Raw Data'!I64</f>
        <v>Lily</v>
      </c>
      <c r="I64" s="6" t="str">
        <f>'Grad Raw Data'!H64</f>
        <v>Crosby</v>
      </c>
      <c r="J64" s="6">
        <f>'Grad Raw Data'!G64</f>
        <v>0</v>
      </c>
    </row>
    <row r="65" spans="1:10" ht="18" x14ac:dyDescent="0.25">
      <c r="A65" s="6" t="s">
        <v>48</v>
      </c>
      <c r="B65" s="6" t="s">
        <v>55</v>
      </c>
      <c r="C65" s="6">
        <v>111</v>
      </c>
      <c r="D65" s="11">
        <f t="shared" si="0"/>
        <v>35</v>
      </c>
      <c r="E65" s="6" t="s">
        <v>50</v>
      </c>
      <c r="F65" s="6">
        <v>3</v>
      </c>
      <c r="G65" s="8">
        <v>11</v>
      </c>
      <c r="H65" s="6" t="str">
        <f>'Grad Raw Data'!I65</f>
        <v>Molly</v>
      </c>
      <c r="I65" s="6" t="str">
        <f>'Grad Raw Data'!H65</f>
        <v>Crowley</v>
      </c>
      <c r="J65" s="6">
        <f>'Grad Raw Data'!G65</f>
        <v>0</v>
      </c>
    </row>
    <row r="66" spans="1:10" ht="18.75" thickBot="1" x14ac:dyDescent="0.3">
      <c r="A66" s="4" t="s">
        <v>48</v>
      </c>
      <c r="B66" s="4" t="s">
        <v>55</v>
      </c>
      <c r="C66" s="4">
        <v>112</v>
      </c>
      <c r="D66" s="11">
        <f t="shared" si="0"/>
        <v>36</v>
      </c>
      <c r="E66" s="4" t="s">
        <v>50</v>
      </c>
      <c r="F66" s="4">
        <v>3</v>
      </c>
      <c r="G66" s="5">
        <v>12</v>
      </c>
      <c r="H66" s="6" t="str">
        <f>'Grad Raw Data'!I66</f>
        <v>Shea</v>
      </c>
      <c r="I66" s="6" t="str">
        <f>'Grad Raw Data'!H66</f>
        <v>Cullen</v>
      </c>
      <c r="J66" s="6">
        <f>'Grad Raw Data'!G66</f>
        <v>0</v>
      </c>
    </row>
    <row r="67" spans="1:10" ht="18.75" thickTop="1" x14ac:dyDescent="0.25">
      <c r="A67" s="6" t="s">
        <v>51</v>
      </c>
      <c r="B67" s="6" t="s">
        <v>56</v>
      </c>
      <c r="C67" s="6">
        <v>122</v>
      </c>
      <c r="D67" s="11">
        <f t="shared" si="0"/>
        <v>25</v>
      </c>
      <c r="E67" s="6" t="s">
        <v>53</v>
      </c>
      <c r="F67" s="6">
        <v>3</v>
      </c>
      <c r="G67" s="8">
        <v>1</v>
      </c>
      <c r="H67" s="6" t="str">
        <f>'Grad Raw Data'!I67</f>
        <v>Jacklyn</v>
      </c>
      <c r="I67" s="6" t="str">
        <f>'Grad Raw Data'!H67</f>
        <v>Cusolito</v>
      </c>
      <c r="J67" s="6">
        <f>'Grad Raw Data'!G67</f>
        <v>0</v>
      </c>
    </row>
    <row r="68" spans="1:10" ht="18" x14ac:dyDescent="0.25">
      <c r="A68" s="6" t="s">
        <v>51</v>
      </c>
      <c r="B68" s="6" t="s">
        <v>56</v>
      </c>
      <c r="C68" s="6">
        <v>120</v>
      </c>
      <c r="D68" s="11">
        <f t="shared" si="0"/>
        <v>26</v>
      </c>
      <c r="E68" s="6" t="s">
        <v>53</v>
      </c>
      <c r="F68" s="6">
        <v>3</v>
      </c>
      <c r="G68" s="8">
        <v>2</v>
      </c>
      <c r="H68" s="6" t="str">
        <f>'Grad Raw Data'!I68</f>
        <v>Paige</v>
      </c>
      <c r="I68" s="6" t="str">
        <f>'Grad Raw Data'!H68</f>
        <v>Cusolito</v>
      </c>
      <c r="J68" s="6">
        <f>'Grad Raw Data'!G68</f>
        <v>0</v>
      </c>
    </row>
    <row r="69" spans="1:10" ht="18" x14ac:dyDescent="0.25">
      <c r="A69" s="6" t="s">
        <v>51</v>
      </c>
      <c r="B69" s="6" t="s">
        <v>56</v>
      </c>
      <c r="C69" s="6">
        <v>118</v>
      </c>
      <c r="D69" s="11">
        <f t="shared" si="0"/>
        <v>27</v>
      </c>
      <c r="E69" s="6" t="s">
        <v>53</v>
      </c>
      <c r="F69" s="6">
        <v>3</v>
      </c>
      <c r="G69" s="8">
        <v>3</v>
      </c>
      <c r="H69" s="6" t="str">
        <f>'Grad Raw Data'!I69</f>
        <v>Walick</v>
      </c>
      <c r="I69" s="6" t="str">
        <f>'Grad Raw Data'!H69</f>
        <v>Da Silva</v>
      </c>
      <c r="J69" s="6">
        <f>'Grad Raw Data'!G69</f>
        <v>0</v>
      </c>
    </row>
    <row r="70" spans="1:10" ht="18" x14ac:dyDescent="0.25">
      <c r="A70" s="6" t="s">
        <v>51</v>
      </c>
      <c r="B70" s="6" t="s">
        <v>56</v>
      </c>
      <c r="C70" s="6">
        <v>116</v>
      </c>
      <c r="D70" s="11">
        <f t="shared" si="0"/>
        <v>28</v>
      </c>
      <c r="E70" s="6" t="s">
        <v>53</v>
      </c>
      <c r="F70" s="6">
        <v>3</v>
      </c>
      <c r="G70" s="8">
        <v>4</v>
      </c>
      <c r="H70" s="6" t="str">
        <f>'Grad Raw Data'!I70</f>
        <v>Cooper</v>
      </c>
      <c r="I70" s="6" t="str">
        <f>'Grad Raw Data'!H70</f>
        <v>Dean</v>
      </c>
      <c r="J70" s="6">
        <f>'Grad Raw Data'!G70</f>
        <v>0</v>
      </c>
    </row>
    <row r="71" spans="1:10" ht="18" x14ac:dyDescent="0.25">
      <c r="A71" s="6" t="s">
        <v>51</v>
      </c>
      <c r="B71" s="6" t="s">
        <v>56</v>
      </c>
      <c r="C71" s="6">
        <v>114</v>
      </c>
      <c r="D71" s="11">
        <f t="shared" si="0"/>
        <v>29</v>
      </c>
      <c r="E71" s="6" t="s">
        <v>53</v>
      </c>
      <c r="F71" s="6">
        <v>3</v>
      </c>
      <c r="G71" s="8">
        <v>5</v>
      </c>
      <c r="H71" s="6" t="str">
        <f>'Grad Raw Data'!I71</f>
        <v>Happiness</v>
      </c>
      <c r="I71" s="6" t="str">
        <f>'Grad Raw Data'!H71</f>
        <v>Deji</v>
      </c>
      <c r="J71" s="6">
        <f>'Grad Raw Data'!G71</f>
        <v>0</v>
      </c>
    </row>
    <row r="72" spans="1:10" ht="18" x14ac:dyDescent="0.25">
      <c r="A72" s="6" t="s">
        <v>51</v>
      </c>
      <c r="B72" s="6" t="s">
        <v>56</v>
      </c>
      <c r="C72" s="6">
        <v>112</v>
      </c>
      <c r="D72" s="11">
        <f t="shared" ref="D72:D135" si="1">(F72-1)*12+G72</f>
        <v>30</v>
      </c>
      <c r="E72" s="6" t="s">
        <v>53</v>
      </c>
      <c r="F72" s="6">
        <v>3</v>
      </c>
      <c r="G72" s="8">
        <v>6</v>
      </c>
      <c r="H72" s="6" t="str">
        <f>'Grad Raw Data'!I72</f>
        <v>Jack</v>
      </c>
      <c r="I72" s="6" t="str">
        <f>'Grad Raw Data'!H72</f>
        <v>Denmark</v>
      </c>
      <c r="J72" s="6">
        <f>'Grad Raw Data'!G72</f>
        <v>0</v>
      </c>
    </row>
    <row r="73" spans="1:10" ht="18" x14ac:dyDescent="0.25">
      <c r="A73" s="6" t="s">
        <v>51</v>
      </c>
      <c r="B73" s="6" t="s">
        <v>56</v>
      </c>
      <c r="C73" s="6">
        <v>110</v>
      </c>
      <c r="D73" s="11">
        <f t="shared" si="1"/>
        <v>31</v>
      </c>
      <c r="E73" s="6" t="s">
        <v>53</v>
      </c>
      <c r="F73" s="6">
        <v>3</v>
      </c>
      <c r="G73" s="8">
        <v>7</v>
      </c>
      <c r="H73" s="6" t="str">
        <f>'Grad Raw Data'!I73</f>
        <v>Julie</v>
      </c>
      <c r="I73" s="6" t="str">
        <f>'Grad Raw Data'!H73</f>
        <v>DiDonato</v>
      </c>
      <c r="J73" s="6">
        <f>'Grad Raw Data'!G73</f>
        <v>0</v>
      </c>
    </row>
    <row r="74" spans="1:10" ht="18" x14ac:dyDescent="0.25">
      <c r="A74" s="6" t="s">
        <v>51</v>
      </c>
      <c r="B74" s="6" t="s">
        <v>56</v>
      </c>
      <c r="C74" s="6">
        <v>108</v>
      </c>
      <c r="D74" s="11">
        <f t="shared" si="1"/>
        <v>32</v>
      </c>
      <c r="E74" s="6" t="s">
        <v>53</v>
      </c>
      <c r="F74" s="6">
        <v>3</v>
      </c>
      <c r="G74" s="8">
        <v>8</v>
      </c>
      <c r="H74" s="6" t="str">
        <f>'Grad Raw Data'!I74</f>
        <v>Antonio</v>
      </c>
      <c r="I74" s="6" t="str">
        <f>'Grad Raw Data'!H74</f>
        <v>DiSerio</v>
      </c>
      <c r="J74" s="6">
        <f>'Grad Raw Data'!G74</f>
        <v>0</v>
      </c>
    </row>
    <row r="75" spans="1:10" ht="18" x14ac:dyDescent="0.25">
      <c r="A75" s="6" t="s">
        <v>51</v>
      </c>
      <c r="B75" s="6" t="s">
        <v>56</v>
      </c>
      <c r="C75" s="6">
        <v>106</v>
      </c>
      <c r="D75" s="11">
        <f t="shared" si="1"/>
        <v>33</v>
      </c>
      <c r="E75" s="6" t="s">
        <v>53</v>
      </c>
      <c r="F75" s="6">
        <v>3</v>
      </c>
      <c r="G75" s="8">
        <v>9</v>
      </c>
      <c r="H75" s="6" t="str">
        <f>'Grad Raw Data'!I75</f>
        <v>Dante</v>
      </c>
      <c r="I75" s="6" t="str">
        <f>'Grad Raw Data'!H75</f>
        <v>DiSerio</v>
      </c>
      <c r="J75" s="6">
        <f>'Grad Raw Data'!G75</f>
        <v>0</v>
      </c>
    </row>
    <row r="76" spans="1:10" ht="18" x14ac:dyDescent="0.25">
      <c r="A76" s="6" t="s">
        <v>51</v>
      </c>
      <c r="B76" s="6" t="s">
        <v>56</v>
      </c>
      <c r="C76" s="6">
        <v>104</v>
      </c>
      <c r="D76" s="11">
        <f t="shared" si="1"/>
        <v>34</v>
      </c>
      <c r="E76" s="6" t="s">
        <v>53</v>
      </c>
      <c r="F76" s="6">
        <v>3</v>
      </c>
      <c r="G76" s="8">
        <v>10</v>
      </c>
      <c r="H76" s="6" t="str">
        <f>'Grad Raw Data'!I76</f>
        <v>Caitlin</v>
      </c>
      <c r="I76" s="6" t="str">
        <f>'Grad Raw Data'!H76</f>
        <v>Donaghey</v>
      </c>
      <c r="J76" s="6">
        <f>'Grad Raw Data'!G76</f>
        <v>0</v>
      </c>
    </row>
    <row r="77" spans="1:10" ht="18" x14ac:dyDescent="0.25">
      <c r="A77" s="6" t="s">
        <v>51</v>
      </c>
      <c r="B77" s="6" t="s">
        <v>56</v>
      </c>
      <c r="C77" s="6">
        <v>102</v>
      </c>
      <c r="D77" s="11">
        <f t="shared" si="1"/>
        <v>35</v>
      </c>
      <c r="E77" s="6" t="s">
        <v>53</v>
      </c>
      <c r="F77" s="6">
        <v>3</v>
      </c>
      <c r="G77" s="8">
        <v>11</v>
      </c>
      <c r="H77" s="6" t="str">
        <f>'Grad Raw Data'!I77</f>
        <v>Quinn</v>
      </c>
      <c r="I77" s="6" t="str">
        <f>'Grad Raw Data'!H77</f>
        <v>Donahue</v>
      </c>
      <c r="J77" s="6">
        <f>'Grad Raw Data'!G77</f>
        <v>0</v>
      </c>
    </row>
    <row r="78" spans="1:10" ht="18.75" thickBot="1" x14ac:dyDescent="0.3">
      <c r="A78" s="4" t="s">
        <v>51</v>
      </c>
      <c r="B78" s="4" t="s">
        <v>56</v>
      </c>
      <c r="C78" s="4">
        <v>101</v>
      </c>
      <c r="D78" s="11">
        <f t="shared" si="1"/>
        <v>36</v>
      </c>
      <c r="E78" s="4" t="s">
        <v>53</v>
      </c>
      <c r="F78" s="4">
        <v>3</v>
      </c>
      <c r="G78" s="5">
        <v>12</v>
      </c>
      <c r="H78" s="6" t="str">
        <f>'Grad Raw Data'!I78</f>
        <v>Alana</v>
      </c>
      <c r="I78" s="6" t="str">
        <f>'Grad Raw Data'!H78</f>
        <v>Doroquez</v>
      </c>
      <c r="J78" s="6">
        <f>'Grad Raw Data'!G78</f>
        <v>0</v>
      </c>
    </row>
    <row r="79" spans="1:10" ht="18.75" thickTop="1" x14ac:dyDescent="0.25">
      <c r="A79" s="6" t="s">
        <v>48</v>
      </c>
      <c r="B79" s="6" t="s">
        <v>57</v>
      </c>
      <c r="C79" s="6">
        <v>101</v>
      </c>
      <c r="D79" s="11">
        <f t="shared" si="1"/>
        <v>37</v>
      </c>
      <c r="E79" s="6" t="s">
        <v>50</v>
      </c>
      <c r="F79" s="6">
        <v>4</v>
      </c>
      <c r="G79" s="8">
        <v>1</v>
      </c>
      <c r="H79" s="6" t="str">
        <f>'Grad Raw Data'!I79</f>
        <v>Cassidy</v>
      </c>
      <c r="I79" s="6" t="str">
        <f>'Grad Raw Data'!H79</f>
        <v>Duca</v>
      </c>
      <c r="J79" s="6">
        <f>'Grad Raw Data'!G79</f>
        <v>0</v>
      </c>
    </row>
    <row r="80" spans="1:10" ht="18" x14ac:dyDescent="0.25">
      <c r="A80" s="6" t="s">
        <v>48</v>
      </c>
      <c r="B80" s="6" t="s">
        <v>57</v>
      </c>
      <c r="C80" s="6">
        <v>102</v>
      </c>
      <c r="D80" s="11">
        <f t="shared" si="1"/>
        <v>38</v>
      </c>
      <c r="E80" s="6" t="s">
        <v>50</v>
      </c>
      <c r="F80" s="6">
        <v>4</v>
      </c>
      <c r="G80" s="8">
        <v>2</v>
      </c>
      <c r="H80" s="6" t="str">
        <f>'Grad Raw Data'!I80</f>
        <v>Kyle</v>
      </c>
      <c r="I80" s="6" t="str">
        <f>'Grad Raw Data'!H80</f>
        <v>DuRoss</v>
      </c>
      <c r="J80" s="6">
        <f>'Grad Raw Data'!G80</f>
        <v>0</v>
      </c>
    </row>
    <row r="81" spans="1:10" ht="18" x14ac:dyDescent="0.25">
      <c r="A81" s="6" t="s">
        <v>48</v>
      </c>
      <c r="B81" s="6" t="s">
        <v>57</v>
      </c>
      <c r="C81" s="6">
        <v>103</v>
      </c>
      <c r="D81" s="11">
        <f t="shared" si="1"/>
        <v>39</v>
      </c>
      <c r="E81" s="6" t="s">
        <v>50</v>
      </c>
      <c r="F81" s="6">
        <v>4</v>
      </c>
      <c r="G81" s="8">
        <v>3</v>
      </c>
      <c r="H81" s="6" t="str">
        <f>'Grad Raw Data'!I81</f>
        <v>Sean</v>
      </c>
      <c r="I81" s="6" t="str">
        <f>'Grad Raw Data'!H81</f>
        <v>DuRoss</v>
      </c>
      <c r="J81" s="6">
        <f>'Grad Raw Data'!G81</f>
        <v>0</v>
      </c>
    </row>
    <row r="82" spans="1:10" ht="18" x14ac:dyDescent="0.25">
      <c r="A82" s="6" t="s">
        <v>48</v>
      </c>
      <c r="B82" s="6" t="s">
        <v>57</v>
      </c>
      <c r="C82" s="6">
        <v>104</v>
      </c>
      <c r="D82" s="11">
        <f t="shared" si="1"/>
        <v>40</v>
      </c>
      <c r="E82" s="6" t="s">
        <v>50</v>
      </c>
      <c r="F82" s="6">
        <v>4</v>
      </c>
      <c r="G82" s="8">
        <v>4</v>
      </c>
      <c r="H82" s="6" t="str">
        <f>'Grad Raw Data'!I82</f>
        <v>William</v>
      </c>
      <c r="I82" s="6" t="str">
        <f>'Grad Raw Data'!H82</f>
        <v>Dyment</v>
      </c>
      <c r="J82" s="6">
        <f>'Grad Raw Data'!G82</f>
        <v>0</v>
      </c>
    </row>
    <row r="83" spans="1:10" ht="18" x14ac:dyDescent="0.25">
      <c r="A83" s="6" t="s">
        <v>48</v>
      </c>
      <c r="B83" s="6" t="s">
        <v>57</v>
      </c>
      <c r="C83" s="6">
        <v>105</v>
      </c>
      <c r="D83" s="11">
        <f t="shared" si="1"/>
        <v>41</v>
      </c>
      <c r="E83" s="6" t="s">
        <v>50</v>
      </c>
      <c r="F83" s="6">
        <v>4</v>
      </c>
      <c r="G83" s="8">
        <v>5</v>
      </c>
      <c r="H83" s="6" t="str">
        <f>'Grad Raw Data'!I83</f>
        <v>Finn</v>
      </c>
      <c r="I83" s="6" t="str">
        <f>'Grad Raw Data'!H83</f>
        <v>Ellis</v>
      </c>
      <c r="J83" s="6">
        <f>'Grad Raw Data'!G83</f>
        <v>0</v>
      </c>
    </row>
    <row r="84" spans="1:10" ht="18" x14ac:dyDescent="0.25">
      <c r="A84" s="6" t="s">
        <v>48</v>
      </c>
      <c r="B84" s="6" t="s">
        <v>57</v>
      </c>
      <c r="C84" s="6">
        <v>106</v>
      </c>
      <c r="D84" s="11">
        <f t="shared" si="1"/>
        <v>42</v>
      </c>
      <c r="E84" s="6" t="s">
        <v>50</v>
      </c>
      <c r="F84" s="6">
        <v>4</v>
      </c>
      <c r="G84" s="8">
        <v>6</v>
      </c>
      <c r="H84" s="6" t="str">
        <f>'Grad Raw Data'!I84</f>
        <v>Levi</v>
      </c>
      <c r="I84" s="6" t="str">
        <f>'Grad Raw Data'!H84</f>
        <v>Emmanuel</v>
      </c>
      <c r="J84" s="6">
        <f>'Grad Raw Data'!G84</f>
        <v>0</v>
      </c>
    </row>
    <row r="85" spans="1:10" ht="18" x14ac:dyDescent="0.25">
      <c r="A85" s="6" t="s">
        <v>48</v>
      </c>
      <c r="B85" s="6" t="s">
        <v>57</v>
      </c>
      <c r="C85" s="6">
        <v>107</v>
      </c>
      <c r="D85" s="11">
        <f t="shared" si="1"/>
        <v>43</v>
      </c>
      <c r="E85" s="6" t="s">
        <v>50</v>
      </c>
      <c r="F85" s="6">
        <v>4</v>
      </c>
      <c r="G85" s="8">
        <v>7</v>
      </c>
      <c r="H85" s="6" t="str">
        <f>'Grad Raw Data'!I85</f>
        <v>Kamryn</v>
      </c>
      <c r="I85" s="6" t="str">
        <f>'Grad Raw Data'!H85</f>
        <v>Encarnacao</v>
      </c>
      <c r="J85" s="6">
        <f>'Grad Raw Data'!G85</f>
        <v>0</v>
      </c>
    </row>
    <row r="86" spans="1:10" ht="18" x14ac:dyDescent="0.25">
      <c r="A86" s="6" t="s">
        <v>48</v>
      </c>
      <c r="B86" s="6" t="s">
        <v>57</v>
      </c>
      <c r="C86" s="6">
        <v>108</v>
      </c>
      <c r="D86" s="11">
        <f t="shared" si="1"/>
        <v>44</v>
      </c>
      <c r="E86" s="6" t="s">
        <v>50</v>
      </c>
      <c r="F86" s="6">
        <v>4</v>
      </c>
      <c r="G86" s="8">
        <v>8</v>
      </c>
      <c r="H86" s="6" t="str">
        <f>'Grad Raw Data'!I86</f>
        <v>Samuel</v>
      </c>
      <c r="I86" s="6" t="str">
        <f>'Grad Raw Data'!H86</f>
        <v>Ewald</v>
      </c>
      <c r="J86" s="6">
        <f>'Grad Raw Data'!G86</f>
        <v>0</v>
      </c>
    </row>
    <row r="87" spans="1:10" ht="18" x14ac:dyDescent="0.25">
      <c r="A87" s="6" t="s">
        <v>48</v>
      </c>
      <c r="B87" s="6" t="s">
        <v>57</v>
      </c>
      <c r="C87" s="6">
        <v>109</v>
      </c>
      <c r="D87" s="11">
        <f t="shared" si="1"/>
        <v>45</v>
      </c>
      <c r="E87" s="6" t="s">
        <v>50</v>
      </c>
      <c r="F87" s="6">
        <v>4</v>
      </c>
      <c r="G87" s="8">
        <v>9</v>
      </c>
      <c r="H87" s="6" t="str">
        <f>'Grad Raw Data'!I87</f>
        <v>Kaylie</v>
      </c>
      <c r="I87" s="6" t="str">
        <f>'Grad Raw Data'!H87</f>
        <v>Fantasia</v>
      </c>
      <c r="J87" s="6">
        <f>'Grad Raw Data'!G87</f>
        <v>0</v>
      </c>
    </row>
    <row r="88" spans="1:10" ht="18" x14ac:dyDescent="0.25">
      <c r="A88" s="6" t="s">
        <v>48</v>
      </c>
      <c r="B88" s="6" t="s">
        <v>57</v>
      </c>
      <c r="C88" s="6">
        <v>110</v>
      </c>
      <c r="D88" s="11">
        <f t="shared" si="1"/>
        <v>46</v>
      </c>
      <c r="E88" s="6" t="s">
        <v>50</v>
      </c>
      <c r="F88" s="6">
        <v>4</v>
      </c>
      <c r="G88" s="8">
        <v>10</v>
      </c>
      <c r="H88" s="6" t="str">
        <f>'Grad Raw Data'!I88</f>
        <v>Vince</v>
      </c>
      <c r="I88" s="6" t="str">
        <f>'Grad Raw Data'!H88</f>
        <v>Farnham</v>
      </c>
      <c r="J88" s="6">
        <f>'Grad Raw Data'!G88</f>
        <v>0</v>
      </c>
    </row>
    <row r="89" spans="1:10" ht="18" x14ac:dyDescent="0.25">
      <c r="A89" s="6" t="s">
        <v>48</v>
      </c>
      <c r="B89" s="6" t="s">
        <v>57</v>
      </c>
      <c r="C89" s="6">
        <v>111</v>
      </c>
      <c r="D89" s="11">
        <f t="shared" si="1"/>
        <v>47</v>
      </c>
      <c r="E89" s="6" t="s">
        <v>50</v>
      </c>
      <c r="F89" s="6">
        <v>4</v>
      </c>
      <c r="G89" s="8">
        <v>11</v>
      </c>
      <c r="H89" s="6" t="str">
        <f>'Grad Raw Data'!I89</f>
        <v>Colby</v>
      </c>
      <c r="I89" s="6" t="str">
        <f>'Grad Raw Data'!H89</f>
        <v>Farris</v>
      </c>
      <c r="J89" s="6">
        <f>'Grad Raw Data'!G89</f>
        <v>0</v>
      </c>
    </row>
    <row r="90" spans="1:10" ht="18.75" thickBot="1" x14ac:dyDescent="0.3">
      <c r="A90" s="4" t="s">
        <v>48</v>
      </c>
      <c r="B90" s="4" t="s">
        <v>57</v>
      </c>
      <c r="C90" s="4">
        <v>112</v>
      </c>
      <c r="D90" s="11">
        <f t="shared" si="1"/>
        <v>48</v>
      </c>
      <c r="E90" s="4" t="s">
        <v>50</v>
      </c>
      <c r="F90" s="4">
        <v>4</v>
      </c>
      <c r="G90" s="5">
        <v>12</v>
      </c>
      <c r="H90" s="6" t="str">
        <f>'Grad Raw Data'!I90</f>
        <v>Bryan</v>
      </c>
      <c r="I90" s="6" t="str">
        <f>'Grad Raw Data'!H90</f>
        <v>Fernandez</v>
      </c>
      <c r="J90" s="6">
        <f>'Grad Raw Data'!G90</f>
        <v>0</v>
      </c>
    </row>
    <row r="91" spans="1:10" ht="18.75" thickTop="1" x14ac:dyDescent="0.25">
      <c r="A91" s="6" t="s">
        <v>51</v>
      </c>
      <c r="B91" s="6" t="s">
        <v>56</v>
      </c>
      <c r="C91" s="6">
        <v>103</v>
      </c>
      <c r="D91" s="11">
        <f t="shared" si="1"/>
        <v>37</v>
      </c>
      <c r="E91" s="6" t="s">
        <v>53</v>
      </c>
      <c r="F91" s="6">
        <v>4</v>
      </c>
      <c r="G91" s="8">
        <v>1</v>
      </c>
      <c r="H91" s="6" t="str">
        <f>'Grad Raw Data'!I91</f>
        <v>Thomas</v>
      </c>
      <c r="I91" s="6" t="str">
        <f>'Grad Raw Data'!H91</f>
        <v>Fiore</v>
      </c>
      <c r="J91" s="6">
        <f>'Grad Raw Data'!G91</f>
        <v>0</v>
      </c>
    </row>
    <row r="92" spans="1:10" ht="18" x14ac:dyDescent="0.25">
      <c r="A92" s="6" t="s">
        <v>51</v>
      </c>
      <c r="B92" s="6" t="s">
        <v>56</v>
      </c>
      <c r="C92" s="6">
        <v>105</v>
      </c>
      <c r="D92" s="11">
        <f t="shared" si="1"/>
        <v>38</v>
      </c>
      <c r="E92" s="6" t="s">
        <v>53</v>
      </c>
      <c r="F92" s="6">
        <v>4</v>
      </c>
      <c r="G92" s="8">
        <v>2</v>
      </c>
      <c r="H92" s="6" t="str">
        <f>'Grad Raw Data'!I92</f>
        <v>Finn</v>
      </c>
      <c r="I92" s="6" t="str">
        <f>'Grad Raw Data'!H92</f>
        <v>Flaherty</v>
      </c>
      <c r="J92" s="6">
        <f>'Grad Raw Data'!G92</f>
        <v>0</v>
      </c>
    </row>
    <row r="93" spans="1:10" ht="18" x14ac:dyDescent="0.25">
      <c r="A93" s="6" t="s">
        <v>51</v>
      </c>
      <c r="B93" s="6" t="s">
        <v>56</v>
      </c>
      <c r="C93" s="6">
        <v>107</v>
      </c>
      <c r="D93" s="11">
        <f t="shared" si="1"/>
        <v>39</v>
      </c>
      <c r="E93" s="6" t="s">
        <v>53</v>
      </c>
      <c r="F93" s="6">
        <v>4</v>
      </c>
      <c r="G93" s="8">
        <v>3</v>
      </c>
      <c r="H93" s="6" t="str">
        <f>'Grad Raw Data'!I93</f>
        <v>Matthew</v>
      </c>
      <c r="I93" s="6" t="str">
        <f>'Grad Raw Data'!H93</f>
        <v>Forse</v>
      </c>
      <c r="J93" s="6">
        <f>'Grad Raw Data'!G93</f>
        <v>0</v>
      </c>
    </row>
    <row r="94" spans="1:10" ht="18" x14ac:dyDescent="0.25">
      <c r="A94" s="6" t="s">
        <v>51</v>
      </c>
      <c r="B94" s="6" t="s">
        <v>56</v>
      </c>
      <c r="C94" s="6">
        <v>109</v>
      </c>
      <c r="D94" s="11">
        <f t="shared" si="1"/>
        <v>40</v>
      </c>
      <c r="E94" s="6" t="s">
        <v>53</v>
      </c>
      <c r="F94" s="6">
        <v>4</v>
      </c>
      <c r="G94" s="8">
        <v>4</v>
      </c>
      <c r="H94" s="6" t="str">
        <f>'Grad Raw Data'!I94</f>
        <v>Jacob</v>
      </c>
      <c r="I94" s="6" t="str">
        <f>'Grad Raw Data'!H94</f>
        <v>Frank</v>
      </c>
      <c r="J94" s="6">
        <f>'Grad Raw Data'!G94</f>
        <v>0</v>
      </c>
    </row>
    <row r="95" spans="1:10" ht="18" x14ac:dyDescent="0.25">
      <c r="A95" s="6" t="s">
        <v>51</v>
      </c>
      <c r="B95" s="6" t="s">
        <v>56</v>
      </c>
      <c r="C95" s="6">
        <v>111</v>
      </c>
      <c r="D95" s="11">
        <f t="shared" si="1"/>
        <v>41</v>
      </c>
      <c r="E95" s="6" t="s">
        <v>53</v>
      </c>
      <c r="F95" s="6">
        <v>4</v>
      </c>
      <c r="G95" s="8">
        <v>5</v>
      </c>
      <c r="H95" s="6" t="str">
        <f>'Grad Raw Data'!I95</f>
        <v>Anthony</v>
      </c>
      <c r="I95" s="6" t="str">
        <f>'Grad Raw Data'!H95</f>
        <v>Fratto</v>
      </c>
      <c r="J95" s="6">
        <f>'Grad Raw Data'!G95</f>
        <v>0</v>
      </c>
    </row>
    <row r="96" spans="1:10" ht="18" x14ac:dyDescent="0.25">
      <c r="A96" s="6" t="s">
        <v>51</v>
      </c>
      <c r="B96" s="6" t="s">
        <v>56</v>
      </c>
      <c r="C96" s="6">
        <v>113</v>
      </c>
      <c r="D96" s="11">
        <f t="shared" si="1"/>
        <v>42</v>
      </c>
      <c r="E96" s="6" t="s">
        <v>53</v>
      </c>
      <c r="F96" s="6">
        <v>4</v>
      </c>
      <c r="G96" s="8">
        <v>6</v>
      </c>
      <c r="H96" s="6" t="str">
        <f>'Grad Raw Data'!I96</f>
        <v>Gavin</v>
      </c>
      <c r="I96" s="6" t="str">
        <f>'Grad Raw Data'!H96</f>
        <v>Fucarile</v>
      </c>
      <c r="J96" s="6">
        <f>'Grad Raw Data'!G96</f>
        <v>0</v>
      </c>
    </row>
    <row r="97" spans="1:10" ht="18" x14ac:dyDescent="0.25">
      <c r="A97" s="6" t="s">
        <v>51</v>
      </c>
      <c r="B97" s="6" t="s">
        <v>56</v>
      </c>
      <c r="C97" s="6">
        <v>115</v>
      </c>
      <c r="D97" s="11">
        <f t="shared" si="1"/>
        <v>43</v>
      </c>
      <c r="E97" s="6" t="s">
        <v>53</v>
      </c>
      <c r="F97" s="6">
        <v>4</v>
      </c>
      <c r="G97" s="8">
        <v>7</v>
      </c>
      <c r="H97" s="6" t="str">
        <f>'Grad Raw Data'!I97</f>
        <v>Cole</v>
      </c>
      <c r="I97" s="6" t="str">
        <f>'Grad Raw Data'!H97</f>
        <v>Fusco</v>
      </c>
      <c r="J97" s="6">
        <f>'Grad Raw Data'!G97</f>
        <v>0</v>
      </c>
    </row>
    <row r="98" spans="1:10" ht="18" x14ac:dyDescent="0.25">
      <c r="A98" s="6" t="s">
        <v>51</v>
      </c>
      <c r="B98" s="6" t="s">
        <v>56</v>
      </c>
      <c r="C98" s="6">
        <v>117</v>
      </c>
      <c r="D98" s="11">
        <f t="shared" si="1"/>
        <v>44</v>
      </c>
      <c r="E98" s="6" t="s">
        <v>53</v>
      </c>
      <c r="F98" s="6">
        <v>4</v>
      </c>
      <c r="G98" s="8">
        <v>8</v>
      </c>
      <c r="H98" s="6" t="str">
        <f>'Grad Raw Data'!I98</f>
        <v>Paul</v>
      </c>
      <c r="I98" s="6" t="str">
        <f>'Grad Raw Data'!H98</f>
        <v>Gaeta</v>
      </c>
      <c r="J98" s="6">
        <f>'Grad Raw Data'!G98</f>
        <v>0</v>
      </c>
    </row>
    <row r="99" spans="1:10" ht="18" x14ac:dyDescent="0.25">
      <c r="A99" s="6" t="s">
        <v>51</v>
      </c>
      <c r="B99" s="6" t="s">
        <v>56</v>
      </c>
      <c r="C99" s="6">
        <v>119</v>
      </c>
      <c r="D99" s="11">
        <f t="shared" si="1"/>
        <v>45</v>
      </c>
      <c r="E99" s="6" t="s">
        <v>53</v>
      </c>
      <c r="F99" s="6">
        <v>4</v>
      </c>
      <c r="G99" s="8">
        <v>9</v>
      </c>
      <c r="H99" s="6" t="str">
        <f>'Grad Raw Data'!I99</f>
        <v>Lucas</v>
      </c>
      <c r="I99" s="6" t="str">
        <f>'Grad Raw Data'!H99</f>
        <v>Gager</v>
      </c>
      <c r="J99" s="6">
        <f>'Grad Raw Data'!G99</f>
        <v>0</v>
      </c>
    </row>
    <row r="100" spans="1:10" ht="18" x14ac:dyDescent="0.25">
      <c r="A100" s="6" t="s">
        <v>51</v>
      </c>
      <c r="B100" s="6" t="s">
        <v>56</v>
      </c>
      <c r="C100" s="6">
        <v>121</v>
      </c>
      <c r="D100" s="11">
        <f t="shared" si="1"/>
        <v>46</v>
      </c>
      <c r="E100" s="6" t="s">
        <v>53</v>
      </c>
      <c r="F100" s="6">
        <v>4</v>
      </c>
      <c r="G100" s="8">
        <v>10</v>
      </c>
      <c r="H100" s="6" t="str">
        <f>'Grad Raw Data'!I100</f>
        <v>Nevaeh</v>
      </c>
      <c r="I100" s="6" t="str">
        <f>'Grad Raw Data'!H100</f>
        <v>Galindo</v>
      </c>
      <c r="J100" s="6">
        <f>'Grad Raw Data'!G100</f>
        <v>0</v>
      </c>
    </row>
    <row r="101" spans="1:10" ht="18" x14ac:dyDescent="0.25">
      <c r="A101" s="6" t="s">
        <v>51</v>
      </c>
      <c r="B101" s="6" t="s">
        <v>56</v>
      </c>
      <c r="C101" s="6">
        <v>1</v>
      </c>
      <c r="D101" s="11">
        <f t="shared" si="1"/>
        <v>47</v>
      </c>
      <c r="E101" s="6" t="s">
        <v>53</v>
      </c>
      <c r="F101" s="6">
        <v>4</v>
      </c>
      <c r="G101" s="8">
        <v>11</v>
      </c>
      <c r="H101" s="6" t="str">
        <f>'Grad Raw Data'!I101</f>
        <v>Joseph</v>
      </c>
      <c r="I101" s="6" t="str">
        <f>'Grad Raw Data'!H101</f>
        <v>Gallagher</v>
      </c>
      <c r="J101" s="6">
        <f>'Grad Raw Data'!G101</f>
        <v>0</v>
      </c>
    </row>
    <row r="102" spans="1:10" ht="18.75" thickBot="1" x14ac:dyDescent="0.3">
      <c r="A102" s="4" t="s">
        <v>51</v>
      </c>
      <c r="B102" s="4" t="s">
        <v>56</v>
      </c>
      <c r="C102" s="4">
        <v>3</v>
      </c>
      <c r="D102" s="11">
        <f t="shared" si="1"/>
        <v>48</v>
      </c>
      <c r="E102" s="4" t="s">
        <v>53</v>
      </c>
      <c r="F102" s="4">
        <v>4</v>
      </c>
      <c r="G102" s="5">
        <v>12</v>
      </c>
      <c r="H102" s="6" t="str">
        <f>'Grad Raw Data'!I102</f>
        <v>Brendan</v>
      </c>
      <c r="I102" s="6" t="str">
        <f>'Grad Raw Data'!H102</f>
        <v>Gauvin</v>
      </c>
      <c r="J102" s="6">
        <f>'Grad Raw Data'!G102</f>
        <v>0</v>
      </c>
    </row>
    <row r="103" spans="1:10" ht="18.75" thickTop="1" x14ac:dyDescent="0.25">
      <c r="A103" s="6" t="s">
        <v>48</v>
      </c>
      <c r="B103" s="6" t="s">
        <v>58</v>
      </c>
      <c r="C103" s="6">
        <v>101</v>
      </c>
      <c r="D103" s="11">
        <f t="shared" si="1"/>
        <v>49</v>
      </c>
      <c r="E103" s="6" t="s">
        <v>50</v>
      </c>
      <c r="F103" s="6">
        <f>F79+1</f>
        <v>5</v>
      </c>
      <c r="G103" s="8">
        <v>1</v>
      </c>
      <c r="H103" s="6" t="str">
        <f>'Grad Raw Data'!I103</f>
        <v>Bereket</v>
      </c>
      <c r="I103" s="6" t="str">
        <f>'Grad Raw Data'!H103</f>
        <v>Gebeyaw</v>
      </c>
      <c r="J103" s="6">
        <f>'Grad Raw Data'!G103</f>
        <v>0</v>
      </c>
    </row>
    <row r="104" spans="1:10" ht="18" x14ac:dyDescent="0.25">
      <c r="A104" s="6" t="s">
        <v>48</v>
      </c>
      <c r="B104" s="6" t="s">
        <v>58</v>
      </c>
      <c r="C104" s="6">
        <v>102</v>
      </c>
      <c r="D104" s="11">
        <f t="shared" si="1"/>
        <v>50</v>
      </c>
      <c r="E104" s="6" t="s">
        <v>50</v>
      </c>
      <c r="F104" s="6">
        <f t="shared" ref="F104:F167" si="2">F80+1</f>
        <v>5</v>
      </c>
      <c r="G104" s="8">
        <v>2</v>
      </c>
      <c r="H104" s="6" t="str">
        <f>'Grad Raw Data'!I104</f>
        <v>Alix</v>
      </c>
      <c r="I104" s="6" t="str">
        <f>'Grad Raw Data'!H104</f>
        <v>Gellot</v>
      </c>
      <c r="J104" s="6">
        <f>'Grad Raw Data'!G104</f>
        <v>0</v>
      </c>
    </row>
    <row r="105" spans="1:10" ht="18" x14ac:dyDescent="0.25">
      <c r="A105" s="6" t="s">
        <v>48</v>
      </c>
      <c r="B105" s="6" t="s">
        <v>58</v>
      </c>
      <c r="C105" s="6">
        <v>103</v>
      </c>
      <c r="D105" s="11">
        <f t="shared" si="1"/>
        <v>51</v>
      </c>
      <c r="E105" s="6" t="s">
        <v>50</v>
      </c>
      <c r="F105" s="6">
        <f t="shared" si="2"/>
        <v>5</v>
      </c>
      <c r="G105" s="8">
        <v>3</v>
      </c>
      <c r="H105" s="6" t="str">
        <f>'Grad Raw Data'!I105</f>
        <v>Cameron</v>
      </c>
      <c r="I105" s="6" t="str">
        <f>'Grad Raw Data'!H105</f>
        <v>Gigler</v>
      </c>
      <c r="J105" s="6">
        <f>'Grad Raw Data'!G105</f>
        <v>0</v>
      </c>
    </row>
    <row r="106" spans="1:10" ht="18" x14ac:dyDescent="0.25">
      <c r="A106" s="6" t="s">
        <v>48</v>
      </c>
      <c r="B106" s="6" t="s">
        <v>58</v>
      </c>
      <c r="C106" s="6">
        <v>104</v>
      </c>
      <c r="D106" s="11">
        <f t="shared" si="1"/>
        <v>52</v>
      </c>
      <c r="E106" s="6" t="s">
        <v>50</v>
      </c>
      <c r="F106" s="6">
        <f t="shared" si="2"/>
        <v>5</v>
      </c>
      <c r="G106" s="8">
        <v>4</v>
      </c>
      <c r="H106" s="6" t="str">
        <f>'Grad Raw Data'!I106</f>
        <v>Alex</v>
      </c>
      <c r="I106" s="6" t="str">
        <f>'Grad Raw Data'!H106</f>
        <v>Gisetto</v>
      </c>
      <c r="J106" s="6">
        <f>'Grad Raw Data'!G106</f>
        <v>0</v>
      </c>
    </row>
    <row r="107" spans="1:10" ht="18" x14ac:dyDescent="0.25">
      <c r="A107" s="6" t="s">
        <v>48</v>
      </c>
      <c r="B107" s="6" t="s">
        <v>58</v>
      </c>
      <c r="C107" s="6">
        <v>105</v>
      </c>
      <c r="D107" s="11">
        <f t="shared" si="1"/>
        <v>53</v>
      </c>
      <c r="E107" s="6" t="s">
        <v>50</v>
      </c>
      <c r="F107" s="6">
        <f t="shared" si="2"/>
        <v>5</v>
      </c>
      <c r="G107" s="8">
        <v>5</v>
      </c>
      <c r="H107" s="6" t="str">
        <f>'Grad Raw Data'!I107</f>
        <v>Benjamin</v>
      </c>
      <c r="I107" s="6" t="str">
        <f>'Grad Raw Data'!H107</f>
        <v>Goldlust</v>
      </c>
      <c r="J107" s="6">
        <f>'Grad Raw Data'!G107</f>
        <v>0</v>
      </c>
    </row>
    <row r="108" spans="1:10" ht="18" x14ac:dyDescent="0.25">
      <c r="A108" s="6" t="s">
        <v>48</v>
      </c>
      <c r="B108" s="6" t="s">
        <v>58</v>
      </c>
      <c r="C108" s="6">
        <v>106</v>
      </c>
      <c r="D108" s="11">
        <f t="shared" si="1"/>
        <v>54</v>
      </c>
      <c r="E108" s="6" t="s">
        <v>50</v>
      </c>
      <c r="F108" s="6">
        <f t="shared" si="2"/>
        <v>5</v>
      </c>
      <c r="G108" s="8">
        <v>6</v>
      </c>
      <c r="H108" s="6" t="str">
        <f>'Grad Raw Data'!I108</f>
        <v>Jack</v>
      </c>
      <c r="I108" s="6" t="str">
        <f>'Grad Raw Data'!H108</f>
        <v>Goodfellow</v>
      </c>
      <c r="J108" s="6">
        <f>'Grad Raw Data'!G108</f>
        <v>0</v>
      </c>
    </row>
    <row r="109" spans="1:10" ht="18" x14ac:dyDescent="0.25">
      <c r="A109" s="6" t="s">
        <v>48</v>
      </c>
      <c r="B109" s="6" t="s">
        <v>58</v>
      </c>
      <c r="C109" s="6">
        <v>107</v>
      </c>
      <c r="D109" s="11">
        <f t="shared" si="1"/>
        <v>55</v>
      </c>
      <c r="E109" s="6" t="s">
        <v>50</v>
      </c>
      <c r="F109" s="6">
        <f t="shared" si="2"/>
        <v>5</v>
      </c>
      <c r="G109" s="8">
        <v>7</v>
      </c>
      <c r="H109" s="6" t="str">
        <f>'Grad Raw Data'!I109</f>
        <v>Drew</v>
      </c>
      <c r="I109" s="6" t="str">
        <f>'Grad Raw Data'!H109</f>
        <v>Gorski</v>
      </c>
      <c r="J109" s="6">
        <f>'Grad Raw Data'!G109</f>
        <v>0</v>
      </c>
    </row>
    <row r="110" spans="1:10" ht="18" x14ac:dyDescent="0.25">
      <c r="A110" s="6" t="s">
        <v>48</v>
      </c>
      <c r="B110" s="6" t="s">
        <v>58</v>
      </c>
      <c r="C110" s="6">
        <v>108</v>
      </c>
      <c r="D110" s="11">
        <f t="shared" si="1"/>
        <v>56</v>
      </c>
      <c r="E110" s="6" t="s">
        <v>50</v>
      </c>
      <c r="F110" s="6">
        <f t="shared" si="2"/>
        <v>5</v>
      </c>
      <c r="G110" s="8">
        <v>8</v>
      </c>
      <c r="H110" s="6" t="str">
        <f>'Grad Raw Data'!I110</f>
        <v>Lila</v>
      </c>
      <c r="I110" s="6" t="str">
        <f>'Grad Raw Data'!H110</f>
        <v>Gosdanian</v>
      </c>
      <c r="J110" s="6">
        <f>'Grad Raw Data'!G110</f>
        <v>0</v>
      </c>
    </row>
    <row r="111" spans="1:10" ht="18" x14ac:dyDescent="0.25">
      <c r="A111" s="6" t="s">
        <v>48</v>
      </c>
      <c r="B111" s="6" t="s">
        <v>58</v>
      </c>
      <c r="C111" s="6">
        <v>109</v>
      </c>
      <c r="D111" s="11">
        <f t="shared" si="1"/>
        <v>57</v>
      </c>
      <c r="E111" s="6" t="s">
        <v>50</v>
      </c>
      <c r="F111" s="6">
        <f t="shared" si="2"/>
        <v>5</v>
      </c>
      <c r="G111" s="8">
        <v>9</v>
      </c>
      <c r="H111" s="6" t="str">
        <f>'Grad Raw Data'!I111</f>
        <v>Cole</v>
      </c>
      <c r="I111" s="6" t="str">
        <f>'Grad Raw Data'!H111</f>
        <v>Grant</v>
      </c>
      <c r="J111" s="6">
        <f>'Grad Raw Data'!G111</f>
        <v>0</v>
      </c>
    </row>
    <row r="112" spans="1:10" ht="18" x14ac:dyDescent="0.25">
      <c r="A112" s="6" t="s">
        <v>48</v>
      </c>
      <c r="B112" s="6" t="s">
        <v>58</v>
      </c>
      <c r="C112" s="6">
        <v>110</v>
      </c>
      <c r="D112" s="11">
        <f t="shared" si="1"/>
        <v>58</v>
      </c>
      <c r="E112" s="6" t="s">
        <v>50</v>
      </c>
      <c r="F112" s="6">
        <f t="shared" si="2"/>
        <v>5</v>
      </c>
      <c r="G112" s="8">
        <v>10</v>
      </c>
      <c r="H112" s="6" t="str">
        <f>'Grad Raw Data'!I112</f>
        <v>Kendall</v>
      </c>
      <c r="I112" s="6" t="str">
        <f>'Grad Raw Data'!H112</f>
        <v>Graves</v>
      </c>
      <c r="J112" s="6">
        <f>'Grad Raw Data'!G112</f>
        <v>0</v>
      </c>
    </row>
    <row r="113" spans="1:10" ht="18" x14ac:dyDescent="0.25">
      <c r="A113" s="6" t="s">
        <v>48</v>
      </c>
      <c r="B113" s="6" t="s">
        <v>58</v>
      </c>
      <c r="C113" s="6">
        <v>111</v>
      </c>
      <c r="D113" s="11">
        <f t="shared" si="1"/>
        <v>59</v>
      </c>
      <c r="E113" s="6" t="s">
        <v>50</v>
      </c>
      <c r="F113" s="6">
        <f t="shared" si="2"/>
        <v>5</v>
      </c>
      <c r="G113" s="8">
        <v>11</v>
      </c>
      <c r="H113" s="6" t="str">
        <f>'Grad Raw Data'!I113</f>
        <v>Griffin</v>
      </c>
      <c r="I113" s="6" t="str">
        <f>'Grad Raw Data'!H113</f>
        <v>Haggerty</v>
      </c>
      <c r="J113" s="6">
        <f>'Grad Raw Data'!G113</f>
        <v>0</v>
      </c>
    </row>
    <row r="114" spans="1:10" ht="18.75" thickBot="1" x14ac:dyDescent="0.3">
      <c r="A114" s="4" t="s">
        <v>48</v>
      </c>
      <c r="B114" s="4" t="s">
        <v>58</v>
      </c>
      <c r="C114" s="4">
        <v>112</v>
      </c>
      <c r="D114" s="11">
        <f t="shared" si="1"/>
        <v>60</v>
      </c>
      <c r="E114" s="4" t="s">
        <v>50</v>
      </c>
      <c r="F114" s="4">
        <f t="shared" si="2"/>
        <v>5</v>
      </c>
      <c r="G114" s="5">
        <v>12</v>
      </c>
      <c r="H114" s="6" t="str">
        <f>'Grad Raw Data'!I114</f>
        <v>Andrea</v>
      </c>
      <c r="I114" s="6" t="str">
        <f>'Grad Raw Data'!H114</f>
        <v>Hall</v>
      </c>
      <c r="J114" s="6">
        <f>'Grad Raw Data'!G114</f>
        <v>0</v>
      </c>
    </row>
    <row r="115" spans="1:10" ht="18.75" thickTop="1" x14ac:dyDescent="0.25">
      <c r="A115" s="6" t="s">
        <v>51</v>
      </c>
      <c r="B115" s="6" t="s">
        <v>59</v>
      </c>
      <c r="C115" s="6">
        <v>124</v>
      </c>
      <c r="D115" s="11">
        <f t="shared" si="1"/>
        <v>49</v>
      </c>
      <c r="E115" s="6" t="s">
        <v>53</v>
      </c>
      <c r="F115" s="6">
        <f>F91+1</f>
        <v>5</v>
      </c>
      <c r="G115" s="8">
        <v>1</v>
      </c>
      <c r="H115" s="6" t="str">
        <f>'Grad Raw Data'!I115</f>
        <v>Sarah</v>
      </c>
      <c r="I115" s="6" t="str">
        <f>'Grad Raw Data'!H115</f>
        <v>Hamilton</v>
      </c>
      <c r="J115" s="6">
        <f>'Grad Raw Data'!G115</f>
        <v>0</v>
      </c>
    </row>
    <row r="116" spans="1:10" ht="18" x14ac:dyDescent="0.25">
      <c r="A116" s="6" t="s">
        <v>51</v>
      </c>
      <c r="B116" s="6" t="s">
        <v>59</v>
      </c>
      <c r="C116" s="6">
        <v>122</v>
      </c>
      <c r="D116" s="11">
        <f t="shared" si="1"/>
        <v>50</v>
      </c>
      <c r="E116" s="6" t="s">
        <v>53</v>
      </c>
      <c r="F116" s="6">
        <f t="shared" si="2"/>
        <v>5</v>
      </c>
      <c r="G116" s="8">
        <v>2</v>
      </c>
      <c r="H116" s="6" t="str">
        <f>'Grad Raw Data'!I116</f>
        <v>Margaret</v>
      </c>
      <c r="I116" s="6" t="str">
        <f>'Grad Raw Data'!H116</f>
        <v>Hanifan</v>
      </c>
      <c r="J116" s="6">
        <f>'Grad Raw Data'!G116</f>
        <v>0</v>
      </c>
    </row>
    <row r="117" spans="1:10" ht="18" x14ac:dyDescent="0.25">
      <c r="A117" s="6" t="s">
        <v>51</v>
      </c>
      <c r="B117" s="6" t="s">
        <v>59</v>
      </c>
      <c r="C117" s="6">
        <v>120</v>
      </c>
      <c r="D117" s="11">
        <f t="shared" si="1"/>
        <v>51</v>
      </c>
      <c r="E117" s="6" t="s">
        <v>53</v>
      </c>
      <c r="F117" s="6">
        <f t="shared" si="2"/>
        <v>5</v>
      </c>
      <c r="G117" s="8">
        <v>3</v>
      </c>
      <c r="H117" s="6" t="str">
        <f>'Grad Raw Data'!I117</f>
        <v>Cameron</v>
      </c>
      <c r="I117" s="6" t="str">
        <f>'Grad Raw Data'!H117</f>
        <v>Harrigan</v>
      </c>
      <c r="J117" s="6">
        <f>'Grad Raw Data'!G117</f>
        <v>0</v>
      </c>
    </row>
    <row r="118" spans="1:10" ht="18" x14ac:dyDescent="0.25">
      <c r="A118" s="6" t="s">
        <v>51</v>
      </c>
      <c r="B118" s="6" t="s">
        <v>59</v>
      </c>
      <c r="C118" s="6">
        <v>118</v>
      </c>
      <c r="D118" s="11">
        <f t="shared" si="1"/>
        <v>52</v>
      </c>
      <c r="E118" s="6" t="s">
        <v>53</v>
      </c>
      <c r="F118" s="6">
        <f t="shared" si="2"/>
        <v>5</v>
      </c>
      <c r="G118" s="8">
        <v>4</v>
      </c>
      <c r="H118" s="6" t="str">
        <f>'Grad Raw Data'!I118</f>
        <v>Victoria</v>
      </c>
      <c r="I118" s="6" t="str">
        <f>'Grad Raw Data'!H118</f>
        <v>Henri</v>
      </c>
      <c r="J118" s="6">
        <f>'Grad Raw Data'!G118</f>
        <v>0</v>
      </c>
    </row>
    <row r="119" spans="1:10" ht="18" x14ac:dyDescent="0.25">
      <c r="A119" s="6" t="s">
        <v>51</v>
      </c>
      <c r="B119" s="6" t="s">
        <v>59</v>
      </c>
      <c r="C119" s="6">
        <v>116</v>
      </c>
      <c r="D119" s="11">
        <f t="shared" si="1"/>
        <v>53</v>
      </c>
      <c r="E119" s="6" t="s">
        <v>53</v>
      </c>
      <c r="F119" s="6">
        <f t="shared" si="2"/>
        <v>5</v>
      </c>
      <c r="G119" s="8">
        <v>5</v>
      </c>
      <c r="H119" s="6" t="str">
        <f>'Grad Raw Data'!I119</f>
        <v>Kayke</v>
      </c>
      <c r="I119" s="6" t="str">
        <f>'Grad Raw Data'!H119</f>
        <v>Henrique</v>
      </c>
      <c r="J119" s="6">
        <f>'Grad Raw Data'!G119</f>
        <v>0</v>
      </c>
    </row>
    <row r="120" spans="1:10" ht="18" x14ac:dyDescent="0.25">
      <c r="A120" s="6" t="s">
        <v>51</v>
      </c>
      <c r="B120" s="6" t="s">
        <v>59</v>
      </c>
      <c r="C120" s="6">
        <v>114</v>
      </c>
      <c r="D120" s="11">
        <f t="shared" si="1"/>
        <v>54</v>
      </c>
      <c r="E120" s="6" t="s">
        <v>53</v>
      </c>
      <c r="F120" s="6">
        <f t="shared" si="2"/>
        <v>5</v>
      </c>
      <c r="G120" s="8">
        <v>6</v>
      </c>
      <c r="H120" s="6" t="str">
        <f>'Grad Raw Data'!I120</f>
        <v>Jahkye</v>
      </c>
      <c r="I120" s="6" t="str">
        <f>'Grad Raw Data'!H120</f>
        <v>Hobson</v>
      </c>
      <c r="J120" s="6">
        <f>'Grad Raw Data'!G120</f>
        <v>0</v>
      </c>
    </row>
    <row r="121" spans="1:10" ht="18" x14ac:dyDescent="0.25">
      <c r="A121" s="6" t="s">
        <v>51</v>
      </c>
      <c r="B121" s="6" t="s">
        <v>59</v>
      </c>
      <c r="C121" s="6">
        <v>112</v>
      </c>
      <c r="D121" s="11">
        <f t="shared" si="1"/>
        <v>55</v>
      </c>
      <c r="E121" s="6" t="s">
        <v>53</v>
      </c>
      <c r="F121" s="6">
        <f t="shared" si="2"/>
        <v>5</v>
      </c>
      <c r="G121" s="8">
        <v>7</v>
      </c>
      <c r="H121" s="6" t="str">
        <f>'Grad Raw Data'!I121</f>
        <v>Sam</v>
      </c>
      <c r="I121" s="6" t="str">
        <f>'Grad Raw Data'!H121</f>
        <v>Holt</v>
      </c>
      <c r="J121" s="6">
        <f>'Grad Raw Data'!G121</f>
        <v>0</v>
      </c>
    </row>
    <row r="122" spans="1:10" ht="18" x14ac:dyDescent="0.25">
      <c r="A122" s="6" t="s">
        <v>51</v>
      </c>
      <c r="B122" s="6" t="s">
        <v>59</v>
      </c>
      <c r="C122" s="6">
        <v>110</v>
      </c>
      <c r="D122" s="11">
        <f t="shared" si="1"/>
        <v>56</v>
      </c>
      <c r="E122" s="6" t="s">
        <v>53</v>
      </c>
      <c r="F122" s="6">
        <f t="shared" si="2"/>
        <v>5</v>
      </c>
      <c r="G122" s="8">
        <v>8</v>
      </c>
      <c r="H122" s="6" t="str">
        <f>'Grad Raw Data'!I122</f>
        <v>Benjamin</v>
      </c>
      <c r="I122" s="6" t="str">
        <f>'Grad Raw Data'!H122</f>
        <v>Houle</v>
      </c>
      <c r="J122" s="6">
        <f>'Grad Raw Data'!G122</f>
        <v>0</v>
      </c>
    </row>
    <row r="123" spans="1:10" ht="18" x14ac:dyDescent="0.25">
      <c r="A123" s="6" t="s">
        <v>51</v>
      </c>
      <c r="B123" s="6" t="s">
        <v>59</v>
      </c>
      <c r="C123" s="6">
        <v>108</v>
      </c>
      <c r="D123" s="11">
        <f t="shared" si="1"/>
        <v>57</v>
      </c>
      <c r="E123" s="6" t="s">
        <v>53</v>
      </c>
      <c r="F123" s="6">
        <f t="shared" si="2"/>
        <v>5</v>
      </c>
      <c r="G123" s="8">
        <v>9</v>
      </c>
      <c r="H123" s="6" t="str">
        <f>'Grad Raw Data'!I123</f>
        <v>Evin</v>
      </c>
      <c r="I123" s="6" t="str">
        <f>'Grad Raw Data'!H123</f>
        <v>Howell</v>
      </c>
      <c r="J123" s="6">
        <f>'Grad Raw Data'!G123</f>
        <v>0</v>
      </c>
    </row>
    <row r="124" spans="1:10" ht="18" x14ac:dyDescent="0.25">
      <c r="A124" s="6" t="s">
        <v>51</v>
      </c>
      <c r="B124" s="6" t="s">
        <v>59</v>
      </c>
      <c r="C124" s="6">
        <v>106</v>
      </c>
      <c r="D124" s="11">
        <f t="shared" si="1"/>
        <v>58</v>
      </c>
      <c r="E124" s="6" t="s">
        <v>53</v>
      </c>
      <c r="F124" s="6">
        <f t="shared" si="2"/>
        <v>5</v>
      </c>
      <c r="G124" s="8">
        <v>10</v>
      </c>
      <c r="H124" s="6" t="str">
        <f>'Grad Raw Data'!I124</f>
        <v>Paul</v>
      </c>
      <c r="I124" s="6" t="str">
        <f>'Grad Raw Data'!H124</f>
        <v>Iosua</v>
      </c>
      <c r="J124" s="6">
        <f>'Grad Raw Data'!G124</f>
        <v>0</v>
      </c>
    </row>
    <row r="125" spans="1:10" ht="18" x14ac:dyDescent="0.25">
      <c r="A125" s="6" t="s">
        <v>51</v>
      </c>
      <c r="B125" s="6" t="s">
        <v>59</v>
      </c>
      <c r="C125" s="6">
        <v>104</v>
      </c>
      <c r="D125" s="11">
        <f t="shared" si="1"/>
        <v>59</v>
      </c>
      <c r="E125" s="6" t="s">
        <v>53</v>
      </c>
      <c r="F125" s="6">
        <f t="shared" si="2"/>
        <v>5</v>
      </c>
      <c r="G125" s="8">
        <v>11</v>
      </c>
      <c r="H125" s="6" t="str">
        <f>'Grad Raw Data'!I125</f>
        <v>Leah</v>
      </c>
      <c r="I125" s="6" t="str">
        <f>'Grad Raw Data'!H125</f>
        <v>Jackvony</v>
      </c>
      <c r="J125" s="6">
        <f>'Grad Raw Data'!G125</f>
        <v>0</v>
      </c>
    </row>
    <row r="126" spans="1:10" ht="18.75" thickBot="1" x14ac:dyDescent="0.3">
      <c r="A126" s="4" t="s">
        <v>51</v>
      </c>
      <c r="B126" s="4" t="s">
        <v>59</v>
      </c>
      <c r="C126" s="4">
        <v>102</v>
      </c>
      <c r="D126" s="11">
        <f t="shared" si="1"/>
        <v>60</v>
      </c>
      <c r="E126" s="4" t="s">
        <v>53</v>
      </c>
      <c r="F126" s="4">
        <f t="shared" si="2"/>
        <v>5</v>
      </c>
      <c r="G126" s="5">
        <v>12</v>
      </c>
      <c r="H126" s="6" t="str">
        <f>'Grad Raw Data'!I126</f>
        <v>Wayne</v>
      </c>
      <c r="I126" s="6" t="str">
        <f>'Grad Raw Data'!H126</f>
        <v>Jankun</v>
      </c>
      <c r="J126" s="6">
        <f>'Grad Raw Data'!G126</f>
        <v>0</v>
      </c>
    </row>
    <row r="127" spans="1:10" ht="18.75" thickTop="1" x14ac:dyDescent="0.25">
      <c r="A127" s="6" t="s">
        <v>48</v>
      </c>
      <c r="B127" s="6" t="s">
        <v>60</v>
      </c>
      <c r="C127" s="6">
        <v>101</v>
      </c>
      <c r="D127" s="11">
        <f t="shared" si="1"/>
        <v>61</v>
      </c>
      <c r="E127" s="6" t="s">
        <v>50</v>
      </c>
      <c r="F127" s="6">
        <f>F103+1</f>
        <v>6</v>
      </c>
      <c r="G127" s="8">
        <v>1</v>
      </c>
      <c r="H127" s="6" t="str">
        <f>'Grad Raw Data'!I127</f>
        <v>Tristan</v>
      </c>
      <c r="I127" s="6" t="str">
        <f>'Grad Raw Data'!H127</f>
        <v>Jenkins</v>
      </c>
      <c r="J127" s="6">
        <f>'Grad Raw Data'!G127</f>
        <v>0</v>
      </c>
    </row>
    <row r="128" spans="1:10" ht="18" x14ac:dyDescent="0.25">
      <c r="A128" s="6" t="s">
        <v>48</v>
      </c>
      <c r="B128" s="6" t="s">
        <v>60</v>
      </c>
      <c r="C128" s="6">
        <v>102</v>
      </c>
      <c r="D128" s="11">
        <f t="shared" si="1"/>
        <v>62</v>
      </c>
      <c r="E128" s="6" t="s">
        <v>50</v>
      </c>
      <c r="F128" s="6">
        <f t="shared" si="2"/>
        <v>6</v>
      </c>
      <c r="G128" s="8">
        <v>2</v>
      </c>
      <c r="H128" s="6" t="str">
        <f>'Grad Raw Data'!I128</f>
        <v>Evan</v>
      </c>
      <c r="I128" s="6" t="str">
        <f>'Grad Raw Data'!H128</f>
        <v>Jenney</v>
      </c>
      <c r="J128" s="6">
        <f>'Grad Raw Data'!G128</f>
        <v>0</v>
      </c>
    </row>
    <row r="129" spans="1:10" ht="18" x14ac:dyDescent="0.25">
      <c r="A129" s="6" t="s">
        <v>48</v>
      </c>
      <c r="B129" s="6" t="s">
        <v>60</v>
      </c>
      <c r="C129" s="6">
        <v>103</v>
      </c>
      <c r="D129" s="11">
        <f t="shared" si="1"/>
        <v>63</v>
      </c>
      <c r="E129" s="6" t="s">
        <v>50</v>
      </c>
      <c r="F129" s="6">
        <f t="shared" si="2"/>
        <v>6</v>
      </c>
      <c r="G129" s="8">
        <v>3</v>
      </c>
      <c r="H129" s="6" t="str">
        <f>'Grad Raw Data'!I129</f>
        <v>Michael</v>
      </c>
      <c r="I129" s="6" t="str">
        <f>'Grad Raw Data'!H129</f>
        <v>Jenney</v>
      </c>
      <c r="J129" s="6">
        <f>'Grad Raw Data'!G129</f>
        <v>0</v>
      </c>
    </row>
    <row r="130" spans="1:10" ht="18" x14ac:dyDescent="0.25">
      <c r="A130" s="6" t="s">
        <v>48</v>
      </c>
      <c r="B130" s="6" t="s">
        <v>60</v>
      </c>
      <c r="C130" s="6">
        <v>104</v>
      </c>
      <c r="D130" s="11">
        <f t="shared" si="1"/>
        <v>64</v>
      </c>
      <c r="E130" s="6" t="s">
        <v>50</v>
      </c>
      <c r="F130" s="6">
        <f t="shared" si="2"/>
        <v>6</v>
      </c>
      <c r="G130" s="8">
        <v>4</v>
      </c>
      <c r="H130" s="6" t="str">
        <f>'Grad Raw Data'!I130</f>
        <v>Luke</v>
      </c>
      <c r="I130" s="6" t="str">
        <f>'Grad Raw Data'!H130</f>
        <v>Johnson</v>
      </c>
      <c r="J130" s="6">
        <f>'Grad Raw Data'!G130</f>
        <v>0</v>
      </c>
    </row>
    <row r="131" spans="1:10" ht="18" x14ac:dyDescent="0.25">
      <c r="A131" s="6" t="s">
        <v>48</v>
      </c>
      <c r="B131" s="6" t="s">
        <v>60</v>
      </c>
      <c r="C131" s="6">
        <v>105</v>
      </c>
      <c r="D131" s="11">
        <f t="shared" si="1"/>
        <v>65</v>
      </c>
      <c r="E131" s="6" t="s">
        <v>50</v>
      </c>
      <c r="F131" s="6">
        <f t="shared" si="2"/>
        <v>6</v>
      </c>
      <c r="G131" s="8">
        <v>5</v>
      </c>
      <c r="H131" s="6" t="str">
        <f>'Grad Raw Data'!I131</f>
        <v>Maeve</v>
      </c>
      <c r="I131" s="6" t="str">
        <f>'Grad Raw Data'!H131</f>
        <v>Jones</v>
      </c>
      <c r="J131" s="6">
        <f>'Grad Raw Data'!G131</f>
        <v>0</v>
      </c>
    </row>
    <row r="132" spans="1:10" ht="18" x14ac:dyDescent="0.25">
      <c r="A132" s="6" t="s">
        <v>48</v>
      </c>
      <c r="B132" s="6" t="s">
        <v>60</v>
      </c>
      <c r="C132" s="6">
        <v>106</v>
      </c>
      <c r="D132" s="11">
        <f t="shared" si="1"/>
        <v>66</v>
      </c>
      <c r="E132" s="6" t="s">
        <v>50</v>
      </c>
      <c r="F132" s="6">
        <f t="shared" si="2"/>
        <v>6</v>
      </c>
      <c r="G132" s="8">
        <v>6</v>
      </c>
      <c r="H132" s="6" t="str">
        <f>'Grad Raw Data'!I132</f>
        <v>Nolan</v>
      </c>
      <c r="I132" s="6" t="str">
        <f>'Grad Raw Data'!H132</f>
        <v>Jordan</v>
      </c>
      <c r="J132" s="6">
        <f>'Grad Raw Data'!G132</f>
        <v>0</v>
      </c>
    </row>
    <row r="133" spans="1:10" ht="18" x14ac:dyDescent="0.25">
      <c r="A133" s="6" t="s">
        <v>48</v>
      </c>
      <c r="B133" s="6" t="s">
        <v>60</v>
      </c>
      <c r="C133" s="6">
        <v>107</v>
      </c>
      <c r="D133" s="11">
        <f t="shared" si="1"/>
        <v>67</v>
      </c>
      <c r="E133" s="6" t="s">
        <v>50</v>
      </c>
      <c r="F133" s="6">
        <f t="shared" si="2"/>
        <v>6</v>
      </c>
      <c r="G133" s="8">
        <v>7</v>
      </c>
      <c r="H133" s="6" t="str">
        <f>'Grad Raw Data'!I133</f>
        <v>Emma</v>
      </c>
      <c r="I133" s="6" t="str">
        <f>'Grad Raw Data'!H133</f>
        <v>Kaberle</v>
      </c>
      <c r="J133" s="6">
        <f>'Grad Raw Data'!G133</f>
        <v>0</v>
      </c>
    </row>
    <row r="134" spans="1:10" ht="18" x14ac:dyDescent="0.25">
      <c r="A134" s="6" t="s">
        <v>48</v>
      </c>
      <c r="B134" s="6" t="s">
        <v>60</v>
      </c>
      <c r="C134" s="6">
        <v>108</v>
      </c>
      <c r="D134" s="11">
        <f t="shared" si="1"/>
        <v>68</v>
      </c>
      <c r="E134" s="6" t="s">
        <v>50</v>
      </c>
      <c r="F134" s="6">
        <f t="shared" si="2"/>
        <v>6</v>
      </c>
      <c r="G134" s="8">
        <v>8</v>
      </c>
      <c r="H134" s="6" t="str">
        <f>'Grad Raw Data'!I134</f>
        <v>Azra</v>
      </c>
      <c r="I134" s="6" t="str">
        <f>'Grad Raw Data'!H134</f>
        <v>Kadric</v>
      </c>
      <c r="J134" s="6">
        <f>'Grad Raw Data'!G134</f>
        <v>0</v>
      </c>
    </row>
    <row r="135" spans="1:10" ht="18" x14ac:dyDescent="0.25">
      <c r="A135" s="6" t="s">
        <v>48</v>
      </c>
      <c r="B135" s="6" t="s">
        <v>60</v>
      </c>
      <c r="C135" s="6">
        <v>109</v>
      </c>
      <c r="D135" s="11">
        <f t="shared" si="1"/>
        <v>69</v>
      </c>
      <c r="E135" s="6" t="s">
        <v>50</v>
      </c>
      <c r="F135" s="6">
        <f t="shared" si="2"/>
        <v>6</v>
      </c>
      <c r="G135" s="8">
        <v>9</v>
      </c>
      <c r="H135" s="6" t="str">
        <f>'Grad Raw Data'!I135</f>
        <v>Brady</v>
      </c>
      <c r="I135" s="6" t="str">
        <f>'Grad Raw Data'!H135</f>
        <v>Keaveney</v>
      </c>
      <c r="J135" s="6">
        <f>'Grad Raw Data'!G135</f>
        <v>0</v>
      </c>
    </row>
    <row r="136" spans="1:10" ht="18" x14ac:dyDescent="0.25">
      <c r="A136" s="6" t="s">
        <v>48</v>
      </c>
      <c r="B136" s="6" t="s">
        <v>60</v>
      </c>
      <c r="C136" s="6">
        <v>110</v>
      </c>
      <c r="D136" s="11">
        <f t="shared" ref="D136:D199" si="3">(F136-1)*12+G136</f>
        <v>70</v>
      </c>
      <c r="E136" s="6" t="s">
        <v>50</v>
      </c>
      <c r="F136" s="6">
        <f t="shared" si="2"/>
        <v>6</v>
      </c>
      <c r="G136" s="8">
        <v>10</v>
      </c>
      <c r="H136" s="6" t="str">
        <f>'Grad Raw Data'!I136</f>
        <v>Hannah</v>
      </c>
      <c r="I136" s="6" t="str">
        <f>'Grad Raw Data'!H136</f>
        <v>Kenton</v>
      </c>
      <c r="J136" s="6">
        <f>'Grad Raw Data'!G136</f>
        <v>0</v>
      </c>
    </row>
    <row r="137" spans="1:10" ht="18" x14ac:dyDescent="0.25">
      <c r="A137" s="6" t="s">
        <v>48</v>
      </c>
      <c r="B137" s="6" t="s">
        <v>60</v>
      </c>
      <c r="C137" s="6">
        <v>111</v>
      </c>
      <c r="D137" s="11">
        <f t="shared" si="3"/>
        <v>71</v>
      </c>
      <c r="E137" s="6" t="s">
        <v>50</v>
      </c>
      <c r="F137" s="6">
        <f t="shared" si="2"/>
        <v>6</v>
      </c>
      <c r="G137" s="8">
        <v>11</v>
      </c>
      <c r="H137" s="6" t="str">
        <f>'Grad Raw Data'!I137</f>
        <v>Aiden</v>
      </c>
      <c r="I137" s="6" t="str">
        <f>'Grad Raw Data'!H137</f>
        <v>Kiley</v>
      </c>
      <c r="J137" s="6">
        <f>'Grad Raw Data'!G137</f>
        <v>0</v>
      </c>
    </row>
    <row r="138" spans="1:10" ht="18.75" thickBot="1" x14ac:dyDescent="0.3">
      <c r="A138" s="4" t="s">
        <v>48</v>
      </c>
      <c r="B138" s="4" t="s">
        <v>60</v>
      </c>
      <c r="C138" s="4">
        <v>112</v>
      </c>
      <c r="D138" s="11">
        <f t="shared" si="3"/>
        <v>72</v>
      </c>
      <c r="E138" s="4" t="s">
        <v>50</v>
      </c>
      <c r="F138" s="4">
        <f t="shared" si="2"/>
        <v>6</v>
      </c>
      <c r="G138" s="5">
        <v>12</v>
      </c>
      <c r="H138" s="6" t="str">
        <f>'Grad Raw Data'!I138</f>
        <v>Clinton</v>
      </c>
      <c r="I138" s="6" t="str">
        <f>'Grad Raw Data'!H138</f>
        <v>King</v>
      </c>
      <c r="J138" s="6">
        <f>'Grad Raw Data'!G138</f>
        <v>0</v>
      </c>
    </row>
    <row r="139" spans="1:10" ht="18.75" thickTop="1" x14ac:dyDescent="0.25">
      <c r="A139" s="6" t="s">
        <v>51</v>
      </c>
      <c r="B139" s="6" t="s">
        <v>59</v>
      </c>
      <c r="C139" s="6">
        <v>101</v>
      </c>
      <c r="D139" s="11">
        <f t="shared" si="3"/>
        <v>61</v>
      </c>
      <c r="E139" s="6" t="s">
        <v>53</v>
      </c>
      <c r="F139" s="6">
        <f>F115+1</f>
        <v>6</v>
      </c>
      <c r="G139" s="8">
        <v>1</v>
      </c>
      <c r="H139" s="6" t="str">
        <f>'Grad Raw Data'!I139</f>
        <v>Kyle</v>
      </c>
      <c r="I139" s="6" t="str">
        <f>'Grad Raw Data'!H139</f>
        <v>Koster</v>
      </c>
      <c r="J139" s="6">
        <f>'Grad Raw Data'!G139</f>
        <v>0</v>
      </c>
    </row>
    <row r="140" spans="1:10" ht="18" x14ac:dyDescent="0.25">
      <c r="A140" s="6" t="s">
        <v>51</v>
      </c>
      <c r="B140" s="6" t="s">
        <v>59</v>
      </c>
      <c r="C140" s="6">
        <v>103</v>
      </c>
      <c r="D140" s="11">
        <f t="shared" si="3"/>
        <v>62</v>
      </c>
      <c r="E140" s="6" t="s">
        <v>53</v>
      </c>
      <c r="F140" s="6">
        <f t="shared" si="2"/>
        <v>6</v>
      </c>
      <c r="G140" s="8">
        <v>2</v>
      </c>
      <c r="H140" s="6" t="str">
        <f>'Grad Raw Data'!I140</f>
        <v>Enzo</v>
      </c>
      <c r="I140" s="6" t="str">
        <f>'Grad Raw Data'!H140</f>
        <v>Lalicata</v>
      </c>
      <c r="J140" s="6">
        <f>'Grad Raw Data'!G140</f>
        <v>0</v>
      </c>
    </row>
    <row r="141" spans="1:10" ht="18" x14ac:dyDescent="0.25">
      <c r="A141" s="6" t="s">
        <v>51</v>
      </c>
      <c r="B141" s="6" t="s">
        <v>59</v>
      </c>
      <c r="C141" s="6">
        <v>105</v>
      </c>
      <c r="D141" s="11">
        <f t="shared" si="3"/>
        <v>63</v>
      </c>
      <c r="E141" s="6" t="s">
        <v>53</v>
      </c>
      <c r="F141" s="6">
        <f t="shared" si="2"/>
        <v>6</v>
      </c>
      <c r="G141" s="8">
        <v>3</v>
      </c>
      <c r="H141" s="6" t="str">
        <f>'Grad Raw Data'!I141</f>
        <v>Jonathan</v>
      </c>
      <c r="I141" s="6" t="str">
        <f>'Grad Raw Data'!H141</f>
        <v>Laurino</v>
      </c>
      <c r="J141" s="6">
        <f>'Grad Raw Data'!G141</f>
        <v>0</v>
      </c>
    </row>
    <row r="142" spans="1:10" ht="18" x14ac:dyDescent="0.25">
      <c r="A142" s="6" t="s">
        <v>51</v>
      </c>
      <c r="B142" s="6" t="s">
        <v>59</v>
      </c>
      <c r="C142" s="6">
        <v>107</v>
      </c>
      <c r="D142" s="11">
        <f t="shared" si="3"/>
        <v>64</v>
      </c>
      <c r="E142" s="6" t="s">
        <v>53</v>
      </c>
      <c r="F142" s="6">
        <f t="shared" si="2"/>
        <v>6</v>
      </c>
      <c r="G142" s="8">
        <v>4</v>
      </c>
      <c r="H142" s="6" t="str">
        <f>'Grad Raw Data'!I142</f>
        <v>Matthew</v>
      </c>
      <c r="I142" s="6" t="str">
        <f>'Grad Raw Data'!H142</f>
        <v>Laurino</v>
      </c>
      <c r="J142" s="6">
        <f>'Grad Raw Data'!G142</f>
        <v>0</v>
      </c>
    </row>
    <row r="143" spans="1:10" ht="18" x14ac:dyDescent="0.25">
      <c r="A143" s="6" t="s">
        <v>51</v>
      </c>
      <c r="B143" s="6" t="s">
        <v>59</v>
      </c>
      <c r="C143" s="6">
        <v>109</v>
      </c>
      <c r="D143" s="11">
        <f t="shared" si="3"/>
        <v>65</v>
      </c>
      <c r="E143" s="6" t="s">
        <v>53</v>
      </c>
      <c r="F143" s="6">
        <f t="shared" si="2"/>
        <v>6</v>
      </c>
      <c r="G143" s="8">
        <v>5</v>
      </c>
      <c r="H143" s="6" t="str">
        <f>'Grad Raw Data'!I143</f>
        <v>Asad</v>
      </c>
      <c r="I143" s="6" t="str">
        <f>'Grad Raw Data'!H143</f>
        <v>Layne</v>
      </c>
      <c r="J143" s="6">
        <f>'Grad Raw Data'!G143</f>
        <v>0</v>
      </c>
    </row>
    <row r="144" spans="1:10" ht="18" x14ac:dyDescent="0.25">
      <c r="A144" s="6" t="s">
        <v>51</v>
      </c>
      <c r="B144" s="6" t="s">
        <v>59</v>
      </c>
      <c r="C144" s="6">
        <v>111</v>
      </c>
      <c r="D144" s="11">
        <f t="shared" si="3"/>
        <v>66</v>
      </c>
      <c r="E144" s="6" t="s">
        <v>53</v>
      </c>
      <c r="F144" s="6">
        <f t="shared" si="2"/>
        <v>6</v>
      </c>
      <c r="G144" s="8">
        <v>6</v>
      </c>
      <c r="H144" s="6" t="str">
        <f>'Grad Raw Data'!I144</f>
        <v>Austin</v>
      </c>
      <c r="I144" s="6" t="str">
        <f>'Grad Raw Data'!H144</f>
        <v>Lee</v>
      </c>
      <c r="J144" s="6">
        <f>'Grad Raw Data'!G144</f>
        <v>0</v>
      </c>
    </row>
    <row r="145" spans="1:10" ht="18" x14ac:dyDescent="0.25">
      <c r="A145" s="6" t="s">
        <v>51</v>
      </c>
      <c r="B145" s="6" t="s">
        <v>59</v>
      </c>
      <c r="C145" s="6">
        <v>113</v>
      </c>
      <c r="D145" s="11">
        <f t="shared" si="3"/>
        <v>67</v>
      </c>
      <c r="E145" s="6" t="s">
        <v>53</v>
      </c>
      <c r="F145" s="6">
        <f t="shared" si="2"/>
        <v>6</v>
      </c>
      <c r="G145" s="8">
        <v>7</v>
      </c>
      <c r="H145" s="6" t="str">
        <f>'Grad Raw Data'!I145</f>
        <v>Jonathan</v>
      </c>
      <c r="I145" s="6" t="str">
        <f>'Grad Raw Data'!H145</f>
        <v>Lee</v>
      </c>
      <c r="J145" s="6">
        <f>'Grad Raw Data'!G145</f>
        <v>0</v>
      </c>
    </row>
    <row r="146" spans="1:10" ht="18" x14ac:dyDescent="0.25">
      <c r="A146" s="6" t="s">
        <v>51</v>
      </c>
      <c r="B146" s="6" t="s">
        <v>59</v>
      </c>
      <c r="C146" s="6">
        <v>115</v>
      </c>
      <c r="D146" s="11">
        <f t="shared" si="3"/>
        <v>68</v>
      </c>
      <c r="E146" s="6" t="s">
        <v>53</v>
      </c>
      <c r="F146" s="6">
        <f t="shared" si="2"/>
        <v>6</v>
      </c>
      <c r="G146" s="8">
        <v>8</v>
      </c>
      <c r="H146" s="6" t="str">
        <f>'Grad Raw Data'!I146</f>
        <v>Desmond</v>
      </c>
      <c r="I146" s="6" t="str">
        <f>'Grad Raw Data'!H146</f>
        <v>Lethin</v>
      </c>
      <c r="J146" s="6">
        <f>'Grad Raw Data'!G146</f>
        <v>0</v>
      </c>
    </row>
    <row r="147" spans="1:10" ht="18" x14ac:dyDescent="0.25">
      <c r="A147" s="6" t="s">
        <v>51</v>
      </c>
      <c r="B147" s="6" t="s">
        <v>59</v>
      </c>
      <c r="C147" s="6">
        <v>117</v>
      </c>
      <c r="D147" s="11">
        <f t="shared" si="3"/>
        <v>69</v>
      </c>
      <c r="E147" s="6" t="s">
        <v>53</v>
      </c>
      <c r="F147" s="6">
        <f t="shared" si="2"/>
        <v>6</v>
      </c>
      <c r="G147" s="8">
        <v>9</v>
      </c>
      <c r="H147" s="6" t="str">
        <f>'Grad Raw Data'!I147</f>
        <v>Katie</v>
      </c>
      <c r="I147" s="6" t="str">
        <f>'Grad Raw Data'!H147</f>
        <v>Lewis</v>
      </c>
      <c r="J147" s="6">
        <f>'Grad Raw Data'!G147</f>
        <v>0</v>
      </c>
    </row>
    <row r="148" spans="1:10" ht="18" x14ac:dyDescent="0.25">
      <c r="A148" s="6" t="s">
        <v>51</v>
      </c>
      <c r="B148" s="6" t="s">
        <v>59</v>
      </c>
      <c r="C148" s="6">
        <v>119</v>
      </c>
      <c r="D148" s="11">
        <f t="shared" si="3"/>
        <v>70</v>
      </c>
      <c r="E148" s="6" t="s">
        <v>53</v>
      </c>
      <c r="F148" s="6">
        <f t="shared" si="2"/>
        <v>6</v>
      </c>
      <c r="G148" s="8">
        <v>10</v>
      </c>
      <c r="H148" s="6" t="str">
        <f>'Grad Raw Data'!I148</f>
        <v>Isabelle</v>
      </c>
      <c r="I148" s="6" t="str">
        <f>'Grad Raw Data'!H148</f>
        <v>Lightbody</v>
      </c>
      <c r="J148" s="6">
        <f>'Grad Raw Data'!G148</f>
        <v>0</v>
      </c>
    </row>
    <row r="149" spans="1:10" ht="18" x14ac:dyDescent="0.25">
      <c r="A149" s="6" t="s">
        <v>51</v>
      </c>
      <c r="B149" s="6" t="s">
        <v>59</v>
      </c>
      <c r="C149" s="6">
        <v>121</v>
      </c>
      <c r="D149" s="11">
        <f t="shared" si="3"/>
        <v>71</v>
      </c>
      <c r="E149" s="6" t="s">
        <v>53</v>
      </c>
      <c r="F149" s="6">
        <f t="shared" si="2"/>
        <v>6</v>
      </c>
      <c r="G149" s="8">
        <v>11</v>
      </c>
      <c r="H149" s="6" t="str">
        <f>'Grad Raw Data'!I149</f>
        <v>Steven</v>
      </c>
      <c r="I149" s="6" t="str">
        <f>'Grad Raw Data'!H149</f>
        <v>Lin</v>
      </c>
      <c r="J149" s="6">
        <f>'Grad Raw Data'!G149</f>
        <v>0</v>
      </c>
    </row>
    <row r="150" spans="1:10" ht="18.75" thickBot="1" x14ac:dyDescent="0.3">
      <c r="A150" s="4" t="s">
        <v>51</v>
      </c>
      <c r="B150" s="4" t="s">
        <v>59</v>
      </c>
      <c r="C150" s="4">
        <v>123</v>
      </c>
      <c r="D150" s="11">
        <f t="shared" si="3"/>
        <v>72</v>
      </c>
      <c r="E150" s="4" t="s">
        <v>53</v>
      </c>
      <c r="F150" s="4">
        <f t="shared" si="2"/>
        <v>6</v>
      </c>
      <c r="G150" s="5">
        <v>12</v>
      </c>
      <c r="H150" s="6" t="str">
        <f>'Grad Raw Data'!I150</f>
        <v>Zackary</v>
      </c>
      <c r="I150" s="6" t="str">
        <f>'Grad Raw Data'!H150</f>
        <v>Lizotte</v>
      </c>
      <c r="J150" s="6">
        <f>'Grad Raw Data'!G150</f>
        <v>0</v>
      </c>
    </row>
    <row r="151" spans="1:10" ht="18.75" thickTop="1" x14ac:dyDescent="0.25">
      <c r="A151" s="6" t="s">
        <v>48</v>
      </c>
      <c r="B151" s="6" t="s">
        <v>61</v>
      </c>
      <c r="C151" s="6">
        <v>101</v>
      </c>
      <c r="D151" s="11">
        <f t="shared" si="3"/>
        <v>73</v>
      </c>
      <c r="E151" s="6" t="s">
        <v>50</v>
      </c>
      <c r="F151" s="6">
        <f>F127+1</f>
        <v>7</v>
      </c>
      <c r="G151" s="8">
        <v>1</v>
      </c>
      <c r="H151" s="6" t="str">
        <f>'Grad Raw Data'!I151</f>
        <v>Isla</v>
      </c>
      <c r="I151" s="6" t="str">
        <f>'Grad Raw Data'!H151</f>
        <v>Lusk</v>
      </c>
      <c r="J151" s="6">
        <f>'Grad Raw Data'!G151</f>
        <v>0</v>
      </c>
    </row>
    <row r="152" spans="1:10" ht="18" x14ac:dyDescent="0.25">
      <c r="A152" s="6" t="s">
        <v>48</v>
      </c>
      <c r="B152" s="6" t="s">
        <v>61</v>
      </c>
      <c r="C152" s="6">
        <v>102</v>
      </c>
      <c r="D152" s="11">
        <f t="shared" si="3"/>
        <v>74</v>
      </c>
      <c r="E152" s="6" t="s">
        <v>50</v>
      </c>
      <c r="F152" s="6">
        <f t="shared" si="2"/>
        <v>7</v>
      </c>
      <c r="G152" s="8">
        <v>2</v>
      </c>
      <c r="H152" s="6" t="str">
        <f>'Grad Raw Data'!I152</f>
        <v>Lilyana</v>
      </c>
      <c r="I152" s="6" t="str">
        <f>'Grad Raw Data'!H152</f>
        <v>Madden</v>
      </c>
      <c r="J152" s="6">
        <f>'Grad Raw Data'!G152</f>
        <v>0</v>
      </c>
    </row>
    <row r="153" spans="1:10" ht="18" x14ac:dyDescent="0.25">
      <c r="A153" s="6" t="s">
        <v>48</v>
      </c>
      <c r="B153" s="6" t="s">
        <v>61</v>
      </c>
      <c r="C153" s="6">
        <v>103</v>
      </c>
      <c r="D153" s="11">
        <f t="shared" si="3"/>
        <v>75</v>
      </c>
      <c r="E153" s="6" t="s">
        <v>50</v>
      </c>
      <c r="F153" s="6">
        <f t="shared" si="2"/>
        <v>7</v>
      </c>
      <c r="G153" s="8">
        <v>3</v>
      </c>
      <c r="H153" s="6" t="str">
        <f>'Grad Raw Data'!I153</f>
        <v>Rosalia</v>
      </c>
      <c r="I153" s="6" t="str">
        <f>'Grad Raw Data'!H153</f>
        <v>Maganzini</v>
      </c>
      <c r="J153" s="6">
        <f>'Grad Raw Data'!G153</f>
        <v>0</v>
      </c>
    </row>
    <row r="154" spans="1:10" ht="18" x14ac:dyDescent="0.25">
      <c r="A154" s="6" t="s">
        <v>48</v>
      </c>
      <c r="B154" s="6" t="s">
        <v>61</v>
      </c>
      <c r="C154" s="6">
        <v>104</v>
      </c>
      <c r="D154" s="11">
        <f t="shared" si="3"/>
        <v>76</v>
      </c>
      <c r="E154" s="6" t="s">
        <v>50</v>
      </c>
      <c r="F154" s="6">
        <f t="shared" si="2"/>
        <v>7</v>
      </c>
      <c r="G154" s="8">
        <v>4</v>
      </c>
      <c r="H154" s="6" t="str">
        <f>'Grad Raw Data'!I154</f>
        <v>Trent</v>
      </c>
      <c r="I154" s="6" t="str">
        <f>'Grad Raw Data'!H154</f>
        <v>Maganzini</v>
      </c>
      <c r="J154" s="6">
        <f>'Grad Raw Data'!G154</f>
        <v>0</v>
      </c>
    </row>
    <row r="155" spans="1:10" ht="18" x14ac:dyDescent="0.25">
      <c r="A155" s="6" t="s">
        <v>48</v>
      </c>
      <c r="B155" s="6" t="s">
        <v>61</v>
      </c>
      <c r="C155" s="6">
        <v>105</v>
      </c>
      <c r="D155" s="11">
        <f t="shared" si="3"/>
        <v>77</v>
      </c>
      <c r="E155" s="6" t="s">
        <v>50</v>
      </c>
      <c r="F155" s="6">
        <f t="shared" si="2"/>
        <v>7</v>
      </c>
      <c r="G155" s="8">
        <v>5</v>
      </c>
      <c r="H155" s="6" t="str">
        <f>'Grad Raw Data'!I155</f>
        <v>Emma</v>
      </c>
      <c r="I155" s="6" t="str">
        <f>'Grad Raw Data'!H155</f>
        <v>Mahoney</v>
      </c>
      <c r="J155" s="6">
        <f>'Grad Raw Data'!G155</f>
        <v>0</v>
      </c>
    </row>
    <row r="156" spans="1:10" ht="18" x14ac:dyDescent="0.25">
      <c r="A156" s="6" t="s">
        <v>48</v>
      </c>
      <c r="B156" s="6" t="s">
        <v>61</v>
      </c>
      <c r="C156" s="6">
        <v>106</v>
      </c>
      <c r="D156" s="11">
        <f t="shared" si="3"/>
        <v>78</v>
      </c>
      <c r="E156" s="6" t="s">
        <v>50</v>
      </c>
      <c r="F156" s="6">
        <f t="shared" si="2"/>
        <v>7</v>
      </c>
      <c r="G156" s="8">
        <v>6</v>
      </c>
      <c r="H156" s="6" t="str">
        <f>'Grad Raw Data'!I156</f>
        <v>Charles</v>
      </c>
      <c r="I156" s="6" t="str">
        <f>'Grad Raw Data'!H156</f>
        <v>Maness</v>
      </c>
      <c r="J156" s="6">
        <f>'Grad Raw Data'!G156</f>
        <v>0</v>
      </c>
    </row>
    <row r="157" spans="1:10" ht="18" x14ac:dyDescent="0.25">
      <c r="A157" s="6" t="s">
        <v>48</v>
      </c>
      <c r="B157" s="6" t="s">
        <v>61</v>
      </c>
      <c r="C157" s="6">
        <v>107</v>
      </c>
      <c r="D157" s="11">
        <f t="shared" si="3"/>
        <v>79</v>
      </c>
      <c r="E157" s="6" t="s">
        <v>50</v>
      </c>
      <c r="F157" s="6">
        <f t="shared" si="2"/>
        <v>7</v>
      </c>
      <c r="G157" s="8">
        <v>7</v>
      </c>
      <c r="H157" s="6" t="str">
        <f>'Grad Raw Data'!I157</f>
        <v>Evan</v>
      </c>
      <c r="I157" s="6" t="str">
        <f>'Grad Raw Data'!H157</f>
        <v>Manfredi</v>
      </c>
      <c r="J157" s="6">
        <f>'Grad Raw Data'!G157</f>
        <v>0</v>
      </c>
    </row>
    <row r="158" spans="1:10" ht="18" x14ac:dyDescent="0.25">
      <c r="A158" s="6" t="s">
        <v>48</v>
      </c>
      <c r="B158" s="6" t="s">
        <v>61</v>
      </c>
      <c r="C158" s="6">
        <v>108</v>
      </c>
      <c r="D158" s="11">
        <f t="shared" si="3"/>
        <v>80</v>
      </c>
      <c r="E158" s="6" t="s">
        <v>50</v>
      </c>
      <c r="F158" s="6">
        <f t="shared" si="2"/>
        <v>7</v>
      </c>
      <c r="G158" s="8">
        <v>8</v>
      </c>
      <c r="H158" s="6" t="str">
        <f>'Grad Raw Data'!I158</f>
        <v>Syler</v>
      </c>
      <c r="I158" s="6" t="str">
        <f>'Grad Raw Data'!H158</f>
        <v>Manning</v>
      </c>
      <c r="J158" s="6">
        <f>'Grad Raw Data'!G158</f>
        <v>0</v>
      </c>
    </row>
    <row r="159" spans="1:10" ht="18" x14ac:dyDescent="0.25">
      <c r="A159" s="6" t="s">
        <v>48</v>
      </c>
      <c r="B159" s="6" t="s">
        <v>61</v>
      </c>
      <c r="C159" s="6">
        <v>109</v>
      </c>
      <c r="D159" s="11">
        <f t="shared" si="3"/>
        <v>81</v>
      </c>
      <c r="E159" s="6" t="s">
        <v>50</v>
      </c>
      <c r="F159" s="6">
        <f t="shared" si="2"/>
        <v>7</v>
      </c>
      <c r="G159" s="8">
        <v>9</v>
      </c>
      <c r="H159" s="6" t="str">
        <f>'Grad Raw Data'!I159</f>
        <v>Tyler</v>
      </c>
      <c r="I159" s="6" t="str">
        <f>'Grad Raw Data'!H159</f>
        <v>Marchlik</v>
      </c>
      <c r="J159" s="6">
        <f>'Grad Raw Data'!G159</f>
        <v>0</v>
      </c>
    </row>
    <row r="160" spans="1:10" ht="18" x14ac:dyDescent="0.25">
      <c r="A160" s="6" t="s">
        <v>48</v>
      </c>
      <c r="B160" s="6" t="s">
        <v>61</v>
      </c>
      <c r="C160" s="6">
        <v>110</v>
      </c>
      <c r="D160" s="11">
        <f t="shared" si="3"/>
        <v>82</v>
      </c>
      <c r="E160" s="6" t="s">
        <v>50</v>
      </c>
      <c r="F160" s="6">
        <f t="shared" si="2"/>
        <v>7</v>
      </c>
      <c r="G160" s="8">
        <v>10</v>
      </c>
      <c r="H160" s="6" t="str">
        <f>'Grad Raw Data'!I160</f>
        <v>Addyson</v>
      </c>
      <c r="I160" s="6" t="str">
        <f>'Grad Raw Data'!H160</f>
        <v>Mathews</v>
      </c>
      <c r="J160" s="6">
        <f>'Grad Raw Data'!G160</f>
        <v>0</v>
      </c>
    </row>
    <row r="161" spans="1:10" ht="18" x14ac:dyDescent="0.25">
      <c r="A161" s="6" t="s">
        <v>48</v>
      </c>
      <c r="B161" s="6" t="s">
        <v>61</v>
      </c>
      <c r="C161" s="6">
        <v>111</v>
      </c>
      <c r="D161" s="11">
        <f t="shared" si="3"/>
        <v>83</v>
      </c>
      <c r="E161" s="6" t="s">
        <v>50</v>
      </c>
      <c r="F161" s="6">
        <f t="shared" si="2"/>
        <v>7</v>
      </c>
      <c r="G161" s="8">
        <v>11</v>
      </c>
      <c r="H161" s="6" t="str">
        <f>'Grad Raw Data'!I161</f>
        <v>Charlie</v>
      </c>
      <c r="I161" s="6" t="str">
        <f>'Grad Raw Data'!H161</f>
        <v>May</v>
      </c>
      <c r="J161" s="6">
        <f>'Grad Raw Data'!G161</f>
        <v>0</v>
      </c>
    </row>
    <row r="162" spans="1:10" ht="18.75" thickBot="1" x14ac:dyDescent="0.3">
      <c r="A162" s="4" t="s">
        <v>48</v>
      </c>
      <c r="B162" s="4" t="s">
        <v>61</v>
      </c>
      <c r="C162" s="4">
        <v>112</v>
      </c>
      <c r="D162" s="11">
        <f t="shared" si="3"/>
        <v>84</v>
      </c>
      <c r="E162" s="4" t="s">
        <v>50</v>
      </c>
      <c r="F162" s="4">
        <f t="shared" si="2"/>
        <v>7</v>
      </c>
      <c r="G162" s="5">
        <v>12</v>
      </c>
      <c r="H162" s="6" t="str">
        <f>'Grad Raw Data'!I162</f>
        <v>Caleb</v>
      </c>
      <c r="I162" s="6" t="str">
        <f>'Grad Raw Data'!H162</f>
        <v>McGonagle</v>
      </c>
      <c r="J162" s="6">
        <f>'Grad Raw Data'!G162</f>
        <v>0</v>
      </c>
    </row>
    <row r="163" spans="1:10" ht="18.75" thickTop="1" x14ac:dyDescent="0.25">
      <c r="A163" s="6" t="s">
        <v>51</v>
      </c>
      <c r="B163" s="6" t="s">
        <v>62</v>
      </c>
      <c r="C163" s="6">
        <v>124</v>
      </c>
      <c r="D163" s="11">
        <f t="shared" si="3"/>
        <v>73</v>
      </c>
      <c r="E163" s="6" t="s">
        <v>53</v>
      </c>
      <c r="F163" s="6">
        <f>F139+1</f>
        <v>7</v>
      </c>
      <c r="G163" s="8">
        <v>1</v>
      </c>
      <c r="H163" s="6" t="str">
        <f>'Grad Raw Data'!I163</f>
        <v>Makenna</v>
      </c>
      <c r="I163" s="6" t="str">
        <f>'Grad Raw Data'!H163</f>
        <v>McGrath</v>
      </c>
      <c r="J163" s="6">
        <f>'Grad Raw Data'!G163</f>
        <v>0</v>
      </c>
    </row>
    <row r="164" spans="1:10" ht="18" x14ac:dyDescent="0.25">
      <c r="A164" s="6" t="s">
        <v>51</v>
      </c>
      <c r="B164" s="6" t="s">
        <v>62</v>
      </c>
      <c r="C164" s="6">
        <v>122</v>
      </c>
      <c r="D164" s="11">
        <f t="shared" si="3"/>
        <v>74</v>
      </c>
      <c r="E164" s="6" t="s">
        <v>53</v>
      </c>
      <c r="F164" s="6">
        <f t="shared" si="2"/>
        <v>7</v>
      </c>
      <c r="G164" s="8">
        <v>2</v>
      </c>
      <c r="H164" s="6" t="str">
        <f>'Grad Raw Data'!I164</f>
        <v>Zoe</v>
      </c>
      <c r="I164" s="6" t="str">
        <f>'Grad Raw Data'!H164</f>
        <v>McLaughlin-Shostak</v>
      </c>
      <c r="J164" s="6">
        <f>'Grad Raw Data'!G164</f>
        <v>0</v>
      </c>
    </row>
    <row r="165" spans="1:10" ht="18" x14ac:dyDescent="0.25">
      <c r="A165" s="6" t="s">
        <v>51</v>
      </c>
      <c r="B165" s="6" t="s">
        <v>62</v>
      </c>
      <c r="C165" s="6">
        <v>120</v>
      </c>
      <c r="D165" s="11">
        <f t="shared" si="3"/>
        <v>75</v>
      </c>
      <c r="E165" s="6" t="s">
        <v>53</v>
      </c>
      <c r="F165" s="6">
        <f t="shared" si="2"/>
        <v>7</v>
      </c>
      <c r="G165" s="8">
        <v>3</v>
      </c>
      <c r="H165" s="6" t="str">
        <f>'Grad Raw Data'!I165</f>
        <v>Ella</v>
      </c>
      <c r="I165" s="6" t="str">
        <f>'Grad Raw Data'!H165</f>
        <v>McMenimen</v>
      </c>
      <c r="J165" s="6">
        <f>'Grad Raw Data'!G165</f>
        <v>0</v>
      </c>
    </row>
    <row r="166" spans="1:10" ht="18" x14ac:dyDescent="0.25">
      <c r="A166" s="6" t="s">
        <v>51</v>
      </c>
      <c r="B166" s="6" t="s">
        <v>62</v>
      </c>
      <c r="C166" s="6">
        <v>118</v>
      </c>
      <c r="D166" s="11">
        <f t="shared" si="3"/>
        <v>76</v>
      </c>
      <c r="E166" s="6" t="s">
        <v>53</v>
      </c>
      <c r="F166" s="6">
        <f t="shared" si="2"/>
        <v>7</v>
      </c>
      <c r="G166" s="8">
        <v>4</v>
      </c>
      <c r="H166" s="6" t="str">
        <f>'Grad Raw Data'!I166</f>
        <v>Jack</v>
      </c>
      <c r="I166" s="6" t="str">
        <f>'Grad Raw Data'!H166</f>
        <v>Melly</v>
      </c>
      <c r="J166" s="6">
        <f>'Grad Raw Data'!G166</f>
        <v>0</v>
      </c>
    </row>
    <row r="167" spans="1:10" ht="18" x14ac:dyDescent="0.25">
      <c r="A167" s="6" t="s">
        <v>51</v>
      </c>
      <c r="B167" s="6" t="s">
        <v>62</v>
      </c>
      <c r="C167" s="6">
        <v>116</v>
      </c>
      <c r="D167" s="11">
        <f t="shared" si="3"/>
        <v>77</v>
      </c>
      <c r="E167" s="6" t="s">
        <v>53</v>
      </c>
      <c r="F167" s="6">
        <f t="shared" si="2"/>
        <v>7</v>
      </c>
      <c r="G167" s="8">
        <v>5</v>
      </c>
      <c r="H167" s="6" t="str">
        <f>'Grad Raw Data'!I167</f>
        <v>Alex</v>
      </c>
      <c r="I167" s="6" t="str">
        <f>'Grad Raw Data'!H167</f>
        <v>Merkle</v>
      </c>
      <c r="J167" s="6">
        <f>'Grad Raw Data'!G167</f>
        <v>0</v>
      </c>
    </row>
    <row r="168" spans="1:10" ht="18" x14ac:dyDescent="0.25">
      <c r="A168" s="6" t="s">
        <v>51</v>
      </c>
      <c r="B168" s="6" t="s">
        <v>62</v>
      </c>
      <c r="C168" s="6">
        <v>114</v>
      </c>
      <c r="D168" s="11">
        <f t="shared" si="3"/>
        <v>78</v>
      </c>
      <c r="E168" s="6" t="s">
        <v>53</v>
      </c>
      <c r="F168" s="6">
        <f t="shared" ref="F168:F174" si="4">F144+1</f>
        <v>7</v>
      </c>
      <c r="G168" s="8">
        <v>6</v>
      </c>
      <c r="H168" s="6" t="str">
        <f>'Grad Raw Data'!I168</f>
        <v>Will</v>
      </c>
      <c r="I168" s="6" t="str">
        <f>'Grad Raw Data'!H168</f>
        <v>Merkle</v>
      </c>
      <c r="J168" s="6">
        <f>'Grad Raw Data'!G168</f>
        <v>0</v>
      </c>
    </row>
    <row r="169" spans="1:10" ht="18" x14ac:dyDescent="0.25">
      <c r="A169" s="6" t="s">
        <v>51</v>
      </c>
      <c r="B169" s="6" t="s">
        <v>62</v>
      </c>
      <c r="C169" s="6">
        <v>112</v>
      </c>
      <c r="D169" s="11">
        <f t="shared" si="3"/>
        <v>79</v>
      </c>
      <c r="E169" s="6" t="s">
        <v>53</v>
      </c>
      <c r="F169" s="6">
        <f t="shared" si="4"/>
        <v>7</v>
      </c>
      <c r="G169" s="8">
        <v>7</v>
      </c>
      <c r="H169" s="6" t="str">
        <f>'Grad Raw Data'!I169</f>
        <v>Gianna</v>
      </c>
      <c r="I169" s="6" t="str">
        <f>'Grad Raw Data'!H169</f>
        <v>Miceli</v>
      </c>
      <c r="J169" s="6">
        <f>'Grad Raw Data'!G169</f>
        <v>0</v>
      </c>
    </row>
    <row r="170" spans="1:10" ht="18" x14ac:dyDescent="0.25">
      <c r="A170" s="6" t="s">
        <v>51</v>
      </c>
      <c r="B170" s="6" t="s">
        <v>62</v>
      </c>
      <c r="C170" s="6">
        <v>110</v>
      </c>
      <c r="D170" s="11">
        <f t="shared" si="3"/>
        <v>80</v>
      </c>
      <c r="E170" s="6" t="s">
        <v>53</v>
      </c>
      <c r="F170" s="6">
        <f t="shared" si="4"/>
        <v>7</v>
      </c>
      <c r="G170" s="8">
        <v>8</v>
      </c>
      <c r="H170" s="6" t="str">
        <f>'Grad Raw Data'!I170</f>
        <v>Karmani</v>
      </c>
      <c r="I170" s="6" t="str">
        <f>'Grad Raw Data'!H170</f>
        <v>Mirville</v>
      </c>
      <c r="J170" s="6">
        <f>'Grad Raw Data'!G170</f>
        <v>0</v>
      </c>
    </row>
    <row r="171" spans="1:10" ht="18" x14ac:dyDescent="0.25">
      <c r="A171" s="6" t="s">
        <v>51</v>
      </c>
      <c r="B171" s="6" t="s">
        <v>62</v>
      </c>
      <c r="C171" s="6">
        <v>108</v>
      </c>
      <c r="D171" s="11">
        <f t="shared" si="3"/>
        <v>81</v>
      </c>
      <c r="E171" s="6" t="s">
        <v>53</v>
      </c>
      <c r="F171" s="6">
        <f t="shared" si="4"/>
        <v>7</v>
      </c>
      <c r="G171" s="8">
        <v>9</v>
      </c>
      <c r="H171" s="6" t="str">
        <f>'Grad Raw Data'!I171</f>
        <v>Mason</v>
      </c>
      <c r="I171" s="6" t="str">
        <f>'Grad Raw Data'!H171</f>
        <v>Moll</v>
      </c>
      <c r="J171" s="6">
        <f>'Grad Raw Data'!G171</f>
        <v>0</v>
      </c>
    </row>
    <row r="172" spans="1:10" ht="18" x14ac:dyDescent="0.25">
      <c r="A172" s="6" t="s">
        <v>51</v>
      </c>
      <c r="B172" s="6" t="s">
        <v>62</v>
      </c>
      <c r="C172" s="6">
        <v>106</v>
      </c>
      <c r="D172" s="11">
        <f t="shared" si="3"/>
        <v>82</v>
      </c>
      <c r="E172" s="6" t="s">
        <v>53</v>
      </c>
      <c r="F172" s="6">
        <f t="shared" si="4"/>
        <v>7</v>
      </c>
      <c r="G172" s="8">
        <v>10</v>
      </c>
      <c r="H172" s="6" t="str">
        <f>'Grad Raw Data'!I172</f>
        <v>Marcus</v>
      </c>
      <c r="I172" s="6" t="str">
        <f>'Grad Raw Data'!H172</f>
        <v>Moller</v>
      </c>
      <c r="J172" s="6">
        <f>'Grad Raw Data'!G172</f>
        <v>0</v>
      </c>
    </row>
    <row r="173" spans="1:10" ht="18" x14ac:dyDescent="0.25">
      <c r="A173" s="6" t="s">
        <v>51</v>
      </c>
      <c r="B173" s="6" t="s">
        <v>62</v>
      </c>
      <c r="C173" s="6">
        <v>104</v>
      </c>
      <c r="D173" s="11">
        <f t="shared" si="3"/>
        <v>83</v>
      </c>
      <c r="E173" s="6" t="s">
        <v>53</v>
      </c>
      <c r="F173" s="6">
        <f t="shared" si="4"/>
        <v>7</v>
      </c>
      <c r="G173" s="8">
        <v>11</v>
      </c>
      <c r="H173" s="6" t="str">
        <f>'Grad Raw Data'!I173</f>
        <v>Evangeline</v>
      </c>
      <c r="I173" s="6" t="str">
        <f>'Grad Raw Data'!H173</f>
        <v>Moreira</v>
      </c>
      <c r="J173" s="6">
        <f>'Grad Raw Data'!G173</f>
        <v>0</v>
      </c>
    </row>
    <row r="174" spans="1:10" ht="18.75" thickBot="1" x14ac:dyDescent="0.3">
      <c r="A174" s="4" t="s">
        <v>51</v>
      </c>
      <c r="B174" s="4" t="s">
        <v>62</v>
      </c>
      <c r="C174" s="4">
        <v>102</v>
      </c>
      <c r="D174" s="11">
        <f t="shared" si="3"/>
        <v>84</v>
      </c>
      <c r="E174" s="4" t="s">
        <v>53</v>
      </c>
      <c r="F174" s="4">
        <f t="shared" si="4"/>
        <v>7</v>
      </c>
      <c r="G174" s="5">
        <v>12</v>
      </c>
      <c r="H174" s="6" t="str">
        <f>'Grad Raw Data'!I174</f>
        <v>Bobby</v>
      </c>
      <c r="I174" s="6" t="str">
        <f>'Grad Raw Data'!H174</f>
        <v>Morris</v>
      </c>
      <c r="J174" s="6">
        <f>'Grad Raw Data'!G174</f>
        <v>0</v>
      </c>
    </row>
    <row r="175" spans="1:10" ht="18.75" thickTop="1" x14ac:dyDescent="0.25">
      <c r="A175" s="6" t="s">
        <v>48</v>
      </c>
      <c r="B175" s="6" t="s">
        <v>63</v>
      </c>
      <c r="C175" s="6">
        <v>101</v>
      </c>
      <c r="D175" s="11">
        <f t="shared" si="3"/>
        <v>85</v>
      </c>
      <c r="E175" s="6" t="s">
        <v>50</v>
      </c>
      <c r="F175" s="6">
        <f>F151+1</f>
        <v>8</v>
      </c>
      <c r="G175" s="8">
        <v>1</v>
      </c>
      <c r="H175" s="6" t="str">
        <f>'Grad Raw Data'!I175</f>
        <v>Kaiden</v>
      </c>
      <c r="I175" s="6" t="str">
        <f>'Grad Raw Data'!H175</f>
        <v>Morrison</v>
      </c>
      <c r="J175" s="6">
        <f>'Grad Raw Data'!G175</f>
        <v>0</v>
      </c>
    </row>
    <row r="176" spans="1:10" ht="18" x14ac:dyDescent="0.25">
      <c r="A176" s="6" t="s">
        <v>48</v>
      </c>
      <c r="B176" s="6" t="s">
        <v>63</v>
      </c>
      <c r="C176" s="6">
        <v>102</v>
      </c>
      <c r="D176" s="11">
        <f t="shared" si="3"/>
        <v>86</v>
      </c>
      <c r="E176" s="6" t="s">
        <v>50</v>
      </c>
      <c r="F176" s="6">
        <f t="shared" ref="F176:F186" si="5">F152+1</f>
        <v>8</v>
      </c>
      <c r="G176" s="8">
        <v>2</v>
      </c>
      <c r="H176" s="6" t="str">
        <f>'Grad Raw Data'!I176</f>
        <v>Abdul</v>
      </c>
      <c r="I176" s="6" t="str">
        <f>'Grad Raw Data'!H176</f>
        <v>Mughal</v>
      </c>
      <c r="J176" s="6">
        <f>'Grad Raw Data'!G176</f>
        <v>0</v>
      </c>
    </row>
    <row r="177" spans="1:10" ht="18" x14ac:dyDescent="0.25">
      <c r="A177" s="6" t="s">
        <v>48</v>
      </c>
      <c r="B177" s="6" t="s">
        <v>63</v>
      </c>
      <c r="C177" s="6">
        <v>103</v>
      </c>
      <c r="D177" s="11">
        <f t="shared" si="3"/>
        <v>87</v>
      </c>
      <c r="E177" s="6" t="s">
        <v>50</v>
      </c>
      <c r="F177" s="6">
        <f t="shared" si="5"/>
        <v>8</v>
      </c>
      <c r="G177" s="8">
        <v>3</v>
      </c>
      <c r="H177" s="6" t="str">
        <f>'Grad Raw Data'!I177</f>
        <v>William</v>
      </c>
      <c r="I177" s="6" t="str">
        <f>'Grad Raw Data'!H177</f>
        <v>Muller</v>
      </c>
      <c r="J177" s="6">
        <f>'Grad Raw Data'!G177</f>
        <v>0</v>
      </c>
    </row>
    <row r="178" spans="1:10" ht="18" x14ac:dyDescent="0.25">
      <c r="A178" s="6" t="s">
        <v>48</v>
      </c>
      <c r="B178" s="6" t="s">
        <v>63</v>
      </c>
      <c r="C178" s="6">
        <v>104</v>
      </c>
      <c r="D178" s="11">
        <f t="shared" si="3"/>
        <v>88</v>
      </c>
      <c r="E178" s="6" t="s">
        <v>50</v>
      </c>
      <c r="F178" s="6">
        <f t="shared" si="5"/>
        <v>8</v>
      </c>
      <c r="G178" s="8">
        <v>4</v>
      </c>
      <c r="H178" s="6" t="str">
        <f>'Grad Raw Data'!I178</f>
        <v>Jack</v>
      </c>
      <c r="I178" s="6" t="str">
        <f>'Grad Raw Data'!H178</f>
        <v>Murphy</v>
      </c>
      <c r="J178" s="6">
        <f>'Grad Raw Data'!G178</f>
        <v>0</v>
      </c>
    </row>
    <row r="179" spans="1:10" ht="18" x14ac:dyDescent="0.25">
      <c r="A179" s="6" t="s">
        <v>48</v>
      </c>
      <c r="B179" s="6" t="s">
        <v>63</v>
      </c>
      <c r="C179" s="6">
        <v>105</v>
      </c>
      <c r="D179" s="11">
        <f t="shared" si="3"/>
        <v>89</v>
      </c>
      <c r="E179" s="6" t="s">
        <v>50</v>
      </c>
      <c r="F179" s="6">
        <f t="shared" si="5"/>
        <v>8</v>
      </c>
      <c r="G179" s="8">
        <v>5</v>
      </c>
      <c r="H179" s="6" t="str">
        <f>'Grad Raw Data'!I179</f>
        <v>Abigail</v>
      </c>
      <c r="I179" s="6" t="str">
        <f>'Grad Raw Data'!H179</f>
        <v>Nelson</v>
      </c>
      <c r="J179" s="6">
        <f>'Grad Raw Data'!G179</f>
        <v>0</v>
      </c>
    </row>
    <row r="180" spans="1:10" ht="18" x14ac:dyDescent="0.25">
      <c r="A180" s="6" t="s">
        <v>48</v>
      </c>
      <c r="B180" s="6" t="s">
        <v>63</v>
      </c>
      <c r="C180" s="6">
        <v>106</v>
      </c>
      <c r="D180" s="11">
        <f t="shared" si="3"/>
        <v>90</v>
      </c>
      <c r="E180" s="6" t="s">
        <v>50</v>
      </c>
      <c r="F180" s="6">
        <f t="shared" si="5"/>
        <v>8</v>
      </c>
      <c r="G180" s="8">
        <v>6</v>
      </c>
      <c r="H180" s="6" t="str">
        <f>'Grad Raw Data'!I180</f>
        <v>Patience</v>
      </c>
      <c r="I180" s="6" t="str">
        <f>'Grad Raw Data'!H180</f>
        <v>Nguyen</v>
      </c>
      <c r="J180" s="6">
        <f>'Grad Raw Data'!G180</f>
        <v>0</v>
      </c>
    </row>
    <row r="181" spans="1:10" ht="18" x14ac:dyDescent="0.25">
      <c r="A181" s="6" t="s">
        <v>48</v>
      </c>
      <c r="B181" s="6" t="s">
        <v>63</v>
      </c>
      <c r="C181" s="6">
        <v>107</v>
      </c>
      <c r="D181" s="11">
        <f t="shared" si="3"/>
        <v>91</v>
      </c>
      <c r="E181" s="6" t="s">
        <v>50</v>
      </c>
      <c r="F181" s="6">
        <f t="shared" si="5"/>
        <v>8</v>
      </c>
      <c r="G181" s="8">
        <v>7</v>
      </c>
      <c r="H181" s="6" t="str">
        <f>'Grad Raw Data'!I181</f>
        <v>Charlotte</v>
      </c>
      <c r="I181" s="6" t="str">
        <f>'Grad Raw Data'!H181</f>
        <v>Nolty</v>
      </c>
      <c r="J181" s="6">
        <f>'Grad Raw Data'!G181</f>
        <v>0</v>
      </c>
    </row>
    <row r="182" spans="1:10" ht="18" x14ac:dyDescent="0.25">
      <c r="A182" s="6" t="s">
        <v>48</v>
      </c>
      <c r="B182" s="6" t="s">
        <v>63</v>
      </c>
      <c r="C182" s="6">
        <v>108</v>
      </c>
      <c r="D182" s="11">
        <f t="shared" si="3"/>
        <v>92</v>
      </c>
      <c r="E182" s="6" t="s">
        <v>50</v>
      </c>
      <c r="F182" s="6">
        <f t="shared" si="5"/>
        <v>8</v>
      </c>
      <c r="G182" s="8">
        <v>8</v>
      </c>
      <c r="H182" s="6" t="str">
        <f>'Grad Raw Data'!I182</f>
        <v>Mackenzie</v>
      </c>
      <c r="I182" s="6" t="str">
        <f>'Grad Raw Data'!H182</f>
        <v>Norris</v>
      </c>
      <c r="J182" s="6">
        <f>'Grad Raw Data'!G182</f>
        <v>0</v>
      </c>
    </row>
    <row r="183" spans="1:10" ht="18" x14ac:dyDescent="0.25">
      <c r="A183" s="6" t="s">
        <v>48</v>
      </c>
      <c r="B183" s="6" t="s">
        <v>63</v>
      </c>
      <c r="C183" s="6">
        <v>109</v>
      </c>
      <c r="D183" s="11">
        <f t="shared" si="3"/>
        <v>93</v>
      </c>
      <c r="E183" s="6" t="s">
        <v>50</v>
      </c>
      <c r="F183" s="6">
        <f t="shared" si="5"/>
        <v>8</v>
      </c>
      <c r="G183" s="8">
        <v>9</v>
      </c>
      <c r="H183" s="6" t="str">
        <f>'Grad Raw Data'!I183</f>
        <v>Michelle</v>
      </c>
      <c r="I183" s="6" t="str">
        <f>'Grad Raw Data'!H183</f>
        <v>Ohlson</v>
      </c>
      <c r="J183" s="6">
        <f>'Grad Raw Data'!G183</f>
        <v>0</v>
      </c>
    </row>
    <row r="184" spans="1:10" ht="18" x14ac:dyDescent="0.25">
      <c r="A184" s="6" t="s">
        <v>48</v>
      </c>
      <c r="B184" s="6" t="s">
        <v>63</v>
      </c>
      <c r="C184" s="6">
        <v>110</v>
      </c>
      <c r="D184" s="11">
        <f t="shared" si="3"/>
        <v>94</v>
      </c>
      <c r="E184" s="6" t="s">
        <v>50</v>
      </c>
      <c r="F184" s="6">
        <f t="shared" si="5"/>
        <v>8</v>
      </c>
      <c r="G184" s="8">
        <v>10</v>
      </c>
      <c r="H184" s="6" t="str">
        <f>'Grad Raw Data'!I184</f>
        <v>Natalie</v>
      </c>
      <c r="I184" s="6" t="str">
        <f>'Grad Raw Data'!H184</f>
        <v>Ortins</v>
      </c>
      <c r="J184" s="6">
        <f>'Grad Raw Data'!G184</f>
        <v>0</v>
      </c>
    </row>
    <row r="185" spans="1:10" ht="18" x14ac:dyDescent="0.25">
      <c r="A185" s="6" t="s">
        <v>48</v>
      </c>
      <c r="B185" s="6" t="s">
        <v>63</v>
      </c>
      <c r="C185" s="6">
        <v>111</v>
      </c>
      <c r="D185" s="11">
        <f t="shared" si="3"/>
        <v>95</v>
      </c>
      <c r="E185" s="6" t="s">
        <v>50</v>
      </c>
      <c r="F185" s="6">
        <f t="shared" si="5"/>
        <v>8</v>
      </c>
      <c r="G185" s="8">
        <v>11</v>
      </c>
      <c r="H185" s="6" t="str">
        <f>'Grad Raw Data'!I185</f>
        <v>Franklin</v>
      </c>
      <c r="I185" s="6" t="str">
        <f>'Grad Raw Data'!H185</f>
        <v>Ortiz</v>
      </c>
      <c r="J185" s="6">
        <f>'Grad Raw Data'!G185</f>
        <v>0</v>
      </c>
    </row>
    <row r="186" spans="1:10" ht="18.75" thickBot="1" x14ac:dyDescent="0.3">
      <c r="A186" s="4" t="s">
        <v>48</v>
      </c>
      <c r="B186" s="4" t="s">
        <v>63</v>
      </c>
      <c r="C186" s="4">
        <v>112</v>
      </c>
      <c r="D186" s="11">
        <f t="shared" si="3"/>
        <v>96</v>
      </c>
      <c r="E186" s="4" t="s">
        <v>50</v>
      </c>
      <c r="F186" s="4">
        <f t="shared" si="5"/>
        <v>8</v>
      </c>
      <c r="G186" s="5">
        <v>12</v>
      </c>
      <c r="H186" s="6" t="str">
        <f>'Grad Raw Data'!I186</f>
        <v>Isabelle</v>
      </c>
      <c r="I186" s="6" t="str">
        <f>'Grad Raw Data'!H186</f>
        <v>Parent</v>
      </c>
      <c r="J186" s="6">
        <f>'Grad Raw Data'!G186</f>
        <v>0</v>
      </c>
    </row>
    <row r="187" spans="1:10" ht="18.75" thickTop="1" x14ac:dyDescent="0.25">
      <c r="A187" s="6" t="s">
        <v>51</v>
      </c>
      <c r="B187" s="6" t="s">
        <v>62</v>
      </c>
      <c r="C187" s="6">
        <v>101</v>
      </c>
      <c r="D187" s="11">
        <f t="shared" si="3"/>
        <v>85</v>
      </c>
      <c r="E187" s="6" t="s">
        <v>53</v>
      </c>
      <c r="F187" s="6">
        <f>F163+1</f>
        <v>8</v>
      </c>
      <c r="G187" s="8">
        <v>1</v>
      </c>
      <c r="H187" s="6" t="str">
        <f>'Grad Raw Data'!I187</f>
        <v>Saloni</v>
      </c>
      <c r="I187" s="6" t="str">
        <f>'Grad Raw Data'!H187</f>
        <v>Patel</v>
      </c>
      <c r="J187" s="6">
        <f>'Grad Raw Data'!G187</f>
        <v>0</v>
      </c>
    </row>
    <row r="188" spans="1:10" ht="18" x14ac:dyDescent="0.25">
      <c r="A188" s="6" t="s">
        <v>51</v>
      </c>
      <c r="B188" s="6" t="s">
        <v>62</v>
      </c>
      <c r="C188" s="6">
        <v>103</v>
      </c>
      <c r="D188" s="11">
        <f t="shared" si="3"/>
        <v>86</v>
      </c>
      <c r="E188" s="6" t="s">
        <v>53</v>
      </c>
      <c r="F188" s="6">
        <f t="shared" ref="F188:F198" si="6">F164+1</f>
        <v>8</v>
      </c>
      <c r="G188" s="8">
        <v>2</v>
      </c>
      <c r="H188" s="6" t="str">
        <f>'Grad Raw Data'!I188</f>
        <v>Lerika</v>
      </c>
      <c r="I188" s="6" t="str">
        <f>'Grad Raw Data'!H188</f>
        <v>Peat</v>
      </c>
      <c r="J188" s="6">
        <f>'Grad Raw Data'!G188</f>
        <v>0</v>
      </c>
    </row>
    <row r="189" spans="1:10" ht="18" x14ac:dyDescent="0.25">
      <c r="A189" s="6" t="s">
        <v>51</v>
      </c>
      <c r="B189" s="6" t="s">
        <v>62</v>
      </c>
      <c r="C189" s="6">
        <v>105</v>
      </c>
      <c r="D189" s="11">
        <f t="shared" si="3"/>
        <v>87</v>
      </c>
      <c r="E189" s="6" t="s">
        <v>53</v>
      </c>
      <c r="F189" s="6">
        <f t="shared" si="6"/>
        <v>8</v>
      </c>
      <c r="G189" s="8">
        <v>3</v>
      </c>
      <c r="H189" s="6" t="str">
        <f>'Grad Raw Data'!I189</f>
        <v>Jacob</v>
      </c>
      <c r="I189" s="6" t="str">
        <f>'Grad Raw Data'!H189</f>
        <v>Petrin</v>
      </c>
      <c r="J189" s="6">
        <f>'Grad Raw Data'!G189</f>
        <v>0</v>
      </c>
    </row>
    <row r="190" spans="1:10" ht="18" x14ac:dyDescent="0.25">
      <c r="A190" s="6" t="s">
        <v>51</v>
      </c>
      <c r="B190" s="6" t="s">
        <v>62</v>
      </c>
      <c r="C190" s="6">
        <v>107</v>
      </c>
      <c r="D190" s="11">
        <f t="shared" si="3"/>
        <v>88</v>
      </c>
      <c r="E190" s="6" t="s">
        <v>53</v>
      </c>
      <c r="F190" s="6">
        <f t="shared" si="6"/>
        <v>8</v>
      </c>
      <c r="G190" s="8">
        <v>4</v>
      </c>
      <c r="H190" s="6" t="str">
        <f>'Grad Raw Data'!I190</f>
        <v>Wyatt</v>
      </c>
      <c r="I190" s="6" t="str">
        <f>'Grad Raw Data'!H190</f>
        <v>Picard</v>
      </c>
      <c r="J190" s="6">
        <f>'Grad Raw Data'!G190</f>
        <v>0</v>
      </c>
    </row>
    <row r="191" spans="1:10" ht="18" x14ac:dyDescent="0.25">
      <c r="A191" s="6" t="s">
        <v>51</v>
      </c>
      <c r="B191" s="6" t="s">
        <v>62</v>
      </c>
      <c r="C191" s="6">
        <v>109</v>
      </c>
      <c r="D191" s="11">
        <f t="shared" si="3"/>
        <v>89</v>
      </c>
      <c r="E191" s="6" t="s">
        <v>53</v>
      </c>
      <c r="F191" s="6">
        <f t="shared" si="6"/>
        <v>8</v>
      </c>
      <c r="G191" s="8">
        <v>5</v>
      </c>
      <c r="H191" s="6" t="str">
        <f>'Grad Raw Data'!I191</f>
        <v>Samantha</v>
      </c>
      <c r="I191" s="6" t="str">
        <f>'Grad Raw Data'!H191</f>
        <v>Pomerantz</v>
      </c>
      <c r="J191" s="6">
        <f>'Grad Raw Data'!G191</f>
        <v>0</v>
      </c>
    </row>
    <row r="192" spans="1:10" ht="18" x14ac:dyDescent="0.25">
      <c r="A192" s="6" t="s">
        <v>51</v>
      </c>
      <c r="B192" s="6" t="s">
        <v>62</v>
      </c>
      <c r="C192" s="6">
        <v>111</v>
      </c>
      <c r="D192" s="11">
        <f t="shared" si="3"/>
        <v>90</v>
      </c>
      <c r="E192" s="6" t="s">
        <v>53</v>
      </c>
      <c r="F192" s="6">
        <f t="shared" si="6"/>
        <v>8</v>
      </c>
      <c r="G192" s="8">
        <v>6</v>
      </c>
      <c r="H192" s="6" t="str">
        <f>'Grad Raw Data'!I192</f>
        <v>Shivani</v>
      </c>
      <c r="I192" s="6" t="str">
        <f>'Grad Raw Data'!H192</f>
        <v>Poudyal</v>
      </c>
      <c r="J192" s="6">
        <f>'Grad Raw Data'!G192</f>
        <v>0</v>
      </c>
    </row>
    <row r="193" spans="1:10" ht="18" x14ac:dyDescent="0.25">
      <c r="A193" s="6" t="s">
        <v>51</v>
      </c>
      <c r="B193" s="6" t="s">
        <v>62</v>
      </c>
      <c r="C193" s="6">
        <v>113</v>
      </c>
      <c r="D193" s="11">
        <f t="shared" si="3"/>
        <v>91</v>
      </c>
      <c r="E193" s="6" t="s">
        <v>53</v>
      </c>
      <c r="F193" s="6">
        <f t="shared" si="6"/>
        <v>8</v>
      </c>
      <c r="G193" s="8">
        <v>7</v>
      </c>
      <c r="H193" s="6" t="str">
        <f>'Grad Raw Data'!I193</f>
        <v>Ryan</v>
      </c>
      <c r="I193" s="6" t="str">
        <f>'Grad Raw Data'!H193</f>
        <v>Pulpi</v>
      </c>
      <c r="J193" s="6">
        <f>'Grad Raw Data'!G193</f>
        <v>0</v>
      </c>
    </row>
    <row r="194" spans="1:10" ht="18" x14ac:dyDescent="0.25">
      <c r="A194" s="6" t="s">
        <v>51</v>
      </c>
      <c r="B194" s="6" t="s">
        <v>62</v>
      </c>
      <c r="C194" s="6">
        <v>115</v>
      </c>
      <c r="D194" s="11">
        <f t="shared" si="3"/>
        <v>92</v>
      </c>
      <c r="E194" s="6" t="s">
        <v>53</v>
      </c>
      <c r="F194" s="6">
        <f t="shared" si="6"/>
        <v>8</v>
      </c>
      <c r="G194" s="8">
        <v>8</v>
      </c>
      <c r="H194" s="6" t="str">
        <f>'Grad Raw Data'!I194</f>
        <v>Jessica</v>
      </c>
      <c r="I194" s="6" t="str">
        <f>'Grad Raw Data'!H194</f>
        <v>Rai</v>
      </c>
      <c r="J194" s="6">
        <f>'Grad Raw Data'!G194</f>
        <v>0</v>
      </c>
    </row>
    <row r="195" spans="1:10" ht="18" x14ac:dyDescent="0.25">
      <c r="A195" s="6" t="s">
        <v>51</v>
      </c>
      <c r="B195" s="6" t="s">
        <v>62</v>
      </c>
      <c r="C195" s="6">
        <v>117</v>
      </c>
      <c r="D195" s="11">
        <f t="shared" si="3"/>
        <v>93</v>
      </c>
      <c r="E195" s="6" t="s">
        <v>53</v>
      </c>
      <c r="F195" s="6">
        <f t="shared" si="6"/>
        <v>8</v>
      </c>
      <c r="G195" s="8">
        <v>9</v>
      </c>
      <c r="H195" s="6" t="str">
        <f>'Grad Raw Data'!I195</f>
        <v>Ted</v>
      </c>
      <c r="I195" s="6" t="str">
        <f>'Grad Raw Data'!H195</f>
        <v>Ravens</v>
      </c>
      <c r="J195" s="6">
        <f>'Grad Raw Data'!G195</f>
        <v>0</v>
      </c>
    </row>
    <row r="196" spans="1:10" ht="18" x14ac:dyDescent="0.25">
      <c r="A196" s="6" t="s">
        <v>51</v>
      </c>
      <c r="B196" s="6" t="s">
        <v>62</v>
      </c>
      <c r="C196" s="6">
        <v>119</v>
      </c>
      <c r="D196" s="11">
        <f t="shared" si="3"/>
        <v>94</v>
      </c>
      <c r="E196" s="6" t="s">
        <v>53</v>
      </c>
      <c r="F196" s="6">
        <f t="shared" si="6"/>
        <v>8</v>
      </c>
      <c r="G196" s="8">
        <v>10</v>
      </c>
      <c r="H196" s="6" t="str">
        <f>'Grad Raw Data'!I196</f>
        <v>Lucas</v>
      </c>
      <c r="I196" s="6" t="str">
        <f>'Grad Raw Data'!H196</f>
        <v>Reis</v>
      </c>
      <c r="J196" s="6">
        <f>'Grad Raw Data'!G196</f>
        <v>0</v>
      </c>
    </row>
    <row r="197" spans="1:10" ht="18" x14ac:dyDescent="0.25">
      <c r="A197" s="6" t="s">
        <v>51</v>
      </c>
      <c r="B197" s="6" t="s">
        <v>62</v>
      </c>
      <c r="C197" s="6">
        <v>121</v>
      </c>
      <c r="D197" s="11">
        <f t="shared" si="3"/>
        <v>95</v>
      </c>
      <c r="E197" s="6" t="s">
        <v>53</v>
      </c>
      <c r="F197" s="6">
        <f t="shared" si="6"/>
        <v>8</v>
      </c>
      <c r="G197" s="8">
        <v>11</v>
      </c>
      <c r="H197" s="6" t="str">
        <f>'Grad Raw Data'!I197</f>
        <v>Olivia</v>
      </c>
      <c r="I197" s="6" t="str">
        <f>'Grad Raw Data'!H197</f>
        <v>Renda</v>
      </c>
      <c r="J197" s="6">
        <f>'Grad Raw Data'!G197</f>
        <v>0</v>
      </c>
    </row>
    <row r="198" spans="1:10" ht="18.75" thickBot="1" x14ac:dyDescent="0.3">
      <c r="A198" s="4" t="s">
        <v>51</v>
      </c>
      <c r="B198" s="4" t="s">
        <v>62</v>
      </c>
      <c r="C198" s="4">
        <v>123</v>
      </c>
      <c r="D198" s="11">
        <f t="shared" si="3"/>
        <v>96</v>
      </c>
      <c r="E198" s="4" t="s">
        <v>53</v>
      </c>
      <c r="F198" s="4">
        <f t="shared" si="6"/>
        <v>8</v>
      </c>
      <c r="G198" s="5">
        <v>12</v>
      </c>
      <c r="H198" s="6" t="str">
        <f>'Grad Raw Data'!I198</f>
        <v>Jessica</v>
      </c>
      <c r="I198" s="6" t="str">
        <f>'Grad Raw Data'!H198</f>
        <v>Richter</v>
      </c>
      <c r="J198" s="6">
        <f>'Grad Raw Data'!G198</f>
        <v>0</v>
      </c>
    </row>
    <row r="199" spans="1:10" ht="18.75" thickTop="1" x14ac:dyDescent="0.25">
      <c r="A199" s="6" t="s">
        <v>48</v>
      </c>
      <c r="B199" s="6" t="s">
        <v>64</v>
      </c>
      <c r="C199" s="6">
        <v>101</v>
      </c>
      <c r="D199" s="11">
        <f t="shared" si="3"/>
        <v>97</v>
      </c>
      <c r="E199" s="6" t="s">
        <v>50</v>
      </c>
      <c r="F199" s="6">
        <f>F175+1</f>
        <v>9</v>
      </c>
      <c r="G199" s="8">
        <v>1</v>
      </c>
      <c r="H199" s="6" t="str">
        <f>'Grad Raw Data'!I199</f>
        <v>Charlotte</v>
      </c>
      <c r="I199" s="6" t="str">
        <f>'Grad Raw Data'!H199</f>
        <v>Robichaud</v>
      </c>
      <c r="J199" s="6">
        <f>'Grad Raw Data'!G199</f>
        <v>0</v>
      </c>
    </row>
    <row r="200" spans="1:10" ht="18" x14ac:dyDescent="0.25">
      <c r="A200" s="6" t="s">
        <v>48</v>
      </c>
      <c r="B200" s="6" t="s">
        <v>64</v>
      </c>
      <c r="C200" s="6">
        <v>102</v>
      </c>
      <c r="D200" s="11">
        <f t="shared" ref="D200:D258" si="7">(F200-1)*12+G200</f>
        <v>98</v>
      </c>
      <c r="E200" s="6" t="s">
        <v>50</v>
      </c>
      <c r="F200" s="6">
        <f t="shared" ref="F200:F210" si="8">F176+1</f>
        <v>9</v>
      </c>
      <c r="G200" s="8">
        <v>2</v>
      </c>
      <c r="H200" s="6" t="str">
        <f>'Grad Raw Data'!I200</f>
        <v>Derek</v>
      </c>
      <c r="I200" s="6" t="str">
        <f>'Grad Raw Data'!H200</f>
        <v>Robillard</v>
      </c>
      <c r="J200" s="6">
        <f>'Grad Raw Data'!G200</f>
        <v>0</v>
      </c>
    </row>
    <row r="201" spans="1:10" ht="18" x14ac:dyDescent="0.25">
      <c r="A201" s="6" t="s">
        <v>48</v>
      </c>
      <c r="B201" s="6" t="s">
        <v>64</v>
      </c>
      <c r="C201" s="6">
        <v>103</v>
      </c>
      <c r="D201" s="11">
        <f t="shared" si="7"/>
        <v>99</v>
      </c>
      <c r="E201" s="6" t="s">
        <v>50</v>
      </c>
      <c r="F201" s="6">
        <f t="shared" si="8"/>
        <v>9</v>
      </c>
      <c r="G201" s="8">
        <v>3</v>
      </c>
      <c r="H201" s="6" t="str">
        <f>'Grad Raw Data'!I201</f>
        <v>Isaac</v>
      </c>
      <c r="I201" s="6" t="str">
        <f>'Grad Raw Data'!H201</f>
        <v>Robinson</v>
      </c>
      <c r="J201" s="6">
        <f>'Grad Raw Data'!G201</f>
        <v>0</v>
      </c>
    </row>
    <row r="202" spans="1:10" ht="18" x14ac:dyDescent="0.25">
      <c r="A202" s="6" t="s">
        <v>48</v>
      </c>
      <c r="B202" s="6" t="s">
        <v>64</v>
      </c>
      <c r="C202" s="6">
        <v>104</v>
      </c>
      <c r="D202" s="11">
        <f t="shared" si="7"/>
        <v>100</v>
      </c>
      <c r="E202" s="6" t="s">
        <v>50</v>
      </c>
      <c r="F202" s="6">
        <f t="shared" si="8"/>
        <v>9</v>
      </c>
      <c r="G202" s="8">
        <v>4</v>
      </c>
      <c r="H202" s="6" t="str">
        <f>'Grad Raw Data'!I202</f>
        <v>Teresa</v>
      </c>
      <c r="I202" s="6" t="str">
        <f>'Grad Raw Data'!H202</f>
        <v>Rock</v>
      </c>
      <c r="J202" s="6">
        <f>'Grad Raw Data'!G202</f>
        <v>0</v>
      </c>
    </row>
    <row r="203" spans="1:10" ht="18" x14ac:dyDescent="0.25">
      <c r="A203" s="6" t="s">
        <v>48</v>
      </c>
      <c r="B203" s="6" t="s">
        <v>64</v>
      </c>
      <c r="C203" s="6">
        <v>105</v>
      </c>
      <c r="D203" s="11">
        <f t="shared" si="7"/>
        <v>101</v>
      </c>
      <c r="E203" s="6" t="s">
        <v>50</v>
      </c>
      <c r="F203" s="6">
        <f t="shared" si="8"/>
        <v>9</v>
      </c>
      <c r="G203" s="8">
        <v>5</v>
      </c>
      <c r="H203" s="6" t="str">
        <f>'Grad Raw Data'!I203</f>
        <v>James</v>
      </c>
      <c r="I203" s="6" t="str">
        <f>'Grad Raw Data'!H203</f>
        <v>Rodrigues</v>
      </c>
      <c r="J203" s="6">
        <f>'Grad Raw Data'!G203</f>
        <v>0</v>
      </c>
    </row>
    <row r="204" spans="1:10" ht="18" x14ac:dyDescent="0.25">
      <c r="A204" s="6" t="s">
        <v>48</v>
      </c>
      <c r="B204" s="6" t="s">
        <v>64</v>
      </c>
      <c r="C204" s="6">
        <v>106</v>
      </c>
      <c r="D204" s="11">
        <f t="shared" si="7"/>
        <v>102</v>
      </c>
      <c r="E204" s="6" t="s">
        <v>50</v>
      </c>
      <c r="F204" s="6">
        <f t="shared" si="8"/>
        <v>9</v>
      </c>
      <c r="G204" s="8">
        <v>6</v>
      </c>
      <c r="H204" s="6" t="str">
        <f>'Grad Raw Data'!I204</f>
        <v>Luke</v>
      </c>
      <c r="I204" s="6" t="str">
        <f>'Grad Raw Data'!H204</f>
        <v>Rogerson</v>
      </c>
      <c r="J204" s="6">
        <f>'Grad Raw Data'!G204</f>
        <v>0</v>
      </c>
    </row>
    <row r="205" spans="1:10" ht="18" x14ac:dyDescent="0.25">
      <c r="A205" s="6" t="s">
        <v>48</v>
      </c>
      <c r="B205" s="6" t="s">
        <v>64</v>
      </c>
      <c r="C205" s="6">
        <v>107</v>
      </c>
      <c r="D205" s="11">
        <f t="shared" si="7"/>
        <v>103</v>
      </c>
      <c r="E205" s="6" t="s">
        <v>50</v>
      </c>
      <c r="F205" s="6">
        <f t="shared" si="8"/>
        <v>9</v>
      </c>
      <c r="G205" s="8">
        <v>7</v>
      </c>
      <c r="H205" s="6" t="str">
        <f>'Grad Raw Data'!I205</f>
        <v>Javian</v>
      </c>
      <c r="I205" s="6" t="str">
        <f>'Grad Raw Data'!H205</f>
        <v>Rojas</v>
      </c>
      <c r="J205" s="6">
        <f>'Grad Raw Data'!G205</f>
        <v>0</v>
      </c>
    </row>
    <row r="206" spans="1:10" ht="18" x14ac:dyDescent="0.25">
      <c r="A206" s="6" t="s">
        <v>48</v>
      </c>
      <c r="B206" s="6" t="s">
        <v>64</v>
      </c>
      <c r="C206" s="6">
        <v>108</v>
      </c>
      <c r="D206" s="11">
        <f t="shared" si="7"/>
        <v>104</v>
      </c>
      <c r="E206" s="6" t="s">
        <v>50</v>
      </c>
      <c r="F206" s="6">
        <f t="shared" si="8"/>
        <v>9</v>
      </c>
      <c r="G206" s="8">
        <v>8</v>
      </c>
      <c r="H206" s="6" t="str">
        <f>'Grad Raw Data'!I206</f>
        <v>Ellie</v>
      </c>
      <c r="I206" s="6" t="str">
        <f>'Grad Raw Data'!H206</f>
        <v>Russo</v>
      </c>
      <c r="J206" s="6">
        <f>'Grad Raw Data'!G206</f>
        <v>0</v>
      </c>
    </row>
    <row r="207" spans="1:10" ht="18" x14ac:dyDescent="0.25">
      <c r="A207" s="6" t="s">
        <v>48</v>
      </c>
      <c r="B207" s="6" t="s">
        <v>64</v>
      </c>
      <c r="C207" s="6">
        <v>109</v>
      </c>
      <c r="D207" s="11">
        <f t="shared" si="7"/>
        <v>105</v>
      </c>
      <c r="E207" s="6" t="s">
        <v>50</v>
      </c>
      <c r="F207" s="6">
        <f t="shared" si="8"/>
        <v>9</v>
      </c>
      <c r="G207" s="8">
        <v>9</v>
      </c>
      <c r="H207" s="6" t="str">
        <f>'Grad Raw Data'!I207</f>
        <v>Rejon</v>
      </c>
      <c r="I207" s="6" t="str">
        <f>'Grad Raw Data'!H207</f>
        <v>Ryland</v>
      </c>
      <c r="J207" s="6">
        <f>'Grad Raw Data'!G207</f>
        <v>0</v>
      </c>
    </row>
    <row r="208" spans="1:10" ht="18" x14ac:dyDescent="0.25">
      <c r="A208" s="6" t="s">
        <v>48</v>
      </c>
      <c r="B208" s="6" t="s">
        <v>64</v>
      </c>
      <c r="C208" s="6">
        <v>110</v>
      </c>
      <c r="D208" s="11">
        <f t="shared" si="7"/>
        <v>106</v>
      </c>
      <c r="E208" s="6" t="s">
        <v>50</v>
      </c>
      <c r="F208" s="6">
        <f t="shared" si="8"/>
        <v>9</v>
      </c>
      <c r="G208" s="8">
        <v>10</v>
      </c>
      <c r="H208" s="6" t="str">
        <f>'Grad Raw Data'!I208</f>
        <v>Lorenzo</v>
      </c>
      <c r="I208" s="6" t="str">
        <f>'Grad Raw Data'!H208</f>
        <v>Sardinha</v>
      </c>
      <c r="J208" s="6">
        <f>'Grad Raw Data'!G208</f>
        <v>0</v>
      </c>
    </row>
    <row r="209" spans="1:10" ht="18" x14ac:dyDescent="0.25">
      <c r="A209" s="6" t="s">
        <v>48</v>
      </c>
      <c r="B209" s="6" t="s">
        <v>64</v>
      </c>
      <c r="C209" s="6">
        <v>111</v>
      </c>
      <c r="D209" s="11">
        <f t="shared" si="7"/>
        <v>107</v>
      </c>
      <c r="E209" s="6" t="s">
        <v>50</v>
      </c>
      <c r="F209" s="6">
        <f t="shared" si="8"/>
        <v>9</v>
      </c>
      <c r="G209" s="8">
        <v>11</v>
      </c>
      <c r="H209" s="6" t="str">
        <f>'Grad Raw Data'!I209</f>
        <v>Noah</v>
      </c>
      <c r="I209" s="6" t="str">
        <f>'Grad Raw Data'!H209</f>
        <v>Sarre</v>
      </c>
      <c r="J209" s="6">
        <f>'Grad Raw Data'!G209</f>
        <v>0</v>
      </c>
    </row>
    <row r="210" spans="1:10" ht="18.75" thickBot="1" x14ac:dyDescent="0.3">
      <c r="A210" s="4" t="s">
        <v>48</v>
      </c>
      <c r="B210" s="4" t="s">
        <v>64</v>
      </c>
      <c r="C210" s="4">
        <v>112</v>
      </c>
      <c r="D210" s="11">
        <f t="shared" si="7"/>
        <v>108</v>
      </c>
      <c r="E210" s="4" t="s">
        <v>50</v>
      </c>
      <c r="F210" s="4">
        <f t="shared" si="8"/>
        <v>9</v>
      </c>
      <c r="G210" s="5">
        <v>12</v>
      </c>
      <c r="H210" s="6" t="str">
        <f>'Grad Raw Data'!I210</f>
        <v>Katherine</v>
      </c>
      <c r="I210" s="6" t="str">
        <f>'Grad Raw Data'!H210</f>
        <v>Savio</v>
      </c>
      <c r="J210" s="6">
        <f>'Grad Raw Data'!G210</f>
        <v>0</v>
      </c>
    </row>
    <row r="211" spans="1:10" ht="18.75" thickTop="1" x14ac:dyDescent="0.25">
      <c r="A211" s="6" t="s">
        <v>51</v>
      </c>
      <c r="B211" s="6" t="s">
        <v>65</v>
      </c>
      <c r="C211" s="6">
        <v>124</v>
      </c>
      <c r="D211" s="11">
        <f t="shared" si="7"/>
        <v>97</v>
      </c>
      <c r="E211" s="6" t="s">
        <v>53</v>
      </c>
      <c r="F211" s="6">
        <f>F187+1</f>
        <v>9</v>
      </c>
      <c r="G211" s="8">
        <v>1</v>
      </c>
      <c r="H211" s="6" t="str">
        <f>'Grad Raw Data'!I211</f>
        <v>Megan</v>
      </c>
      <c r="I211" s="6" t="str">
        <f>'Grad Raw Data'!H211</f>
        <v>Scales</v>
      </c>
      <c r="J211" s="6">
        <f>'Grad Raw Data'!G211</f>
        <v>0</v>
      </c>
    </row>
    <row r="212" spans="1:10" ht="18" x14ac:dyDescent="0.25">
      <c r="A212" s="6" t="s">
        <v>51</v>
      </c>
      <c r="B212" s="6" t="s">
        <v>65</v>
      </c>
      <c r="C212" s="6">
        <v>122</v>
      </c>
      <c r="D212" s="11">
        <f t="shared" si="7"/>
        <v>98</v>
      </c>
      <c r="E212" s="6" t="s">
        <v>53</v>
      </c>
      <c r="F212" s="6">
        <f t="shared" ref="F212:F222" si="9">F188+1</f>
        <v>9</v>
      </c>
      <c r="G212" s="8">
        <v>2</v>
      </c>
      <c r="H212" s="6" t="str">
        <f>'Grad Raw Data'!I212</f>
        <v>Sophie</v>
      </c>
      <c r="I212" s="6" t="str">
        <f>'Grad Raw Data'!H212</f>
        <v>Schrager</v>
      </c>
      <c r="J212" s="6">
        <f>'Grad Raw Data'!G212</f>
        <v>0</v>
      </c>
    </row>
    <row r="213" spans="1:10" ht="18" x14ac:dyDescent="0.25">
      <c r="A213" s="6" t="s">
        <v>51</v>
      </c>
      <c r="B213" s="6" t="s">
        <v>65</v>
      </c>
      <c r="C213" s="6">
        <v>120</v>
      </c>
      <c r="D213" s="11">
        <f t="shared" si="7"/>
        <v>99</v>
      </c>
      <c r="E213" s="6" t="s">
        <v>53</v>
      </c>
      <c r="F213" s="6">
        <f t="shared" si="9"/>
        <v>9</v>
      </c>
      <c r="G213" s="8">
        <v>3</v>
      </c>
      <c r="H213" s="6" t="str">
        <f>'Grad Raw Data'!I213</f>
        <v>Rylie</v>
      </c>
      <c r="I213" s="6" t="str">
        <f>'Grad Raw Data'!H213</f>
        <v>Schultz</v>
      </c>
      <c r="J213" s="6">
        <f>'Grad Raw Data'!G213</f>
        <v>0</v>
      </c>
    </row>
    <row r="214" spans="1:10" ht="18" x14ac:dyDescent="0.25">
      <c r="A214" s="6" t="s">
        <v>51</v>
      </c>
      <c r="B214" s="6" t="s">
        <v>65</v>
      </c>
      <c r="C214" s="6">
        <v>118</v>
      </c>
      <c r="D214" s="11">
        <f t="shared" si="7"/>
        <v>100</v>
      </c>
      <c r="E214" s="6" t="s">
        <v>53</v>
      </c>
      <c r="F214" s="6">
        <f t="shared" si="9"/>
        <v>9</v>
      </c>
      <c r="G214" s="8">
        <v>4</v>
      </c>
      <c r="H214" s="6" t="str">
        <f>'Grad Raw Data'!I214</f>
        <v>Madeline</v>
      </c>
      <c r="I214" s="6" t="str">
        <f>'Grad Raw Data'!H214</f>
        <v>Scully</v>
      </c>
      <c r="J214" s="6">
        <f>'Grad Raw Data'!G214</f>
        <v>0</v>
      </c>
    </row>
    <row r="215" spans="1:10" ht="18" x14ac:dyDescent="0.25">
      <c r="A215" s="6" t="s">
        <v>51</v>
      </c>
      <c r="B215" s="6" t="s">
        <v>65</v>
      </c>
      <c r="C215" s="6">
        <v>116</v>
      </c>
      <c r="D215" s="11">
        <f t="shared" si="7"/>
        <v>101</v>
      </c>
      <c r="E215" s="6" t="s">
        <v>53</v>
      </c>
      <c r="F215" s="6">
        <f t="shared" si="9"/>
        <v>9</v>
      </c>
      <c r="G215" s="8">
        <v>5</v>
      </c>
      <c r="H215" s="6" t="str">
        <f>'Grad Raw Data'!I215</f>
        <v>Sachi</v>
      </c>
      <c r="I215" s="6" t="str">
        <f>'Grad Raw Data'!H215</f>
        <v>Selvakumar</v>
      </c>
      <c r="J215" s="6">
        <f>'Grad Raw Data'!G215</f>
        <v>0</v>
      </c>
    </row>
    <row r="216" spans="1:10" ht="18" x14ac:dyDescent="0.25">
      <c r="A216" s="6" t="s">
        <v>51</v>
      </c>
      <c r="B216" s="6" t="s">
        <v>65</v>
      </c>
      <c r="C216" s="6">
        <v>114</v>
      </c>
      <c r="D216" s="11">
        <f t="shared" si="7"/>
        <v>102</v>
      </c>
      <c r="E216" s="6" t="s">
        <v>53</v>
      </c>
      <c r="F216" s="6">
        <f t="shared" si="9"/>
        <v>9</v>
      </c>
      <c r="G216" s="8">
        <v>6</v>
      </c>
      <c r="H216" s="6" t="str">
        <f>'Grad Raw Data'!I216</f>
        <v>Katie</v>
      </c>
      <c r="I216" s="6" t="str">
        <f>'Grad Raw Data'!H216</f>
        <v>Severance</v>
      </c>
      <c r="J216" s="6">
        <f>'Grad Raw Data'!G216</f>
        <v>0</v>
      </c>
    </row>
    <row r="217" spans="1:10" ht="18" x14ac:dyDescent="0.25">
      <c r="A217" s="6" t="s">
        <v>51</v>
      </c>
      <c r="B217" s="6" t="s">
        <v>65</v>
      </c>
      <c r="C217" s="6">
        <v>112</v>
      </c>
      <c r="D217" s="11">
        <f t="shared" si="7"/>
        <v>103</v>
      </c>
      <c r="E217" s="6" t="s">
        <v>53</v>
      </c>
      <c r="F217" s="6">
        <f t="shared" si="9"/>
        <v>9</v>
      </c>
      <c r="G217" s="8">
        <v>7</v>
      </c>
      <c r="H217" s="6" t="str">
        <f>'Grad Raw Data'!I217</f>
        <v>Annabelle</v>
      </c>
      <c r="I217" s="6" t="str">
        <f>'Grad Raw Data'!H217</f>
        <v>Shanley</v>
      </c>
      <c r="J217" s="6">
        <f>'Grad Raw Data'!G217</f>
        <v>0</v>
      </c>
    </row>
    <row r="218" spans="1:10" ht="18" x14ac:dyDescent="0.25">
      <c r="A218" s="6" t="s">
        <v>51</v>
      </c>
      <c r="B218" s="6" t="s">
        <v>65</v>
      </c>
      <c r="C218" s="6">
        <v>110</v>
      </c>
      <c r="D218" s="11">
        <f t="shared" si="7"/>
        <v>104</v>
      </c>
      <c r="E218" s="6" t="s">
        <v>53</v>
      </c>
      <c r="F218" s="6">
        <f t="shared" si="9"/>
        <v>9</v>
      </c>
      <c r="G218" s="8">
        <v>8</v>
      </c>
      <c r="H218" s="6" t="str">
        <f>'Grad Raw Data'!I218</f>
        <v>Emme</v>
      </c>
      <c r="I218" s="6" t="str">
        <f>'Grad Raw Data'!H218</f>
        <v>Shediac</v>
      </c>
      <c r="J218" s="6">
        <f>'Grad Raw Data'!G218</f>
        <v>0</v>
      </c>
    </row>
    <row r="219" spans="1:10" ht="18" x14ac:dyDescent="0.25">
      <c r="A219" s="6" t="s">
        <v>51</v>
      </c>
      <c r="B219" s="6" t="s">
        <v>65</v>
      </c>
      <c r="C219" s="6">
        <v>108</v>
      </c>
      <c r="D219" s="11">
        <f t="shared" si="7"/>
        <v>105</v>
      </c>
      <c r="E219" s="6" t="s">
        <v>53</v>
      </c>
      <c r="F219" s="6">
        <f t="shared" si="9"/>
        <v>9</v>
      </c>
      <c r="G219" s="8">
        <v>9</v>
      </c>
      <c r="H219" s="6" t="str">
        <f>'Grad Raw Data'!I219</f>
        <v>Allison</v>
      </c>
      <c r="I219" s="6" t="str">
        <f>'Grad Raw Data'!H219</f>
        <v>Shindelman</v>
      </c>
      <c r="J219" s="6">
        <f>'Grad Raw Data'!G219</f>
        <v>0</v>
      </c>
    </row>
    <row r="220" spans="1:10" ht="18" x14ac:dyDescent="0.25">
      <c r="A220" s="6" t="s">
        <v>51</v>
      </c>
      <c r="B220" s="6" t="s">
        <v>65</v>
      </c>
      <c r="C220" s="6">
        <v>106</v>
      </c>
      <c r="D220" s="11">
        <f t="shared" si="7"/>
        <v>106</v>
      </c>
      <c r="E220" s="6" t="s">
        <v>53</v>
      </c>
      <c r="F220" s="6">
        <f t="shared" si="9"/>
        <v>9</v>
      </c>
      <c r="G220" s="8">
        <v>10</v>
      </c>
      <c r="H220" s="6" t="str">
        <f>'Grad Raw Data'!I220</f>
        <v>John</v>
      </c>
      <c r="I220" s="6" t="str">
        <f>'Grad Raw Data'!H220</f>
        <v>Siciliano</v>
      </c>
      <c r="J220" s="6">
        <f>'Grad Raw Data'!G220</f>
        <v>0</v>
      </c>
    </row>
    <row r="221" spans="1:10" ht="18" x14ac:dyDescent="0.25">
      <c r="A221" s="6" t="s">
        <v>51</v>
      </c>
      <c r="B221" s="6" t="s">
        <v>65</v>
      </c>
      <c r="C221" s="6">
        <v>104</v>
      </c>
      <c r="D221" s="11">
        <f t="shared" si="7"/>
        <v>107</v>
      </c>
      <c r="E221" s="6" t="s">
        <v>53</v>
      </c>
      <c r="F221" s="6">
        <f t="shared" si="9"/>
        <v>9</v>
      </c>
      <c r="G221" s="8">
        <v>11</v>
      </c>
      <c r="H221" s="6" t="str">
        <f>'Grad Raw Data'!I221</f>
        <v>Owen</v>
      </c>
      <c r="I221" s="6" t="str">
        <f>'Grad Raw Data'!H221</f>
        <v>Sinclair</v>
      </c>
      <c r="J221" s="6">
        <f>'Grad Raw Data'!G221</f>
        <v>0</v>
      </c>
    </row>
    <row r="222" spans="1:10" ht="18.75" thickBot="1" x14ac:dyDescent="0.3">
      <c r="A222" s="4" t="s">
        <v>51</v>
      </c>
      <c r="B222" s="4" t="s">
        <v>65</v>
      </c>
      <c r="C222" s="4">
        <v>102</v>
      </c>
      <c r="D222" s="11">
        <f t="shared" si="7"/>
        <v>108</v>
      </c>
      <c r="E222" s="4" t="s">
        <v>53</v>
      </c>
      <c r="F222" s="4">
        <f t="shared" si="9"/>
        <v>9</v>
      </c>
      <c r="G222" s="5">
        <v>12</v>
      </c>
      <c r="H222" s="6" t="str">
        <f>'Grad Raw Data'!I222</f>
        <v>Sierra</v>
      </c>
      <c r="I222" s="6" t="str">
        <f>'Grad Raw Data'!H222</f>
        <v>Skenderian</v>
      </c>
      <c r="J222" s="6">
        <f>'Grad Raw Data'!G222</f>
        <v>0</v>
      </c>
    </row>
    <row r="223" spans="1:10" ht="18.75" thickTop="1" x14ac:dyDescent="0.25">
      <c r="A223" s="6" t="s">
        <v>48</v>
      </c>
      <c r="B223" s="6" t="s">
        <v>66</v>
      </c>
      <c r="C223" s="6">
        <v>101</v>
      </c>
      <c r="D223" s="11">
        <f t="shared" si="7"/>
        <v>109</v>
      </c>
      <c r="E223" s="6" t="s">
        <v>50</v>
      </c>
      <c r="F223" s="6">
        <f>F199+1</f>
        <v>10</v>
      </c>
      <c r="G223" s="8">
        <v>1</v>
      </c>
      <c r="H223" s="6" t="str">
        <f>'Grad Raw Data'!I223</f>
        <v>John</v>
      </c>
      <c r="I223" s="6" t="str">
        <f>'Grad Raw Data'!H223</f>
        <v>Slinn</v>
      </c>
      <c r="J223" s="6">
        <f>'Grad Raw Data'!G223</f>
        <v>0</v>
      </c>
    </row>
    <row r="224" spans="1:10" ht="18" x14ac:dyDescent="0.25">
      <c r="A224" s="6" t="s">
        <v>48</v>
      </c>
      <c r="B224" s="6" t="s">
        <v>66</v>
      </c>
      <c r="C224" s="6">
        <v>102</v>
      </c>
      <c r="D224" s="11">
        <f t="shared" si="7"/>
        <v>110</v>
      </c>
      <c r="E224" s="6" t="s">
        <v>50</v>
      </c>
      <c r="F224" s="6">
        <f t="shared" ref="F224:F234" si="10">F200+1</f>
        <v>10</v>
      </c>
      <c r="G224" s="8">
        <v>2</v>
      </c>
      <c r="H224" s="6" t="str">
        <f>'Grad Raw Data'!I224</f>
        <v>Julia</v>
      </c>
      <c r="I224" s="6" t="str">
        <f>'Grad Raw Data'!H224</f>
        <v>Smith</v>
      </c>
      <c r="J224" s="6">
        <f>'Grad Raw Data'!G224</f>
        <v>0</v>
      </c>
    </row>
    <row r="225" spans="1:10" ht="18" x14ac:dyDescent="0.25">
      <c r="A225" s="6" t="s">
        <v>48</v>
      </c>
      <c r="B225" s="6" t="s">
        <v>66</v>
      </c>
      <c r="C225" s="6">
        <v>103</v>
      </c>
      <c r="D225" s="11">
        <f t="shared" si="7"/>
        <v>111</v>
      </c>
      <c r="E225" s="6" t="s">
        <v>50</v>
      </c>
      <c r="F225" s="6">
        <f t="shared" si="10"/>
        <v>10</v>
      </c>
      <c r="G225" s="8">
        <v>3</v>
      </c>
      <c r="H225" s="6" t="str">
        <f>'Grad Raw Data'!I225</f>
        <v>Noah</v>
      </c>
      <c r="I225" s="6" t="str">
        <f>'Grad Raw Data'!H225</f>
        <v>Snyder</v>
      </c>
      <c r="J225" s="6">
        <f>'Grad Raw Data'!G225</f>
        <v>0</v>
      </c>
    </row>
    <row r="226" spans="1:10" ht="18" x14ac:dyDescent="0.25">
      <c r="A226" s="6" t="s">
        <v>48</v>
      </c>
      <c r="B226" s="6" t="s">
        <v>66</v>
      </c>
      <c r="C226" s="6">
        <v>104</v>
      </c>
      <c r="D226" s="11">
        <f t="shared" si="7"/>
        <v>112</v>
      </c>
      <c r="E226" s="6" t="s">
        <v>50</v>
      </c>
      <c r="F226" s="6">
        <f t="shared" si="10"/>
        <v>10</v>
      </c>
      <c r="G226" s="8">
        <v>4</v>
      </c>
      <c r="H226" s="6" t="str">
        <f>'Grad Raw Data'!I226</f>
        <v>Aaron</v>
      </c>
      <c r="I226" s="6" t="str">
        <f>'Grad Raw Data'!H226</f>
        <v>Soto</v>
      </c>
      <c r="J226" s="6">
        <f>'Grad Raw Data'!G226</f>
        <v>0</v>
      </c>
    </row>
    <row r="227" spans="1:10" ht="18" x14ac:dyDescent="0.25">
      <c r="A227" s="6" t="s">
        <v>48</v>
      </c>
      <c r="B227" s="6" t="s">
        <v>66</v>
      </c>
      <c r="C227" s="6">
        <v>105</v>
      </c>
      <c r="D227" s="11">
        <f t="shared" si="7"/>
        <v>113</v>
      </c>
      <c r="E227" s="6" t="s">
        <v>50</v>
      </c>
      <c r="F227" s="6">
        <f t="shared" si="10"/>
        <v>10</v>
      </c>
      <c r="G227" s="8">
        <v>5</v>
      </c>
      <c r="H227" s="6" t="str">
        <f>'Grad Raw Data'!I227</f>
        <v>Andrew</v>
      </c>
      <c r="I227" s="6" t="str">
        <f>'Grad Raw Data'!H227</f>
        <v>Spencer</v>
      </c>
      <c r="J227" s="6">
        <f>'Grad Raw Data'!G227</f>
        <v>0</v>
      </c>
    </row>
    <row r="228" spans="1:10" ht="18" x14ac:dyDescent="0.25">
      <c r="A228" s="6" t="s">
        <v>48</v>
      </c>
      <c r="B228" s="6" t="s">
        <v>66</v>
      </c>
      <c r="C228" s="6">
        <v>106</v>
      </c>
      <c r="D228" s="11">
        <f t="shared" si="7"/>
        <v>114</v>
      </c>
      <c r="E228" s="6" t="s">
        <v>50</v>
      </c>
      <c r="F228" s="6">
        <f t="shared" si="10"/>
        <v>10</v>
      </c>
      <c r="G228" s="8">
        <v>6</v>
      </c>
      <c r="H228" s="6" t="str">
        <f>'Grad Raw Data'!I228</f>
        <v>Elias</v>
      </c>
      <c r="I228" s="6" t="str">
        <f>'Grad Raw Data'!H228</f>
        <v>Speros</v>
      </c>
      <c r="J228" s="6">
        <f>'Grad Raw Data'!G228</f>
        <v>0</v>
      </c>
    </row>
    <row r="229" spans="1:10" ht="18" x14ac:dyDescent="0.25">
      <c r="A229" s="6" t="s">
        <v>48</v>
      </c>
      <c r="B229" s="6" t="s">
        <v>66</v>
      </c>
      <c r="C229" s="6">
        <v>107</v>
      </c>
      <c r="D229" s="11">
        <f t="shared" si="7"/>
        <v>115</v>
      </c>
      <c r="E229" s="6" t="s">
        <v>50</v>
      </c>
      <c r="F229" s="6">
        <f t="shared" si="10"/>
        <v>10</v>
      </c>
      <c r="G229" s="8">
        <v>7</v>
      </c>
      <c r="H229" s="6" t="str">
        <f>'Grad Raw Data'!I229</f>
        <v>Ava</v>
      </c>
      <c r="I229" s="6" t="str">
        <f>'Grad Raw Data'!H229</f>
        <v>Spinazzola</v>
      </c>
      <c r="J229" s="6">
        <f>'Grad Raw Data'!G229</f>
        <v>0</v>
      </c>
    </row>
    <row r="230" spans="1:10" ht="18" x14ac:dyDescent="0.25">
      <c r="A230" s="6" t="s">
        <v>48</v>
      </c>
      <c r="B230" s="6" t="s">
        <v>66</v>
      </c>
      <c r="C230" s="6">
        <v>108</v>
      </c>
      <c r="D230" s="11">
        <f t="shared" si="7"/>
        <v>116</v>
      </c>
      <c r="E230" s="6" t="s">
        <v>50</v>
      </c>
      <c r="F230" s="6">
        <f t="shared" si="10"/>
        <v>10</v>
      </c>
      <c r="G230" s="8">
        <v>8</v>
      </c>
      <c r="H230" s="6" t="str">
        <f>'Grad Raw Data'!I230</f>
        <v>Ava</v>
      </c>
      <c r="I230" s="6" t="str">
        <f>'Grad Raw Data'!H230</f>
        <v>Staffier</v>
      </c>
      <c r="J230" s="6">
        <f>'Grad Raw Data'!G230</f>
        <v>0</v>
      </c>
    </row>
    <row r="231" spans="1:10" ht="18" x14ac:dyDescent="0.25">
      <c r="A231" s="6" t="s">
        <v>48</v>
      </c>
      <c r="B231" s="6" t="s">
        <v>66</v>
      </c>
      <c r="C231" s="6">
        <v>109</v>
      </c>
      <c r="D231" s="11">
        <f t="shared" si="7"/>
        <v>117</v>
      </c>
      <c r="E231" s="6" t="s">
        <v>50</v>
      </c>
      <c r="F231" s="6">
        <f t="shared" si="10"/>
        <v>10</v>
      </c>
      <c r="G231" s="8">
        <v>9</v>
      </c>
      <c r="H231" s="6" t="str">
        <f>'Grad Raw Data'!I231</f>
        <v>Charlie</v>
      </c>
      <c r="I231" s="6" t="str">
        <f>'Grad Raw Data'!H231</f>
        <v>Studley</v>
      </c>
      <c r="J231" s="6">
        <f>'Grad Raw Data'!G231</f>
        <v>0</v>
      </c>
    </row>
    <row r="232" spans="1:10" ht="18" x14ac:dyDescent="0.25">
      <c r="A232" s="6" t="s">
        <v>48</v>
      </c>
      <c r="B232" s="6" t="s">
        <v>66</v>
      </c>
      <c r="C232" s="6">
        <v>110</v>
      </c>
      <c r="D232" s="11">
        <f t="shared" si="7"/>
        <v>118</v>
      </c>
      <c r="E232" s="6" t="s">
        <v>50</v>
      </c>
      <c r="F232" s="6">
        <f t="shared" si="10"/>
        <v>10</v>
      </c>
      <c r="G232" s="8">
        <v>10</v>
      </c>
      <c r="H232" s="6" t="str">
        <f>'Grad Raw Data'!I232</f>
        <v>Nolan</v>
      </c>
      <c r="I232" s="6" t="str">
        <f>'Grad Raw Data'!H232</f>
        <v>Sullivan</v>
      </c>
      <c r="J232" s="6">
        <f>'Grad Raw Data'!G232</f>
        <v>0</v>
      </c>
    </row>
    <row r="233" spans="1:10" ht="18" x14ac:dyDescent="0.25">
      <c r="A233" s="6" t="s">
        <v>48</v>
      </c>
      <c r="B233" s="6" t="s">
        <v>66</v>
      </c>
      <c r="C233" s="6">
        <v>111</v>
      </c>
      <c r="D233" s="11">
        <f t="shared" si="7"/>
        <v>119</v>
      </c>
      <c r="E233" s="6" t="s">
        <v>50</v>
      </c>
      <c r="F233" s="6">
        <f t="shared" si="10"/>
        <v>10</v>
      </c>
      <c r="G233" s="8">
        <v>11</v>
      </c>
      <c r="H233" s="6" t="str">
        <f>'Grad Raw Data'!I233</f>
        <v>Sabrina</v>
      </c>
      <c r="I233" s="6" t="str">
        <f>'Grad Raw Data'!H233</f>
        <v>Sweat</v>
      </c>
      <c r="J233" s="6">
        <f>'Grad Raw Data'!G233</f>
        <v>0</v>
      </c>
    </row>
    <row r="234" spans="1:10" ht="18.75" thickBot="1" x14ac:dyDescent="0.3">
      <c r="A234" s="4" t="s">
        <v>48</v>
      </c>
      <c r="B234" s="4" t="s">
        <v>66</v>
      </c>
      <c r="C234" s="4">
        <v>112</v>
      </c>
      <c r="D234" s="11">
        <f t="shared" si="7"/>
        <v>120</v>
      </c>
      <c r="E234" s="4" t="s">
        <v>50</v>
      </c>
      <c r="F234" s="4">
        <f t="shared" si="10"/>
        <v>10</v>
      </c>
      <c r="G234" s="5">
        <v>12</v>
      </c>
      <c r="H234" s="6" t="str">
        <f>'Grad Raw Data'!I234</f>
        <v>Brooklynne</v>
      </c>
      <c r="I234" s="6" t="str">
        <f>'Grad Raw Data'!H234</f>
        <v>Tartarini</v>
      </c>
      <c r="J234" s="6">
        <f>'Grad Raw Data'!G234</f>
        <v>0</v>
      </c>
    </row>
    <row r="235" spans="1:10" ht="18.75" thickTop="1" x14ac:dyDescent="0.25">
      <c r="A235" s="6" t="s">
        <v>51</v>
      </c>
      <c r="B235" s="6" t="s">
        <v>65</v>
      </c>
      <c r="C235" s="6">
        <v>101</v>
      </c>
      <c r="D235" s="11">
        <f t="shared" si="7"/>
        <v>109</v>
      </c>
      <c r="E235" s="6" t="s">
        <v>53</v>
      </c>
      <c r="F235" s="6">
        <f>F211+1</f>
        <v>10</v>
      </c>
      <c r="G235" s="8">
        <v>1</v>
      </c>
      <c r="H235" s="6" t="str">
        <f>'Grad Raw Data'!I235</f>
        <v>Nina</v>
      </c>
      <c r="I235" s="6" t="str">
        <f>'Grad Raw Data'!H235</f>
        <v>Taubman</v>
      </c>
      <c r="J235" s="6">
        <f>'Grad Raw Data'!G235</f>
        <v>0</v>
      </c>
    </row>
    <row r="236" spans="1:10" ht="18" x14ac:dyDescent="0.25">
      <c r="A236" s="6" t="s">
        <v>51</v>
      </c>
      <c r="B236" s="6" t="s">
        <v>65</v>
      </c>
      <c r="C236" s="6">
        <v>103</v>
      </c>
      <c r="D236" s="11">
        <f t="shared" si="7"/>
        <v>110</v>
      </c>
      <c r="E236" s="6" t="s">
        <v>53</v>
      </c>
      <c r="F236" s="6">
        <f t="shared" ref="F236:F246" si="11">F212+1</f>
        <v>10</v>
      </c>
      <c r="G236" s="8">
        <v>2</v>
      </c>
      <c r="H236" s="6" t="str">
        <f>'Grad Raw Data'!I236</f>
        <v>Natalie</v>
      </c>
      <c r="I236" s="6" t="str">
        <f>'Grad Raw Data'!H236</f>
        <v>Tawadros</v>
      </c>
      <c r="J236" s="6">
        <f>'Grad Raw Data'!G236</f>
        <v>0</v>
      </c>
    </row>
    <row r="237" spans="1:10" ht="18" x14ac:dyDescent="0.25">
      <c r="A237" s="6" t="s">
        <v>51</v>
      </c>
      <c r="B237" s="6" t="s">
        <v>65</v>
      </c>
      <c r="C237" s="6">
        <v>105</v>
      </c>
      <c r="D237" s="11">
        <f t="shared" si="7"/>
        <v>111</v>
      </c>
      <c r="E237" s="6" t="s">
        <v>53</v>
      </c>
      <c r="F237" s="6">
        <f t="shared" si="11"/>
        <v>10</v>
      </c>
      <c r="G237" s="8">
        <v>3</v>
      </c>
      <c r="H237" s="6" t="str">
        <f>'Grad Raw Data'!I237</f>
        <v>Samantha</v>
      </c>
      <c r="I237" s="6" t="str">
        <f>'Grad Raw Data'!H237</f>
        <v>Toomey</v>
      </c>
      <c r="J237" s="6">
        <f>'Grad Raw Data'!G237</f>
        <v>0</v>
      </c>
    </row>
    <row r="238" spans="1:10" ht="18" x14ac:dyDescent="0.25">
      <c r="A238" s="6" t="s">
        <v>51</v>
      </c>
      <c r="B238" s="6" t="s">
        <v>65</v>
      </c>
      <c r="C238" s="6">
        <v>107</v>
      </c>
      <c r="D238" s="11">
        <f t="shared" si="7"/>
        <v>112</v>
      </c>
      <c r="E238" s="6" t="s">
        <v>53</v>
      </c>
      <c r="F238" s="6">
        <f t="shared" si="11"/>
        <v>10</v>
      </c>
      <c r="G238" s="8">
        <v>4</v>
      </c>
      <c r="H238" s="6" t="str">
        <f>'Grad Raw Data'!I238</f>
        <v>Alyson</v>
      </c>
      <c r="I238" s="6" t="str">
        <f>'Grad Raw Data'!H238</f>
        <v>Torrens</v>
      </c>
      <c r="J238" s="6">
        <f>'Grad Raw Data'!G238</f>
        <v>0</v>
      </c>
    </row>
    <row r="239" spans="1:10" ht="18" x14ac:dyDescent="0.25">
      <c r="A239" s="6" t="s">
        <v>51</v>
      </c>
      <c r="B239" s="6" t="s">
        <v>65</v>
      </c>
      <c r="C239" s="6">
        <v>109</v>
      </c>
      <c r="D239" s="11">
        <f t="shared" si="7"/>
        <v>113</v>
      </c>
      <c r="E239" s="6" t="s">
        <v>53</v>
      </c>
      <c r="F239" s="6">
        <f t="shared" si="11"/>
        <v>10</v>
      </c>
      <c r="G239" s="8">
        <v>5</v>
      </c>
      <c r="H239" s="6" t="str">
        <f>'Grad Raw Data'!I239</f>
        <v>Franklin</v>
      </c>
      <c r="I239" s="6" t="str">
        <f>'Grad Raw Data'!H239</f>
        <v>Travassos</v>
      </c>
      <c r="J239" s="6">
        <f>'Grad Raw Data'!G239</f>
        <v>0</v>
      </c>
    </row>
    <row r="240" spans="1:10" ht="18" x14ac:dyDescent="0.25">
      <c r="A240" s="6" t="s">
        <v>51</v>
      </c>
      <c r="B240" s="6" t="s">
        <v>65</v>
      </c>
      <c r="C240" s="6">
        <v>111</v>
      </c>
      <c r="D240" s="11">
        <f t="shared" si="7"/>
        <v>114</v>
      </c>
      <c r="E240" s="6" t="s">
        <v>53</v>
      </c>
      <c r="F240" s="6">
        <f t="shared" si="11"/>
        <v>10</v>
      </c>
      <c r="G240" s="8">
        <v>6</v>
      </c>
      <c r="H240" s="6" t="str">
        <f>'Grad Raw Data'!I240</f>
        <v>Meredith</v>
      </c>
      <c r="I240" s="6" t="str">
        <f>'Grad Raw Data'!H240</f>
        <v>Upton</v>
      </c>
      <c r="J240" s="6">
        <f>'Grad Raw Data'!G240</f>
        <v>0</v>
      </c>
    </row>
    <row r="241" spans="1:10" ht="18" x14ac:dyDescent="0.25">
      <c r="A241" s="6" t="s">
        <v>51</v>
      </c>
      <c r="B241" s="6" t="s">
        <v>65</v>
      </c>
      <c r="C241" s="6">
        <v>113</v>
      </c>
      <c r="D241" s="11">
        <f t="shared" si="7"/>
        <v>115</v>
      </c>
      <c r="E241" s="6" t="s">
        <v>53</v>
      </c>
      <c r="F241" s="6">
        <f t="shared" si="11"/>
        <v>10</v>
      </c>
      <c r="G241" s="8">
        <v>7</v>
      </c>
      <c r="H241" s="6" t="str">
        <f>'Grad Raw Data'!I241</f>
        <v>Andrew</v>
      </c>
      <c r="I241" s="6" t="str">
        <f>'Grad Raw Data'!H241</f>
        <v>Valentin</v>
      </c>
      <c r="J241" s="6">
        <f>'Grad Raw Data'!G241</f>
        <v>0</v>
      </c>
    </row>
    <row r="242" spans="1:10" ht="18" x14ac:dyDescent="0.25">
      <c r="A242" s="6" t="s">
        <v>51</v>
      </c>
      <c r="B242" s="6" t="s">
        <v>65</v>
      </c>
      <c r="C242" s="6">
        <v>115</v>
      </c>
      <c r="D242" s="11">
        <f t="shared" si="7"/>
        <v>116</v>
      </c>
      <c r="E242" s="6" t="s">
        <v>53</v>
      </c>
      <c r="F242" s="6">
        <f t="shared" si="11"/>
        <v>10</v>
      </c>
      <c r="G242" s="8">
        <v>8</v>
      </c>
      <c r="H242" s="6" t="str">
        <f>'Grad Raw Data'!I242</f>
        <v>Colby</v>
      </c>
      <c r="I242" s="6" t="str">
        <f>'Grad Raw Data'!H242</f>
        <v>Van Horn</v>
      </c>
      <c r="J242" s="6">
        <f>'Grad Raw Data'!G242</f>
        <v>0</v>
      </c>
    </row>
    <row r="243" spans="1:10" ht="18" x14ac:dyDescent="0.25">
      <c r="A243" s="6" t="s">
        <v>51</v>
      </c>
      <c r="B243" s="6" t="s">
        <v>65</v>
      </c>
      <c r="C243" s="6">
        <v>117</v>
      </c>
      <c r="D243" s="11">
        <f t="shared" si="7"/>
        <v>117</v>
      </c>
      <c r="E243" s="6" t="s">
        <v>53</v>
      </c>
      <c r="F243" s="6">
        <f t="shared" si="11"/>
        <v>10</v>
      </c>
      <c r="G243" s="8">
        <v>9</v>
      </c>
      <c r="H243" s="6" t="str">
        <f>'Grad Raw Data'!I243</f>
        <v>Katherine</v>
      </c>
      <c r="I243" s="6" t="str">
        <f>'Grad Raw Data'!H243</f>
        <v>Van Magness</v>
      </c>
      <c r="J243" s="6">
        <f>'Grad Raw Data'!G243</f>
        <v>0</v>
      </c>
    </row>
    <row r="244" spans="1:10" ht="18" x14ac:dyDescent="0.25">
      <c r="A244" s="6" t="s">
        <v>51</v>
      </c>
      <c r="B244" s="6" t="s">
        <v>65</v>
      </c>
      <c r="C244" s="6">
        <v>119</v>
      </c>
      <c r="D244" s="11">
        <f t="shared" si="7"/>
        <v>118</v>
      </c>
      <c r="E244" s="6" t="s">
        <v>53</v>
      </c>
      <c r="F244" s="6">
        <f t="shared" si="11"/>
        <v>10</v>
      </c>
      <c r="G244" s="8">
        <v>10</v>
      </c>
      <c r="H244" s="6" t="str">
        <f>'Grad Raw Data'!I244</f>
        <v>Justin</v>
      </c>
      <c r="I244" s="6" t="str">
        <f>'Grad Raw Data'!H244</f>
        <v>Ventura</v>
      </c>
      <c r="J244" s="6">
        <f>'Grad Raw Data'!G244</f>
        <v>0</v>
      </c>
    </row>
    <row r="245" spans="1:10" ht="18" x14ac:dyDescent="0.25">
      <c r="A245" s="6" t="s">
        <v>51</v>
      </c>
      <c r="B245" s="6" t="s">
        <v>65</v>
      </c>
      <c r="C245" s="6">
        <v>121</v>
      </c>
      <c r="D245" s="11">
        <f t="shared" si="7"/>
        <v>119</v>
      </c>
      <c r="E245" s="6" t="s">
        <v>53</v>
      </c>
      <c r="F245" s="6">
        <f t="shared" si="11"/>
        <v>10</v>
      </c>
      <c r="G245" s="8">
        <v>11</v>
      </c>
      <c r="H245" s="6" t="str">
        <f>'Grad Raw Data'!I245</f>
        <v>Dario</v>
      </c>
      <c r="I245" s="6" t="str">
        <f>'Grad Raw Data'!H245</f>
        <v>Viliott</v>
      </c>
      <c r="J245" s="6">
        <f>'Grad Raw Data'!G245</f>
        <v>0</v>
      </c>
    </row>
    <row r="246" spans="1:10" ht="18.75" thickBot="1" x14ac:dyDescent="0.3">
      <c r="A246" s="4" t="s">
        <v>51</v>
      </c>
      <c r="B246" s="4" t="s">
        <v>65</v>
      </c>
      <c r="C246" s="4">
        <v>123</v>
      </c>
      <c r="D246" s="11">
        <f t="shared" si="7"/>
        <v>120</v>
      </c>
      <c r="E246" s="4" t="s">
        <v>53</v>
      </c>
      <c r="F246" s="4">
        <f t="shared" si="11"/>
        <v>10</v>
      </c>
      <c r="G246" s="5">
        <v>12</v>
      </c>
      <c r="H246" s="6" t="str">
        <f>'Grad Raw Data'!I246</f>
        <v>Nathan</v>
      </c>
      <c r="I246" s="6" t="str">
        <f>'Grad Raw Data'!H246</f>
        <v>Vitarisi</v>
      </c>
      <c r="J246" s="6">
        <f>'Grad Raw Data'!G246</f>
        <v>0</v>
      </c>
    </row>
    <row r="247" spans="1:10" ht="18.75" thickTop="1" x14ac:dyDescent="0.25">
      <c r="A247" s="6" t="s">
        <v>48</v>
      </c>
      <c r="B247" s="6" t="s">
        <v>67</v>
      </c>
      <c r="C247" s="6">
        <v>101</v>
      </c>
      <c r="D247" s="11">
        <f t="shared" si="7"/>
        <v>121</v>
      </c>
      <c r="E247" s="6" t="s">
        <v>50</v>
      </c>
      <c r="F247" s="6">
        <f>F223+1</f>
        <v>11</v>
      </c>
      <c r="G247" s="8">
        <v>1</v>
      </c>
      <c r="H247" s="6" t="str">
        <f>'Grad Raw Data'!I247</f>
        <v>Jacob</v>
      </c>
      <c r="I247" s="6" t="str">
        <f>'Grad Raw Data'!H247</f>
        <v>Ward</v>
      </c>
      <c r="J247" s="6">
        <f>'Grad Raw Data'!G247</f>
        <v>0</v>
      </c>
    </row>
    <row r="248" spans="1:10" ht="18" x14ac:dyDescent="0.25">
      <c r="A248" s="6" t="s">
        <v>48</v>
      </c>
      <c r="B248" s="6" t="s">
        <v>67</v>
      </c>
      <c r="C248" s="6">
        <v>102</v>
      </c>
      <c r="D248" s="11">
        <f t="shared" si="7"/>
        <v>122</v>
      </c>
      <c r="E248" s="6" t="s">
        <v>50</v>
      </c>
      <c r="F248" s="6">
        <f t="shared" ref="F248:F258" si="12">F224+1</f>
        <v>11</v>
      </c>
      <c r="G248" s="8">
        <v>2</v>
      </c>
      <c r="H248" s="6" t="str">
        <f>'Grad Raw Data'!I248</f>
        <v>Kyle</v>
      </c>
      <c r="I248" s="6" t="str">
        <f>'Grad Raw Data'!H248</f>
        <v>Weaver</v>
      </c>
      <c r="J248" s="6">
        <f>'Grad Raw Data'!G248</f>
        <v>0</v>
      </c>
    </row>
    <row r="249" spans="1:10" ht="18" x14ac:dyDescent="0.25">
      <c r="A249" s="6" t="s">
        <v>48</v>
      </c>
      <c r="B249" s="6" t="s">
        <v>67</v>
      </c>
      <c r="C249" s="6">
        <v>103</v>
      </c>
      <c r="D249" s="11">
        <f t="shared" si="7"/>
        <v>123</v>
      </c>
      <c r="E249" s="6" t="s">
        <v>50</v>
      </c>
      <c r="F249" s="6">
        <f t="shared" si="12"/>
        <v>11</v>
      </c>
      <c r="G249" s="8">
        <v>3</v>
      </c>
      <c r="H249" s="6" t="str">
        <f>'Grad Raw Data'!I249</f>
        <v>Tess</v>
      </c>
      <c r="I249" s="6" t="str">
        <f>'Grad Raw Data'!H249</f>
        <v>Weaver</v>
      </c>
      <c r="J249" s="6">
        <f>'Grad Raw Data'!G249</f>
        <v>0</v>
      </c>
    </row>
    <row r="250" spans="1:10" ht="18" x14ac:dyDescent="0.25">
      <c r="A250" s="6" t="s">
        <v>48</v>
      </c>
      <c r="B250" s="6" t="s">
        <v>67</v>
      </c>
      <c r="C250" s="6">
        <v>104</v>
      </c>
      <c r="D250" s="11">
        <f t="shared" si="7"/>
        <v>124</v>
      </c>
      <c r="E250" s="6" t="s">
        <v>50</v>
      </c>
      <c r="F250" s="6">
        <f t="shared" si="12"/>
        <v>11</v>
      </c>
      <c r="G250" s="8">
        <v>4</v>
      </c>
      <c r="H250" s="6" t="str">
        <f>'Grad Raw Data'!I250</f>
        <v>Leah</v>
      </c>
      <c r="I250" s="6" t="str">
        <f>'Grad Raw Data'!H250</f>
        <v>Weber</v>
      </c>
      <c r="J250" s="6">
        <f>'Grad Raw Data'!G250</f>
        <v>0</v>
      </c>
    </row>
    <row r="251" spans="1:10" ht="18" x14ac:dyDescent="0.25">
      <c r="A251" s="6" t="s">
        <v>48</v>
      </c>
      <c r="B251" s="6" t="s">
        <v>67</v>
      </c>
      <c r="C251" s="6">
        <v>105</v>
      </c>
      <c r="D251" s="11">
        <f t="shared" si="7"/>
        <v>125</v>
      </c>
      <c r="E251" s="6" t="s">
        <v>50</v>
      </c>
      <c r="F251" s="6">
        <f t="shared" si="12"/>
        <v>11</v>
      </c>
      <c r="G251" s="8">
        <v>5</v>
      </c>
      <c r="H251" s="6" t="str">
        <f>'Grad Raw Data'!I251</f>
        <v>Emma</v>
      </c>
      <c r="I251" s="6" t="str">
        <f>'Grad Raw Data'!H251</f>
        <v>White</v>
      </c>
      <c r="J251" s="6">
        <f>'Grad Raw Data'!G251</f>
        <v>0</v>
      </c>
    </row>
    <row r="252" spans="1:10" ht="18" x14ac:dyDescent="0.25">
      <c r="A252" s="6" t="s">
        <v>48</v>
      </c>
      <c r="B252" s="6" t="s">
        <v>67</v>
      </c>
      <c r="C252" s="6">
        <v>106</v>
      </c>
      <c r="D252" s="11">
        <f t="shared" si="7"/>
        <v>126</v>
      </c>
      <c r="E252" s="6" t="s">
        <v>50</v>
      </c>
      <c r="F252" s="6">
        <f t="shared" si="12"/>
        <v>11</v>
      </c>
      <c r="G252" s="8">
        <v>6</v>
      </c>
      <c r="H252" s="6" t="str">
        <f>'Grad Raw Data'!I252</f>
        <v>John</v>
      </c>
      <c r="I252" s="6" t="str">
        <f>'Grad Raw Data'!H252</f>
        <v>Wiggins</v>
      </c>
      <c r="J252" s="6">
        <f>'Grad Raw Data'!G252</f>
        <v>0</v>
      </c>
    </row>
    <row r="253" spans="1:10" ht="18" x14ac:dyDescent="0.25">
      <c r="A253" s="6" t="s">
        <v>48</v>
      </c>
      <c r="B253" s="6" t="s">
        <v>67</v>
      </c>
      <c r="C253" s="6">
        <v>107</v>
      </c>
      <c r="D253" s="11">
        <f t="shared" si="7"/>
        <v>127</v>
      </c>
      <c r="E253" s="6" t="s">
        <v>50</v>
      </c>
      <c r="F253" s="6">
        <f t="shared" si="12"/>
        <v>11</v>
      </c>
      <c r="G253" s="8">
        <v>7</v>
      </c>
      <c r="H253" s="6" t="str">
        <f>'Grad Raw Data'!I253</f>
        <v>Angela</v>
      </c>
      <c r="I253" s="6" t="str">
        <f>'Grad Raw Data'!H253</f>
        <v>Wilder</v>
      </c>
      <c r="J253" s="6">
        <f>'Grad Raw Data'!G253</f>
        <v>0</v>
      </c>
    </row>
    <row r="254" spans="1:10" ht="18" x14ac:dyDescent="0.25">
      <c r="A254" s="6" t="s">
        <v>48</v>
      </c>
      <c r="B254" s="6" t="s">
        <v>67</v>
      </c>
      <c r="C254" s="6">
        <v>108</v>
      </c>
      <c r="D254" s="11">
        <f t="shared" si="7"/>
        <v>128</v>
      </c>
      <c r="E254" s="6" t="s">
        <v>50</v>
      </c>
      <c r="F254" s="6">
        <f t="shared" si="12"/>
        <v>11</v>
      </c>
      <c r="G254" s="8">
        <v>8</v>
      </c>
      <c r="H254" s="6" t="e">
        <f>'Grad Raw Data'!I254</f>
        <v>#N/A</v>
      </c>
      <c r="I254" s="6" t="e">
        <f>'Grad Raw Data'!H254</f>
        <v>#N/A</v>
      </c>
      <c r="J254" s="6" t="e">
        <f>'Grad Raw Data'!G254</f>
        <v>#N/A</v>
      </c>
    </row>
    <row r="255" spans="1:10" ht="18" x14ac:dyDescent="0.25">
      <c r="A255" s="6" t="s">
        <v>48</v>
      </c>
      <c r="B255" s="6" t="s">
        <v>67</v>
      </c>
      <c r="C255" s="6">
        <v>109</v>
      </c>
      <c r="D255" s="11">
        <f t="shared" si="7"/>
        <v>129</v>
      </c>
      <c r="E255" s="6" t="s">
        <v>50</v>
      </c>
      <c r="F255" s="6">
        <f t="shared" si="12"/>
        <v>11</v>
      </c>
      <c r="G255" s="8">
        <v>9</v>
      </c>
      <c r="H255" s="6" t="e">
        <f>'Grad Raw Data'!I255</f>
        <v>#N/A</v>
      </c>
      <c r="I255" s="6" t="e">
        <f>'Grad Raw Data'!H255</f>
        <v>#N/A</v>
      </c>
      <c r="J255" s="6" t="e">
        <f>'Grad Raw Data'!G255</f>
        <v>#N/A</v>
      </c>
    </row>
    <row r="256" spans="1:10" ht="18" x14ac:dyDescent="0.25">
      <c r="A256" s="6" t="s">
        <v>48</v>
      </c>
      <c r="B256" s="6" t="s">
        <v>67</v>
      </c>
      <c r="C256" s="6">
        <v>110</v>
      </c>
      <c r="D256" s="11">
        <f t="shared" si="7"/>
        <v>130</v>
      </c>
      <c r="E256" s="6" t="s">
        <v>50</v>
      </c>
      <c r="F256" s="6">
        <f t="shared" si="12"/>
        <v>11</v>
      </c>
      <c r="G256" s="8">
        <v>10</v>
      </c>
      <c r="H256" s="6" t="e">
        <f>'Grad Raw Data'!I256</f>
        <v>#N/A</v>
      </c>
      <c r="I256" s="6" t="e">
        <f>'Grad Raw Data'!H256</f>
        <v>#N/A</v>
      </c>
      <c r="J256" s="6" t="e">
        <f>'Grad Raw Data'!G256</f>
        <v>#N/A</v>
      </c>
    </row>
    <row r="257" spans="1:10" ht="18" x14ac:dyDescent="0.25">
      <c r="A257" s="6" t="s">
        <v>48</v>
      </c>
      <c r="B257" s="6" t="s">
        <v>67</v>
      </c>
      <c r="C257" s="6">
        <v>111</v>
      </c>
      <c r="D257" s="11">
        <f t="shared" si="7"/>
        <v>131</v>
      </c>
      <c r="E257" s="6" t="s">
        <v>50</v>
      </c>
      <c r="F257" s="6">
        <f t="shared" si="12"/>
        <v>11</v>
      </c>
      <c r="G257" s="8">
        <v>11</v>
      </c>
      <c r="H257" s="6" t="e">
        <f>'Grad Raw Data'!I257</f>
        <v>#N/A</v>
      </c>
      <c r="I257" s="6" t="e">
        <f>'Grad Raw Data'!H257</f>
        <v>#N/A</v>
      </c>
      <c r="J257" s="6" t="e">
        <f>'Grad Raw Data'!G257</f>
        <v>#N/A</v>
      </c>
    </row>
    <row r="258" spans="1:10" ht="18.75" thickBot="1" x14ac:dyDescent="0.3">
      <c r="A258" s="4" t="s">
        <v>48</v>
      </c>
      <c r="B258" s="4" t="s">
        <v>67</v>
      </c>
      <c r="C258" s="4">
        <v>112</v>
      </c>
      <c r="D258" s="11">
        <f t="shared" si="7"/>
        <v>132</v>
      </c>
      <c r="E258" s="4" t="s">
        <v>50</v>
      </c>
      <c r="F258" s="4">
        <f t="shared" si="12"/>
        <v>11</v>
      </c>
      <c r="G258" s="5">
        <v>12</v>
      </c>
      <c r="H258" s="6" t="e">
        <f>'Grad Raw Data'!I258</f>
        <v>#N/A</v>
      </c>
      <c r="I258" s="6" t="e">
        <f>'Grad Raw Data'!H258</f>
        <v>#N/A</v>
      </c>
      <c r="J258" s="6" t="e">
        <f>'Grad Raw Data'!G258</f>
        <v>#N/A</v>
      </c>
    </row>
    <row r="259" spans="1:10" ht="18.75" thickTop="1" x14ac:dyDescent="0.25">
      <c r="A259" s="6" t="s">
        <v>51</v>
      </c>
      <c r="B259" s="6" t="s">
        <v>68</v>
      </c>
      <c r="C259" s="6">
        <v>126</v>
      </c>
      <c r="D259" s="11">
        <v>121</v>
      </c>
      <c r="E259" s="6" t="s">
        <v>53</v>
      </c>
      <c r="F259" s="6">
        <v>11</v>
      </c>
      <c r="G259" s="8">
        <v>1</v>
      </c>
      <c r="H259" s="6" t="str">
        <f>'Grad Raw Data'!I259</f>
        <v>Aidan</v>
      </c>
      <c r="I259" s="6" t="str">
        <f>'Grad Raw Data'!H259</f>
        <v>Williams</v>
      </c>
      <c r="J259" s="6">
        <f>'Grad Raw Data'!G259</f>
        <v>0</v>
      </c>
    </row>
    <row r="260" spans="1:10" ht="18" x14ac:dyDescent="0.25">
      <c r="A260" s="6" t="s">
        <v>51</v>
      </c>
      <c r="B260" s="6" t="s">
        <v>68</v>
      </c>
      <c r="C260" s="6">
        <v>124</v>
      </c>
      <c r="D260" s="11">
        <v>122</v>
      </c>
      <c r="E260" s="6" t="s">
        <v>53</v>
      </c>
      <c r="F260" s="6">
        <v>11</v>
      </c>
      <c r="G260" s="8">
        <v>2</v>
      </c>
      <c r="H260" s="6" t="str">
        <f>'Grad Raw Data'!I260</f>
        <v>Jamari</v>
      </c>
      <c r="I260" s="6" t="str">
        <f>'Grad Raw Data'!H260</f>
        <v>Wright</v>
      </c>
      <c r="J260" s="6">
        <f>'Grad Raw Data'!G260</f>
        <v>0</v>
      </c>
    </row>
    <row r="261" spans="1:10" ht="18" x14ac:dyDescent="0.25">
      <c r="A261" s="6" t="s">
        <v>51</v>
      </c>
      <c r="B261" s="6" t="s">
        <v>68</v>
      </c>
      <c r="C261" s="6">
        <v>122</v>
      </c>
      <c r="D261" s="11">
        <v>123</v>
      </c>
      <c r="E261" s="6" t="s">
        <v>53</v>
      </c>
      <c r="F261" s="6">
        <v>11</v>
      </c>
      <c r="G261" s="8">
        <v>3</v>
      </c>
      <c r="H261" s="6" t="str">
        <f>'Grad Raw Data'!I261</f>
        <v>Jared</v>
      </c>
      <c r="I261" s="6" t="str">
        <f>'Grad Raw Data'!H261</f>
        <v>Wright</v>
      </c>
      <c r="J261" s="6">
        <f>'Grad Raw Data'!G261</f>
        <v>0</v>
      </c>
    </row>
    <row r="262" spans="1:10" ht="18" x14ac:dyDescent="0.25">
      <c r="A262" s="6" t="s">
        <v>51</v>
      </c>
      <c r="B262" s="6" t="s">
        <v>68</v>
      </c>
      <c r="C262" s="6">
        <v>120</v>
      </c>
      <c r="D262" s="11">
        <v>124</v>
      </c>
      <c r="E262" s="6" t="s">
        <v>53</v>
      </c>
      <c r="F262" s="6">
        <v>11</v>
      </c>
      <c r="G262" s="8">
        <v>4</v>
      </c>
      <c r="H262" s="6" t="str">
        <f>'Grad Raw Data'!I262</f>
        <v>Quinn</v>
      </c>
      <c r="I262" s="6" t="str">
        <f>'Grad Raw Data'!H262</f>
        <v>Yandle</v>
      </c>
      <c r="J262" s="6">
        <f>'Grad Raw Data'!G262</f>
        <v>0</v>
      </c>
    </row>
    <row r="263" spans="1:10" ht="18" x14ac:dyDescent="0.25">
      <c r="A263" s="6" t="s">
        <v>51</v>
      </c>
      <c r="B263" s="6" t="s">
        <v>68</v>
      </c>
      <c r="C263" s="6">
        <v>118</v>
      </c>
      <c r="D263" s="11">
        <v>125</v>
      </c>
      <c r="E263" s="6" t="s">
        <v>53</v>
      </c>
      <c r="F263" s="6">
        <v>11</v>
      </c>
      <c r="G263" s="8">
        <v>5</v>
      </c>
      <c r="H263" s="6" t="str">
        <f>'Grad Raw Data'!I263</f>
        <v>John</v>
      </c>
      <c r="I263" s="6" t="str">
        <f>'Grad Raw Data'!H263</f>
        <v>Zani</v>
      </c>
      <c r="J263" s="6">
        <f>'Grad Raw Data'!G263</f>
        <v>0</v>
      </c>
    </row>
    <row r="264" spans="1:10" ht="18" x14ac:dyDescent="0.25">
      <c r="A264" s="6" t="s">
        <v>51</v>
      </c>
      <c r="B264" s="6" t="s">
        <v>68</v>
      </c>
      <c r="C264" s="6">
        <v>116</v>
      </c>
      <c r="D264" s="11">
        <v>126</v>
      </c>
      <c r="E264" s="6" t="s">
        <v>53</v>
      </c>
      <c r="F264" s="6">
        <v>11</v>
      </c>
      <c r="G264" s="8">
        <v>6</v>
      </c>
      <c r="H264" s="6" t="str">
        <f>'Grad Raw Data'!I264</f>
        <v>Jiayu</v>
      </c>
      <c r="I264" s="6" t="str">
        <f>'Grad Raw Data'!H264</f>
        <v>Zheng</v>
      </c>
      <c r="J264" s="6">
        <f>'Grad Raw Data'!G264</f>
        <v>0</v>
      </c>
    </row>
    <row r="265" spans="1:10" ht="18" x14ac:dyDescent="0.25">
      <c r="A265" s="6" t="s">
        <v>51</v>
      </c>
      <c r="B265" s="6" t="s">
        <v>68</v>
      </c>
      <c r="C265" s="6">
        <v>114</v>
      </c>
      <c r="D265" s="11">
        <v>127</v>
      </c>
      <c r="E265" s="6" t="s">
        <v>53</v>
      </c>
      <c r="F265" s="6">
        <v>11</v>
      </c>
      <c r="G265" s="8">
        <v>7</v>
      </c>
      <c r="H265" s="6" t="e">
        <f>'Grad Raw Data'!I265</f>
        <v>#N/A</v>
      </c>
      <c r="I265" s="6" t="e">
        <f>'Grad Raw Data'!H265</f>
        <v>#N/A</v>
      </c>
      <c r="J265" s="6" t="e">
        <f>'Grad Raw Data'!G265</f>
        <v>#N/A</v>
      </c>
    </row>
    <row r="266" spans="1:10" ht="18" x14ac:dyDescent="0.25">
      <c r="A266" s="6" t="s">
        <v>51</v>
      </c>
      <c r="B266" s="6" t="s">
        <v>68</v>
      </c>
      <c r="C266" s="6">
        <v>112</v>
      </c>
      <c r="D266" s="11">
        <v>128</v>
      </c>
      <c r="E266" s="6" t="s">
        <v>53</v>
      </c>
      <c r="F266" s="6">
        <v>11</v>
      </c>
      <c r="G266" s="8">
        <v>8</v>
      </c>
      <c r="H266" s="6" t="e">
        <f>'Grad Raw Data'!I266</f>
        <v>#N/A</v>
      </c>
      <c r="I266" s="6" t="e">
        <f>'Grad Raw Data'!H266</f>
        <v>#N/A</v>
      </c>
      <c r="J266" s="6" t="e">
        <f>'Grad Raw Data'!G266</f>
        <v>#N/A</v>
      </c>
    </row>
    <row r="267" spans="1:10" ht="18" x14ac:dyDescent="0.25">
      <c r="A267" s="6" t="s">
        <v>51</v>
      </c>
      <c r="B267" s="6" t="s">
        <v>68</v>
      </c>
      <c r="C267" s="6">
        <v>110</v>
      </c>
      <c r="D267" s="11">
        <v>129</v>
      </c>
      <c r="E267" s="6" t="s">
        <v>53</v>
      </c>
      <c r="F267" s="6">
        <v>11</v>
      </c>
      <c r="G267" s="8">
        <v>9</v>
      </c>
      <c r="H267" s="6" t="e">
        <f>'Grad Raw Data'!I267</f>
        <v>#N/A</v>
      </c>
      <c r="I267" s="6" t="e">
        <f>'Grad Raw Data'!H267</f>
        <v>#N/A</v>
      </c>
      <c r="J267" s="6" t="e">
        <f>'Grad Raw Data'!G267</f>
        <v>#N/A</v>
      </c>
    </row>
    <row r="268" spans="1:10" ht="18" x14ac:dyDescent="0.25">
      <c r="A268" s="6" t="s">
        <v>51</v>
      </c>
      <c r="B268" s="6" t="s">
        <v>68</v>
      </c>
      <c r="C268" s="6">
        <v>108</v>
      </c>
      <c r="D268" s="11">
        <v>130</v>
      </c>
      <c r="E268" s="6" t="s">
        <v>53</v>
      </c>
      <c r="F268" s="6">
        <v>11</v>
      </c>
      <c r="G268" s="8">
        <v>10</v>
      </c>
      <c r="H268" s="6" t="e">
        <f>'Grad Raw Data'!I268</f>
        <v>#N/A</v>
      </c>
      <c r="I268" s="6" t="e">
        <f>'Grad Raw Data'!H268</f>
        <v>#N/A</v>
      </c>
      <c r="J268" s="6" t="e">
        <f>'Grad Raw Data'!G268</f>
        <v>#N/A</v>
      </c>
    </row>
    <row r="269" spans="1:10" ht="18" x14ac:dyDescent="0.25">
      <c r="A269" s="6" t="s">
        <v>51</v>
      </c>
      <c r="B269" s="6" t="s">
        <v>68</v>
      </c>
      <c r="C269" s="6">
        <v>106</v>
      </c>
      <c r="D269" s="11">
        <v>131</v>
      </c>
      <c r="E269" s="6" t="s">
        <v>53</v>
      </c>
      <c r="F269" s="6">
        <v>11</v>
      </c>
      <c r="G269" s="8">
        <v>11</v>
      </c>
      <c r="H269" s="6"/>
      <c r="I269" s="6"/>
      <c r="J269" s="6"/>
    </row>
    <row r="270" spans="1:10" ht="18" x14ac:dyDescent="0.25">
      <c r="A270" s="6" t="s">
        <v>51</v>
      </c>
      <c r="B270" s="6" t="s">
        <v>68</v>
      </c>
      <c r="C270" s="6">
        <v>104</v>
      </c>
      <c r="D270" s="11">
        <v>132</v>
      </c>
      <c r="E270" s="6" t="s">
        <v>53</v>
      </c>
      <c r="F270" s="6">
        <v>11</v>
      </c>
      <c r="G270" s="8">
        <v>12</v>
      </c>
      <c r="H270" s="6"/>
      <c r="I270" s="6"/>
      <c r="J270" s="6"/>
    </row>
  </sheetData>
  <phoneticPr fontId="3" type="noConversion"/>
  <pageMargins left="0.16" right="0.16" top="1" bottom="1" header="0.5" footer="0.5"/>
  <pageSetup orientation="landscape" r:id="rId1"/>
  <headerFooter alignWithMargins="0">
    <oddHeader xml:space="preserve">&amp;L
</oddHeader>
  </headerFooter>
  <rowBreaks count="22" manualBreakCount="22">
    <brk id="6" max="16383" man="1"/>
    <brk id="18" max="16383" man="1"/>
    <brk id="30" max="16383" man="1"/>
    <brk id="42" max="16383" man="1"/>
    <brk id="54" max="16383" man="1"/>
    <brk id="66" max="16383" man="1"/>
    <brk id="78" max="16383" man="1"/>
    <brk id="90" max="16383" man="1"/>
    <brk id="102" max="16383" man="1"/>
    <brk id="114" max="16383" man="1"/>
    <brk id="126" max="16383" man="1"/>
    <brk id="138" max="16383" man="1"/>
    <brk id="150" max="16383" man="1"/>
    <brk id="162" max="16383" man="1"/>
    <brk id="174" max="16383" man="1"/>
    <brk id="186" max="16383" man="1"/>
    <brk id="198" max="16383" man="1"/>
    <brk id="210" max="16383" man="1"/>
    <brk id="222" max="16383" man="1"/>
    <brk id="234" max="16383" man="1"/>
    <brk id="246" max="16383" man="1"/>
    <brk id="25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528"/>
  <sheetViews>
    <sheetView tabSelected="1" workbookViewId="0">
      <selection activeCell="A267" sqref="A267"/>
    </sheetView>
  </sheetViews>
  <sheetFormatPr defaultRowHeight="15" x14ac:dyDescent="0.2"/>
  <cols>
    <col min="1" max="1" width="18" style="17" customWidth="1"/>
    <col min="2" max="2" width="25" style="17" customWidth="1"/>
    <col min="3" max="3" width="24.85546875" style="17" customWidth="1"/>
    <col min="4" max="5" width="4.85546875" style="44" customWidth="1"/>
    <col min="6" max="8" width="0" hidden="1" customWidth="1"/>
    <col min="9" max="9" width="10.140625" customWidth="1"/>
  </cols>
  <sheetData>
    <row r="1" spans="1:8" s="18" customFormat="1" ht="24.95" customHeight="1" x14ac:dyDescent="0.25">
      <c r="A1" s="19" t="s">
        <v>73</v>
      </c>
      <c r="B1" s="19" t="s">
        <v>29</v>
      </c>
      <c r="C1" s="19" t="s">
        <v>74</v>
      </c>
      <c r="D1" s="43" t="s">
        <v>75</v>
      </c>
      <c r="E1" s="43" t="s">
        <v>76</v>
      </c>
    </row>
    <row r="2" spans="1:8" ht="24.95" customHeight="1" x14ac:dyDescent="0.25">
      <c r="A2" s="20" t="str">
        <f>'Grad Raw Data'!I2</f>
        <v>Amelia</v>
      </c>
      <c r="B2" s="20" t="str">
        <f>'Grad Raw Data'!K2</f>
        <v>Jane</v>
      </c>
      <c r="C2" s="20" t="str">
        <f>'Grad Raw Data'!H2</f>
        <v>Borawski</v>
      </c>
      <c r="D2" s="44" t="str">
        <f>'Grad Raw Data'!D2</f>
        <v>STAGE</v>
      </c>
      <c r="E2" s="44" t="str">
        <f>'Grad Raw Data'!E2</f>
        <v>STAGE</v>
      </c>
      <c r="G2">
        <v>2</v>
      </c>
      <c r="H2">
        <f>IF(MOD((G2+2)/1,2)=0,(G2/2+1),"")</f>
        <v>2</v>
      </c>
    </row>
    <row r="3" spans="1:8" ht="24.95" customHeight="1" x14ac:dyDescent="0.25">
      <c r="A3" s="20"/>
      <c r="B3" s="20"/>
      <c r="C3" s="20"/>
      <c r="G3">
        <v>3</v>
      </c>
      <c r="H3" t="str">
        <f t="shared" ref="H3:H66" si="0">IF(MOD((G3+2)/1,2)=0,(G3/2+1),"")</f>
        <v/>
      </c>
    </row>
    <row r="4" spans="1:8" ht="24.95" customHeight="1" x14ac:dyDescent="0.25">
      <c r="A4" s="20" t="str">
        <f>'Grad Raw Data'!I3</f>
        <v>-</v>
      </c>
      <c r="B4" s="20" t="str">
        <f>'Grad Raw Data'!K4</f>
        <v/>
      </c>
      <c r="C4" s="20" t="str">
        <f>'Grad Raw Data'!H3</f>
        <v>-</v>
      </c>
      <c r="D4" s="44" t="str">
        <f>'Grad Raw Data'!D4</f>
        <v>STAGE</v>
      </c>
      <c r="E4" s="44" t="str">
        <f>'Grad Raw Data'!E4</f>
        <v>STAGE</v>
      </c>
      <c r="G4">
        <v>4</v>
      </c>
      <c r="H4">
        <f t="shared" si="0"/>
        <v>3</v>
      </c>
    </row>
    <row r="5" spans="1:8" ht="24.95" customHeight="1" x14ac:dyDescent="0.25">
      <c r="A5" s="16"/>
      <c r="B5" s="20"/>
      <c r="C5" s="20"/>
      <c r="G5">
        <v>5</v>
      </c>
      <c r="H5" t="str">
        <f t="shared" si="0"/>
        <v/>
      </c>
    </row>
    <row r="6" spans="1:8" ht="24.95" customHeight="1" x14ac:dyDescent="0.25">
      <c r="A6" s="20" t="str">
        <f>'Grad Raw Data'!I4</f>
        <v>Indigo</v>
      </c>
      <c r="B6" s="20" t="str">
        <f>'Grad Raw Data'!K4</f>
        <v/>
      </c>
      <c r="C6" s="20" t="str">
        <f>'Grad Raw Data'!H4</f>
        <v>Boyko</v>
      </c>
      <c r="D6" s="44" t="str">
        <f>'Grad Raw Data'!D4</f>
        <v>STAGE</v>
      </c>
      <c r="E6" s="44" t="str">
        <f>'Grad Raw Data'!E4</f>
        <v>STAGE</v>
      </c>
      <c r="G6">
        <v>6</v>
      </c>
      <c r="H6">
        <f t="shared" si="0"/>
        <v>4</v>
      </c>
    </row>
    <row r="7" spans="1:8" ht="24.95" customHeight="1" x14ac:dyDescent="0.25">
      <c r="A7" s="16"/>
      <c r="B7" s="20"/>
      <c r="C7" s="20"/>
      <c r="G7">
        <v>7</v>
      </c>
      <c r="H7" t="str">
        <f t="shared" si="0"/>
        <v/>
      </c>
    </row>
    <row r="8" spans="1:8" ht="24.95" customHeight="1" x14ac:dyDescent="0.25">
      <c r="A8" s="20" t="str">
        <f>'Grad Raw Data'!I5</f>
        <v>Jason</v>
      </c>
      <c r="B8" s="20" t="str">
        <f>'Grad Raw Data'!K5</f>
        <v/>
      </c>
      <c r="C8" s="20" t="str">
        <f>'Grad Raw Data'!H5</f>
        <v>Walsh</v>
      </c>
      <c r="D8" s="44" t="str">
        <f>'Grad Raw Data'!D5</f>
        <v>STAGE</v>
      </c>
      <c r="E8" s="44" t="str">
        <f>'Grad Raw Data'!E5</f>
        <v>STAGE</v>
      </c>
      <c r="G8">
        <v>8</v>
      </c>
      <c r="H8">
        <f t="shared" si="0"/>
        <v>5</v>
      </c>
    </row>
    <row r="9" spans="1:8" ht="24.95" customHeight="1" x14ac:dyDescent="0.25">
      <c r="A9" s="16"/>
      <c r="B9" s="20"/>
      <c r="C9" s="20"/>
      <c r="G9">
        <v>9</v>
      </c>
      <c r="H9" t="str">
        <f t="shared" si="0"/>
        <v/>
      </c>
    </row>
    <row r="10" spans="1:8" ht="24.95" customHeight="1" x14ac:dyDescent="0.25">
      <c r="A10" s="20" t="str">
        <f>'Grad Raw Data'!I6</f>
        <v>Jessica</v>
      </c>
      <c r="B10" s="20" t="str">
        <f>'Grad Raw Data'!K6</f>
        <v/>
      </c>
      <c r="C10" s="20" t="str">
        <f>'Grad Raw Data'!H6</f>
        <v>Wong</v>
      </c>
      <c r="D10" s="44" t="str">
        <f>'Grad Raw Data'!D6</f>
        <v>STAGE</v>
      </c>
      <c r="E10" s="44" t="str">
        <f>'Grad Raw Data'!E6</f>
        <v>STAGE</v>
      </c>
      <c r="G10">
        <v>10</v>
      </c>
      <c r="H10">
        <f t="shared" si="0"/>
        <v>6</v>
      </c>
    </row>
    <row r="11" spans="1:8" ht="24.95" customHeight="1" x14ac:dyDescent="0.25">
      <c r="A11" s="16">
        <f>'Grad Raw Data'!L6</f>
        <v>0</v>
      </c>
      <c r="B11" s="20"/>
      <c r="C11" s="20"/>
      <c r="G11">
        <v>11</v>
      </c>
      <c r="H11" t="str">
        <f t="shared" si="0"/>
        <v/>
      </c>
    </row>
    <row r="12" spans="1:8" ht="24.95" customHeight="1" x14ac:dyDescent="0.25">
      <c r="A12" s="20" t="str">
        <f>'Grad Raw Data'!I7</f>
        <v>Clara</v>
      </c>
      <c r="B12" s="20" t="str">
        <f>'Grad Raw Data'!K7</f>
        <v/>
      </c>
      <c r="C12" s="20" t="str">
        <f>'Grad Raw Data'!H7</f>
        <v>Healy</v>
      </c>
      <c r="D12" s="44" t="str">
        <f>'Grad Raw Data'!D7</f>
        <v>RIGHT</v>
      </c>
      <c r="E12" s="44">
        <f>'Grad Raw Data'!E7</f>
        <v>1</v>
      </c>
      <c r="G12">
        <v>12</v>
      </c>
      <c r="H12">
        <f t="shared" si="0"/>
        <v>7</v>
      </c>
    </row>
    <row r="13" spans="1:8" ht="24.95" customHeight="1" x14ac:dyDescent="0.25">
      <c r="A13" s="16" cm="1">
        <f t="array" aca="1" ref="A13" ca="1">IF(H12="","",INDIRECT("'Grad Raw Data'!L"&amp;H12))</f>
        <v>0</v>
      </c>
      <c r="B13" s="20"/>
      <c r="C13" s="20"/>
      <c r="G13">
        <v>13</v>
      </c>
      <c r="H13" t="str">
        <f t="shared" si="0"/>
        <v/>
      </c>
    </row>
    <row r="14" spans="1:8" ht="24.95" customHeight="1" x14ac:dyDescent="0.25">
      <c r="A14" s="20" t="str">
        <f>'Grad Raw Data'!I8</f>
        <v>Samuel</v>
      </c>
      <c r="B14" s="20" t="str">
        <f>'Grad Raw Data'!K8</f>
        <v/>
      </c>
      <c r="C14" s="20" t="str">
        <f>'Grad Raw Data'!H8</f>
        <v>Hillery</v>
      </c>
      <c r="D14" s="44" t="str">
        <f>'Grad Raw Data'!D8</f>
        <v>RIGHT</v>
      </c>
      <c r="E14" s="44">
        <f>'Grad Raw Data'!E8</f>
        <v>1</v>
      </c>
      <c r="G14">
        <v>14</v>
      </c>
      <c r="H14">
        <f t="shared" si="0"/>
        <v>8</v>
      </c>
    </row>
    <row r="15" spans="1:8" ht="24.95" customHeight="1" x14ac:dyDescent="0.25">
      <c r="A15" s="16" cm="1">
        <f t="array" aca="1" ref="A15" ca="1">IF(H12="","",INDIRECT("'Grad Raw Data'!L"&amp;H14))</f>
        <v>0</v>
      </c>
      <c r="B15" s="20"/>
      <c r="C15" s="20"/>
      <c r="G15">
        <v>15</v>
      </c>
      <c r="H15" t="str">
        <f t="shared" si="0"/>
        <v/>
      </c>
    </row>
    <row r="16" spans="1:8" ht="24.95" customHeight="1" x14ac:dyDescent="0.25">
      <c r="A16" s="20" t="str">
        <f>'Grad Raw Data'!I9</f>
        <v>Piper</v>
      </c>
      <c r="B16" s="20" t="str">
        <f>'Grad Raw Data'!K9</f>
        <v/>
      </c>
      <c r="C16" s="20" t="str">
        <f>'Grad Raw Data'!H9</f>
        <v>Martin</v>
      </c>
      <c r="D16" s="44" t="str">
        <f>'Grad Raw Data'!D9</f>
        <v>RIGHT</v>
      </c>
      <c r="E16" s="44">
        <f>'Grad Raw Data'!E9</f>
        <v>1</v>
      </c>
      <c r="G16">
        <v>16</v>
      </c>
      <c r="H16">
        <f t="shared" si="0"/>
        <v>9</v>
      </c>
    </row>
    <row r="17" spans="1:8" ht="24.95" customHeight="1" x14ac:dyDescent="0.25">
      <c r="A17" s="16">
        <f>'Grad Raw Data'!L9</f>
        <v>0</v>
      </c>
      <c r="B17" s="20"/>
      <c r="C17" s="20"/>
      <c r="G17">
        <v>17</v>
      </c>
      <c r="H17" t="str">
        <f t="shared" si="0"/>
        <v/>
      </c>
    </row>
    <row r="18" spans="1:8" ht="24.95" customHeight="1" x14ac:dyDescent="0.25">
      <c r="A18" s="20" t="str">
        <f>'Grad Raw Data'!I10</f>
        <v>Aidan</v>
      </c>
      <c r="B18" s="20" t="str">
        <f>'Grad Raw Data'!K10</f>
        <v/>
      </c>
      <c r="C18" s="20" t="str">
        <f>'Grad Raw Data'!H10</f>
        <v>Mullin</v>
      </c>
      <c r="D18" s="44" t="str">
        <f>'Grad Raw Data'!D10</f>
        <v>RIGHT</v>
      </c>
      <c r="E18" s="44">
        <f>'Grad Raw Data'!E10</f>
        <v>1</v>
      </c>
      <c r="G18">
        <v>18</v>
      </c>
      <c r="H18">
        <f t="shared" si="0"/>
        <v>10</v>
      </c>
    </row>
    <row r="19" spans="1:8" ht="24.95" customHeight="1" x14ac:dyDescent="0.25">
      <c r="A19" s="16"/>
      <c r="B19" s="20"/>
      <c r="C19" s="20"/>
      <c r="G19">
        <v>19</v>
      </c>
      <c r="H19" t="str">
        <f t="shared" si="0"/>
        <v/>
      </c>
    </row>
    <row r="20" spans="1:8" ht="24.95" customHeight="1" x14ac:dyDescent="0.25">
      <c r="A20" s="20" t="str">
        <f>'Grad Raw Data'!I11</f>
        <v>Emma</v>
      </c>
      <c r="B20" s="20" t="str">
        <f>'Grad Raw Data'!K11</f>
        <v>Elizabeth</v>
      </c>
      <c r="C20" s="20" t="str">
        <f>'Grad Raw Data'!H11</f>
        <v>Nelson</v>
      </c>
      <c r="D20" s="44" t="str">
        <f>'Grad Raw Data'!D11</f>
        <v>RIGHT</v>
      </c>
      <c r="E20" s="44">
        <f>'Grad Raw Data'!E11</f>
        <v>1</v>
      </c>
      <c r="G20">
        <v>20</v>
      </c>
      <c r="H20">
        <f t="shared" si="0"/>
        <v>11</v>
      </c>
    </row>
    <row r="21" spans="1:8" ht="24.95" customHeight="1" x14ac:dyDescent="0.25">
      <c r="A21" s="16">
        <f>'Grad Raw Data'!L11</f>
        <v>0</v>
      </c>
      <c r="B21" s="20"/>
      <c r="C21" s="20"/>
      <c r="G21">
        <v>21</v>
      </c>
      <c r="H21" t="str">
        <f t="shared" si="0"/>
        <v/>
      </c>
    </row>
    <row r="22" spans="1:8" ht="24.95" customHeight="1" x14ac:dyDescent="0.25">
      <c r="A22" s="20" t="str">
        <f>'Grad Raw Data'!I12</f>
        <v>Thomas</v>
      </c>
      <c r="B22" s="20" t="str">
        <f>'Grad Raw Data'!K12</f>
        <v/>
      </c>
      <c r="C22" s="20" t="str">
        <f>'Grad Raw Data'!H12</f>
        <v>Stathoulopoulos</v>
      </c>
      <c r="D22" s="44" t="str">
        <f>'Grad Raw Data'!D12</f>
        <v>RIGHT</v>
      </c>
      <c r="E22" s="44">
        <f>'Grad Raw Data'!E12</f>
        <v>1</v>
      </c>
      <c r="G22">
        <v>22</v>
      </c>
      <c r="H22">
        <f t="shared" si="0"/>
        <v>12</v>
      </c>
    </row>
    <row r="23" spans="1:8" ht="24.95" customHeight="1" x14ac:dyDescent="0.25">
      <c r="A23" s="16">
        <f>'Grad Raw Data'!L11</f>
        <v>0</v>
      </c>
      <c r="B23" s="20"/>
      <c r="C23" s="20"/>
      <c r="G23">
        <v>23</v>
      </c>
      <c r="H23" t="str">
        <f t="shared" si="0"/>
        <v/>
      </c>
    </row>
    <row r="24" spans="1:8" ht="24.95" customHeight="1" x14ac:dyDescent="0.25">
      <c r="A24" s="20" t="str">
        <f>'Grad Raw Data'!I13</f>
        <v>Cara</v>
      </c>
      <c r="B24" s="20" t="str">
        <f>'Grad Raw Data'!K13</f>
        <v/>
      </c>
      <c r="C24" s="20" t="str">
        <f>'Grad Raw Data'!H13</f>
        <v>Vitarisi</v>
      </c>
      <c r="D24" s="44" t="str">
        <f>'Grad Raw Data'!D13</f>
        <v>RIGHT</v>
      </c>
      <c r="E24" s="44">
        <f>'Grad Raw Data'!E13</f>
        <v>1</v>
      </c>
      <c r="G24">
        <v>24</v>
      </c>
      <c r="H24">
        <f t="shared" si="0"/>
        <v>13</v>
      </c>
    </row>
    <row r="25" spans="1:8" ht="24.95" customHeight="1" x14ac:dyDescent="0.25">
      <c r="A25" s="16">
        <f>'Grad Raw Data'!L13</f>
        <v>0</v>
      </c>
      <c r="B25" s="20"/>
      <c r="C25" s="20"/>
      <c r="G25">
        <v>25</v>
      </c>
      <c r="H25" t="str">
        <f t="shared" si="0"/>
        <v/>
      </c>
    </row>
    <row r="26" spans="1:8" ht="24.95" customHeight="1" x14ac:dyDescent="0.25">
      <c r="A26" s="20" t="str">
        <f>'Grad Raw Data'!I14</f>
        <v>Jillian</v>
      </c>
      <c r="B26" s="20" t="str">
        <f>'Grad Raw Data'!K14</f>
        <v>Kate</v>
      </c>
      <c r="C26" s="20" t="str">
        <f>'Grad Raw Data'!H14</f>
        <v>Abate</v>
      </c>
      <c r="D26" s="44" t="str">
        <f>'Grad Raw Data'!D14</f>
        <v>RIGHT</v>
      </c>
      <c r="E26" s="44">
        <f>'Grad Raw Data'!E14</f>
        <v>1</v>
      </c>
      <c r="G26">
        <v>26</v>
      </c>
      <c r="H26">
        <f t="shared" si="0"/>
        <v>14</v>
      </c>
    </row>
    <row r="27" spans="1:8" ht="24.95" customHeight="1" x14ac:dyDescent="0.25">
      <c r="A27" s="16" t="str">
        <f>'Grad Raw Data'!L14</f>
        <v>a-bod-ee</v>
      </c>
      <c r="B27" s="20"/>
      <c r="C27" s="20"/>
      <c r="G27">
        <v>27</v>
      </c>
      <c r="H27" t="str">
        <f t="shared" si="0"/>
        <v/>
      </c>
    </row>
    <row r="28" spans="1:8" ht="24.95" customHeight="1" x14ac:dyDescent="0.25">
      <c r="A28" s="20" t="str">
        <f>'Grad Raw Data'!I15</f>
        <v>Logan</v>
      </c>
      <c r="B28" s="20" t="str">
        <f>'Grad Raw Data'!K15</f>
        <v>Ford</v>
      </c>
      <c r="C28" s="20" t="str">
        <f>'Grad Raw Data'!H15</f>
        <v>Abrams</v>
      </c>
      <c r="D28" s="44" t="str">
        <f>'Grad Raw Data'!D15</f>
        <v>RIGHT</v>
      </c>
      <c r="E28" s="44">
        <f>'Grad Raw Data'!E15</f>
        <v>1</v>
      </c>
      <c r="G28">
        <v>28</v>
      </c>
      <c r="H28">
        <f t="shared" si="0"/>
        <v>15</v>
      </c>
    </row>
    <row r="29" spans="1:8" ht="24.95" customHeight="1" x14ac:dyDescent="0.25">
      <c r="A29" s="16">
        <f>'Grad Raw Data'!L15</f>
        <v>0</v>
      </c>
      <c r="B29" s="20"/>
      <c r="C29" s="20"/>
      <c r="G29">
        <v>29</v>
      </c>
      <c r="H29" t="str">
        <f t="shared" si="0"/>
        <v/>
      </c>
    </row>
    <row r="30" spans="1:8" ht="24.95" customHeight="1" x14ac:dyDescent="0.25">
      <c r="A30" s="20" t="str">
        <f>'Grad Raw Data'!I16</f>
        <v>Raniya</v>
      </c>
      <c r="B30" s="20" t="str">
        <f>'Grad Raw Data'!K16</f>
        <v/>
      </c>
      <c r="C30" s="20" t="str">
        <f>'Grad Raw Data'!H16</f>
        <v>Abubakar</v>
      </c>
      <c r="D30" s="44" t="str">
        <f>'Grad Raw Data'!D16</f>
        <v>RIGHT</v>
      </c>
      <c r="E30" s="44">
        <f>'Grad Raw Data'!E16</f>
        <v>1</v>
      </c>
      <c r="G30">
        <v>30</v>
      </c>
      <c r="H30">
        <f t="shared" si="0"/>
        <v>16</v>
      </c>
    </row>
    <row r="31" spans="1:8" ht="24.95" customHeight="1" x14ac:dyDescent="0.25">
      <c r="A31" s="16">
        <f>'Grad Raw Data'!L16</f>
        <v>0</v>
      </c>
      <c r="B31" s="20"/>
      <c r="C31" s="20"/>
      <c r="G31">
        <v>31</v>
      </c>
      <c r="H31" t="str">
        <f t="shared" si="0"/>
        <v/>
      </c>
    </row>
    <row r="32" spans="1:8" ht="24.95" customHeight="1" x14ac:dyDescent="0.25">
      <c r="A32" s="20" t="str">
        <f>'Grad Raw Data'!I17</f>
        <v>Luis</v>
      </c>
      <c r="B32" s="20" t="str">
        <f>'Grad Raw Data'!K17</f>
        <v xml:space="preserve"> </v>
      </c>
      <c r="C32" s="20" t="str">
        <f>'Grad Raw Data'!H17</f>
        <v>Aburto Campos</v>
      </c>
      <c r="D32" s="44" t="str">
        <f>'Grad Raw Data'!D17</f>
        <v>RIGHT</v>
      </c>
      <c r="E32" s="44">
        <f>'Grad Raw Data'!E17</f>
        <v>1</v>
      </c>
      <c r="G32">
        <v>32</v>
      </c>
      <c r="H32">
        <f t="shared" si="0"/>
        <v>17</v>
      </c>
    </row>
    <row r="33" spans="1:8" ht="24.95" customHeight="1" x14ac:dyDescent="0.25">
      <c r="A33" s="16">
        <f>'Grad Raw Data'!L17</f>
        <v>0</v>
      </c>
      <c r="B33" s="20"/>
      <c r="C33" s="20"/>
      <c r="G33">
        <v>33</v>
      </c>
      <c r="H33" t="str">
        <f t="shared" si="0"/>
        <v/>
      </c>
    </row>
    <row r="34" spans="1:8" ht="24.95" customHeight="1" x14ac:dyDescent="0.25">
      <c r="A34" s="20" t="str">
        <f>'Grad Raw Data'!I18</f>
        <v>Devyn</v>
      </c>
      <c r="B34" s="20" t="str">
        <f>'Grad Raw Data'!K19</f>
        <v/>
      </c>
      <c r="C34" s="20" t="str">
        <f>'Grad Raw Data'!H18</f>
        <v>Ahlert</v>
      </c>
      <c r="D34" s="44" t="str">
        <f>'Grad Raw Data'!D18</f>
        <v>RIGHT</v>
      </c>
      <c r="E34" s="44">
        <f>'Grad Raw Data'!E18</f>
        <v>1</v>
      </c>
      <c r="G34">
        <v>34</v>
      </c>
      <c r="H34">
        <f t="shared" si="0"/>
        <v>18</v>
      </c>
    </row>
    <row r="35" spans="1:8" ht="24.95" customHeight="1" x14ac:dyDescent="0.25">
      <c r="A35" s="16"/>
      <c r="B35" s="20"/>
      <c r="C35" s="20"/>
      <c r="G35">
        <v>35</v>
      </c>
      <c r="H35" t="str">
        <f t="shared" si="0"/>
        <v/>
      </c>
    </row>
    <row r="36" spans="1:8" ht="24.95" customHeight="1" x14ac:dyDescent="0.25">
      <c r="A36" s="20" t="str">
        <f>'Grad Raw Data'!I19</f>
        <v>Alexander</v>
      </c>
      <c r="B36" s="20" t="e">
        <f>'Grad Raw Data'!#REF!</f>
        <v>#REF!</v>
      </c>
      <c r="C36" s="20" t="str">
        <f>'Grad Raw Data'!H19</f>
        <v>Aiello</v>
      </c>
      <c r="D36" s="44" t="str">
        <f>'Grad Raw Data'!D19</f>
        <v>LEFT</v>
      </c>
      <c r="E36" s="44">
        <f>'Grad Raw Data'!E19</f>
        <v>1</v>
      </c>
      <c r="G36">
        <v>36</v>
      </c>
      <c r="H36">
        <f t="shared" si="0"/>
        <v>19</v>
      </c>
    </row>
    <row r="37" spans="1:8" ht="24.95" customHeight="1" x14ac:dyDescent="0.25">
      <c r="A37" s="16" t="str">
        <f>'Grad Raw Data'!L19</f>
        <v>Aiello (I-L-O)</v>
      </c>
      <c r="B37" s="20"/>
      <c r="C37" s="20"/>
      <c r="G37">
        <v>37</v>
      </c>
      <c r="H37" t="str">
        <f t="shared" si="0"/>
        <v/>
      </c>
    </row>
    <row r="38" spans="1:8" ht="24.95" customHeight="1" x14ac:dyDescent="0.25">
      <c r="A38" s="20" t="str">
        <f>'Grad Raw Data'!I20</f>
        <v>Reese</v>
      </c>
      <c r="B38" s="20" t="str">
        <f>'Grad Raw Data'!K20</f>
        <v/>
      </c>
      <c r="C38" s="20" t="str">
        <f>'Grad Raw Data'!H20</f>
        <v>Allen</v>
      </c>
      <c r="D38" s="44" t="str">
        <f>'Grad Raw Data'!D20</f>
        <v>LEFT</v>
      </c>
      <c r="E38" s="44">
        <f>'Grad Raw Data'!E20</f>
        <v>1</v>
      </c>
      <c r="G38">
        <v>38</v>
      </c>
      <c r="H38">
        <f t="shared" si="0"/>
        <v>20</v>
      </c>
    </row>
    <row r="39" spans="1:8" ht="24.95" customHeight="1" x14ac:dyDescent="0.25">
      <c r="A39" s="16" t="str">
        <f>'Grad Raw Data'!L20</f>
        <v>Reese Allen</v>
      </c>
      <c r="B39" s="20"/>
      <c r="C39" s="20"/>
      <c r="G39">
        <v>39</v>
      </c>
      <c r="H39" t="str">
        <f t="shared" si="0"/>
        <v/>
      </c>
    </row>
    <row r="40" spans="1:8" ht="24.95" customHeight="1" x14ac:dyDescent="0.25">
      <c r="A40" s="20" t="str">
        <f>'Grad Raw Data'!I21</f>
        <v>Fabricio</v>
      </c>
      <c r="B40" s="20" t="str">
        <f>'Grad Raw Data'!K21</f>
        <v/>
      </c>
      <c r="C40" s="20" t="str">
        <f>'Grad Raw Data'!H21</f>
        <v>Amado</v>
      </c>
      <c r="D40" s="44" t="str">
        <f>'Grad Raw Data'!D21</f>
        <v>LEFT</v>
      </c>
      <c r="E40" s="44">
        <f>'Grad Raw Data'!E21</f>
        <v>1</v>
      </c>
      <c r="G40">
        <v>40</v>
      </c>
      <c r="H40">
        <f t="shared" si="0"/>
        <v>21</v>
      </c>
    </row>
    <row r="41" spans="1:8" ht="24.95" customHeight="1" x14ac:dyDescent="0.25">
      <c r="A41" s="16" t="str">
        <f>'Grad Raw Data'!L21</f>
        <v>Fah-bree-cee-oh Ah-mod-oh</v>
      </c>
      <c r="B41" s="20"/>
      <c r="C41" s="20"/>
      <c r="G41">
        <v>41</v>
      </c>
      <c r="H41" t="str">
        <f t="shared" si="0"/>
        <v/>
      </c>
    </row>
    <row r="42" spans="1:8" ht="24.95" customHeight="1" x14ac:dyDescent="0.25">
      <c r="A42" s="20" t="str">
        <f>'Grad Raw Data'!I22</f>
        <v>Joseph</v>
      </c>
      <c r="B42" s="20" t="str">
        <f>'Grad Raw Data'!K22</f>
        <v/>
      </c>
      <c r="C42" s="20" t="str">
        <f>'Grad Raw Data'!H22</f>
        <v>Amirault</v>
      </c>
      <c r="D42" s="44" t="str">
        <f>'Grad Raw Data'!D22</f>
        <v>LEFT</v>
      </c>
      <c r="E42" s="44">
        <f>'Grad Raw Data'!E22</f>
        <v>1</v>
      </c>
      <c r="G42">
        <v>42</v>
      </c>
      <c r="H42">
        <f t="shared" si="0"/>
        <v>22</v>
      </c>
    </row>
    <row r="43" spans="1:8" ht="24.95" customHeight="1" x14ac:dyDescent="0.25">
      <c r="A43" s="16">
        <f>'Grad Raw Data'!L22</f>
        <v>0</v>
      </c>
      <c r="B43" s="20"/>
      <c r="C43" s="20"/>
      <c r="G43">
        <v>43</v>
      </c>
      <c r="H43" t="str">
        <f t="shared" si="0"/>
        <v/>
      </c>
    </row>
    <row r="44" spans="1:8" ht="24.95" customHeight="1" x14ac:dyDescent="0.25">
      <c r="A44" s="20" t="str">
        <f>'Grad Raw Data'!I23</f>
        <v>Brady</v>
      </c>
      <c r="B44" s="20" t="str">
        <f>'Grad Raw Data'!K23</f>
        <v/>
      </c>
      <c r="C44" s="20" t="str">
        <f>'Grad Raw Data'!H23</f>
        <v>Anderson</v>
      </c>
      <c r="D44" s="44" t="str">
        <f>'Grad Raw Data'!D23</f>
        <v>LEFT</v>
      </c>
      <c r="E44" s="44">
        <f>'Grad Raw Data'!E23</f>
        <v>1</v>
      </c>
      <c r="G44">
        <v>44</v>
      </c>
      <c r="H44">
        <f t="shared" si="0"/>
        <v>23</v>
      </c>
    </row>
    <row r="45" spans="1:8" ht="24.95" customHeight="1" x14ac:dyDescent="0.25">
      <c r="A45" s="16">
        <f>'Grad Raw Data'!L23</f>
        <v>0</v>
      </c>
      <c r="B45" s="20"/>
      <c r="C45" s="20"/>
      <c r="G45">
        <v>45</v>
      </c>
      <c r="H45" t="str">
        <f t="shared" si="0"/>
        <v/>
      </c>
    </row>
    <row r="46" spans="1:8" ht="24.95" customHeight="1" x14ac:dyDescent="0.25">
      <c r="A46" s="20" t="str">
        <f>'Grad Raw Data'!I24</f>
        <v>Barrington</v>
      </c>
      <c r="B46" s="20" t="str">
        <f>'Grad Raw Data'!K24</f>
        <v/>
      </c>
      <c r="C46" s="20" t="str">
        <f>'Grad Raw Data'!H24</f>
        <v>Anderson</v>
      </c>
      <c r="D46" s="44" t="str">
        <f>'Grad Raw Data'!D24</f>
        <v>LEFT</v>
      </c>
      <c r="E46" s="44">
        <f>'Grad Raw Data'!E24</f>
        <v>1</v>
      </c>
      <c r="G46">
        <v>46</v>
      </c>
      <c r="H46">
        <f t="shared" si="0"/>
        <v>24</v>
      </c>
    </row>
    <row r="47" spans="1:8" ht="24.95" customHeight="1" x14ac:dyDescent="0.25">
      <c r="A47" s="16">
        <f>'Grad Raw Data'!L24</f>
        <v>0</v>
      </c>
      <c r="B47" s="20"/>
      <c r="C47" s="20"/>
      <c r="G47">
        <v>47</v>
      </c>
      <c r="H47" t="str">
        <f t="shared" si="0"/>
        <v/>
      </c>
    </row>
    <row r="48" spans="1:8" ht="24.95" customHeight="1" x14ac:dyDescent="0.25">
      <c r="A48" s="20" t="str">
        <f>'Grad Raw Data'!I25</f>
        <v>Isabella</v>
      </c>
      <c r="B48" s="20" t="str">
        <f>'Grad Raw Data'!K25</f>
        <v/>
      </c>
      <c r="C48" s="20" t="str">
        <f>'Grad Raw Data'!H25</f>
        <v>Aquino</v>
      </c>
      <c r="D48" s="44" t="str">
        <f>'Grad Raw Data'!D25</f>
        <v>LEFT</v>
      </c>
      <c r="E48" s="44">
        <f>'Grad Raw Data'!E25</f>
        <v>1</v>
      </c>
      <c r="G48">
        <v>48</v>
      </c>
      <c r="H48">
        <f t="shared" si="0"/>
        <v>25</v>
      </c>
    </row>
    <row r="49" spans="1:8" ht="24.95" customHeight="1" x14ac:dyDescent="0.25">
      <c r="A49" s="16" t="str">
        <f>'Grad Raw Data'!L25</f>
        <v>Isabell-uh Ah-kee-no</v>
      </c>
      <c r="B49" s="20"/>
      <c r="C49" s="20"/>
      <c r="G49">
        <v>49</v>
      </c>
      <c r="H49" t="str">
        <f t="shared" si="0"/>
        <v/>
      </c>
    </row>
    <row r="50" spans="1:8" ht="24.95" customHeight="1" x14ac:dyDescent="0.25">
      <c r="A50" s="20" t="str">
        <f>'Grad Raw Data'!I26</f>
        <v>Lucas</v>
      </c>
      <c r="B50" s="20" t="str">
        <f>'Grad Raw Data'!K26</f>
        <v/>
      </c>
      <c r="C50" s="20" t="str">
        <f>'Grad Raw Data'!H26</f>
        <v>Aquino</v>
      </c>
      <c r="D50" s="44" t="str">
        <f>'Grad Raw Data'!D26</f>
        <v>LEFT</v>
      </c>
      <c r="E50" s="44">
        <f>'Grad Raw Data'!E26</f>
        <v>1</v>
      </c>
      <c r="G50">
        <v>50</v>
      </c>
      <c r="H50">
        <f t="shared" si="0"/>
        <v>26</v>
      </c>
    </row>
    <row r="51" spans="1:8" ht="24.95" customHeight="1" x14ac:dyDescent="0.25">
      <c r="A51" s="16">
        <f>'Grad Raw Data'!L26</f>
        <v>0</v>
      </c>
      <c r="B51" s="20"/>
      <c r="C51" s="20"/>
      <c r="G51">
        <v>51</v>
      </c>
      <c r="H51" t="str">
        <f t="shared" si="0"/>
        <v/>
      </c>
    </row>
    <row r="52" spans="1:8" ht="24.95" customHeight="1" x14ac:dyDescent="0.25">
      <c r="A52" s="20" t="str">
        <f>'Grad Raw Data'!I27</f>
        <v>Tiago</v>
      </c>
      <c r="B52" s="20" t="str">
        <f>'Grad Raw Data'!K27</f>
        <v/>
      </c>
      <c r="C52" s="20" t="str">
        <f>'Grad Raw Data'!H27</f>
        <v>Araujo</v>
      </c>
      <c r="D52" s="44" t="str">
        <f>'Grad Raw Data'!D27</f>
        <v>LEFT</v>
      </c>
      <c r="E52" s="44">
        <f>'Grad Raw Data'!E27</f>
        <v>1</v>
      </c>
      <c r="G52">
        <v>52</v>
      </c>
      <c r="H52">
        <f t="shared" si="0"/>
        <v>27</v>
      </c>
    </row>
    <row r="53" spans="1:8" ht="24.95" customHeight="1" x14ac:dyDescent="0.25">
      <c r="A53" s="16" t="str">
        <f>'Grad Raw Data'!L27</f>
        <v>TEE-ah-go AH-ra-joe</v>
      </c>
      <c r="B53" s="20"/>
      <c r="C53" s="20"/>
      <c r="G53">
        <v>53</v>
      </c>
      <c r="H53" t="str">
        <f t="shared" si="0"/>
        <v/>
      </c>
    </row>
    <row r="54" spans="1:8" ht="24.95" customHeight="1" x14ac:dyDescent="0.25">
      <c r="A54" s="20" t="str">
        <f>'Grad Raw Data'!I28</f>
        <v>Chloe</v>
      </c>
      <c r="B54" s="20" t="str">
        <f>'Grad Raw Data'!K28</f>
        <v/>
      </c>
      <c r="C54" s="20" t="str">
        <f>'Grad Raw Data'!H28</f>
        <v>Aretusi</v>
      </c>
      <c r="D54" s="44" t="str">
        <f>'Grad Raw Data'!D28</f>
        <v>LEFT</v>
      </c>
      <c r="E54" s="44">
        <f>'Grad Raw Data'!E28</f>
        <v>1</v>
      </c>
      <c r="G54">
        <v>54</v>
      </c>
      <c r="H54">
        <f t="shared" si="0"/>
        <v>28</v>
      </c>
    </row>
    <row r="55" spans="1:8" ht="24.95" customHeight="1" x14ac:dyDescent="0.25">
      <c r="A55" s="16" t="str">
        <f>'Grad Raw Data'!L28</f>
        <v>ah-reh-toozy</v>
      </c>
      <c r="B55" s="20"/>
      <c r="C55" s="20"/>
      <c r="G55">
        <v>55</v>
      </c>
      <c r="H55" t="str">
        <f t="shared" si="0"/>
        <v/>
      </c>
    </row>
    <row r="56" spans="1:8" ht="24.95" customHeight="1" x14ac:dyDescent="0.25">
      <c r="A56" s="20" t="str">
        <f>'Grad Raw Data'!I29</f>
        <v>Evan</v>
      </c>
      <c r="B56" s="20" t="str">
        <f>'Grad Raw Data'!K29</f>
        <v/>
      </c>
      <c r="C56" s="20" t="str">
        <f>'Grad Raw Data'!H29</f>
        <v>Audley</v>
      </c>
      <c r="D56" s="44" t="str">
        <f>'Grad Raw Data'!D29</f>
        <v>LEFT</v>
      </c>
      <c r="E56" s="44">
        <f>'Grad Raw Data'!E29</f>
        <v>1</v>
      </c>
      <c r="G56">
        <v>56</v>
      </c>
      <c r="H56">
        <f t="shared" si="0"/>
        <v>29</v>
      </c>
    </row>
    <row r="57" spans="1:8" ht="24.95" customHeight="1" x14ac:dyDescent="0.25">
      <c r="A57" s="16">
        <f>'Grad Raw Data'!L29</f>
        <v>0</v>
      </c>
      <c r="B57" s="20"/>
      <c r="C57" s="20"/>
      <c r="G57">
        <v>57</v>
      </c>
      <c r="H57" t="str">
        <f t="shared" si="0"/>
        <v/>
      </c>
    </row>
    <row r="58" spans="1:8" ht="24.95" customHeight="1" x14ac:dyDescent="0.25">
      <c r="A58" s="20" t="str">
        <f>'Grad Raw Data'!I30</f>
        <v>Natalie</v>
      </c>
      <c r="B58" s="20" t="str">
        <f>'Grad Raw Data'!K30</f>
        <v/>
      </c>
      <c r="C58" s="20" t="str">
        <f>'Grad Raw Data'!H30</f>
        <v>Austin</v>
      </c>
      <c r="D58" s="44" t="str">
        <f>'Grad Raw Data'!D30</f>
        <v>LEFT</v>
      </c>
      <c r="E58" s="44">
        <f>'Grad Raw Data'!E30</f>
        <v>1</v>
      </c>
      <c r="G58">
        <v>58</v>
      </c>
      <c r="H58">
        <f t="shared" si="0"/>
        <v>30</v>
      </c>
    </row>
    <row r="59" spans="1:8" ht="24.95" customHeight="1" x14ac:dyDescent="0.25">
      <c r="A59" s="16">
        <f>'Grad Raw Data'!L30</f>
        <v>0</v>
      </c>
      <c r="B59" s="20"/>
      <c r="C59" s="20"/>
      <c r="G59">
        <v>59</v>
      </c>
      <c r="H59" t="str">
        <f t="shared" si="0"/>
        <v/>
      </c>
    </row>
    <row r="60" spans="1:8" ht="24.95" customHeight="1" x14ac:dyDescent="0.25">
      <c r="A60" s="20" t="str">
        <f>'Grad Raw Data'!I31</f>
        <v>Vivian</v>
      </c>
      <c r="B60" s="20" t="str">
        <f>'Grad Raw Data'!K31</f>
        <v/>
      </c>
      <c r="C60" s="20" t="str">
        <f>'Grad Raw Data'!H31</f>
        <v>Balas</v>
      </c>
      <c r="D60" s="44" t="str">
        <f>'Grad Raw Data'!D31</f>
        <v>RIGHT</v>
      </c>
      <c r="E60" s="44">
        <f>'Grad Raw Data'!E31</f>
        <v>2</v>
      </c>
      <c r="G60">
        <v>60</v>
      </c>
      <c r="H60">
        <f t="shared" si="0"/>
        <v>31</v>
      </c>
    </row>
    <row r="61" spans="1:8" ht="24.95" customHeight="1" x14ac:dyDescent="0.25">
      <c r="A61" s="16">
        <f>'Grad Raw Data'!L31</f>
        <v>0</v>
      </c>
      <c r="B61" s="20"/>
      <c r="C61" s="20"/>
      <c r="G61">
        <v>61</v>
      </c>
      <c r="H61" t="str">
        <f t="shared" si="0"/>
        <v/>
      </c>
    </row>
    <row r="62" spans="1:8" ht="24.95" customHeight="1" x14ac:dyDescent="0.25">
      <c r="A62" s="20" t="str">
        <f>'Grad Raw Data'!I32</f>
        <v>Kaua</v>
      </c>
      <c r="B62" s="20" t="str">
        <f>'Grad Raw Data'!K32</f>
        <v/>
      </c>
      <c r="C62" s="20" t="str">
        <f>'Grad Raw Data'!H32</f>
        <v>Batista</v>
      </c>
      <c r="D62" s="44" t="str">
        <f>'Grad Raw Data'!D32</f>
        <v>RIGHT</v>
      </c>
      <c r="E62" s="44">
        <f>'Grad Raw Data'!E32</f>
        <v>2</v>
      </c>
      <c r="G62">
        <v>62</v>
      </c>
      <c r="H62">
        <f t="shared" si="0"/>
        <v>32</v>
      </c>
    </row>
    <row r="63" spans="1:8" ht="24.95" customHeight="1" x14ac:dyDescent="0.25">
      <c r="A63" s="16" t="str">
        <f>'Grad Raw Data'!L32</f>
        <v xml:space="preserve">Quan </v>
      </c>
      <c r="B63" s="20"/>
      <c r="C63" s="20"/>
      <c r="G63">
        <v>63</v>
      </c>
      <c r="H63" t="str">
        <f t="shared" si="0"/>
        <v/>
      </c>
    </row>
    <row r="64" spans="1:8" ht="24.95" customHeight="1" x14ac:dyDescent="0.25">
      <c r="A64" s="20" t="str">
        <f>'Grad Raw Data'!I33</f>
        <v>Carson</v>
      </c>
      <c r="B64" s="20" t="str">
        <f>'Grad Raw Data'!K33</f>
        <v/>
      </c>
      <c r="C64" s="20" t="str">
        <f>'Grad Raw Data'!H33</f>
        <v>Beaulieu</v>
      </c>
      <c r="D64" s="44" t="str">
        <f>'Grad Raw Data'!D33</f>
        <v>RIGHT</v>
      </c>
      <c r="E64" s="44">
        <f>'Grad Raw Data'!E33</f>
        <v>2</v>
      </c>
      <c r="G64">
        <v>64</v>
      </c>
      <c r="H64">
        <f t="shared" si="0"/>
        <v>33</v>
      </c>
    </row>
    <row r="65" spans="1:8" ht="24.95" customHeight="1" x14ac:dyDescent="0.25">
      <c r="A65" s="16" t="str">
        <f>'Grad Raw Data'!L33</f>
        <v>Bowl-ee-oh</v>
      </c>
      <c r="B65" s="20"/>
      <c r="C65" s="20"/>
      <c r="G65">
        <v>65</v>
      </c>
      <c r="H65" t="str">
        <f t="shared" si="0"/>
        <v/>
      </c>
    </row>
    <row r="66" spans="1:8" ht="24.95" customHeight="1" x14ac:dyDescent="0.25">
      <c r="A66" s="20" t="str">
        <f>'Grad Raw Data'!I34</f>
        <v>Jahnai</v>
      </c>
      <c r="B66" s="20" t="str">
        <f>'Grad Raw Data'!K34</f>
        <v/>
      </c>
      <c r="C66" s="20" t="str">
        <f>'Grad Raw Data'!H34</f>
        <v>Belfon</v>
      </c>
      <c r="D66" s="44" t="str">
        <f>'Grad Raw Data'!D34</f>
        <v>RIGHT</v>
      </c>
      <c r="E66" s="44">
        <f>'Grad Raw Data'!E34</f>
        <v>2</v>
      </c>
      <c r="G66">
        <v>66</v>
      </c>
      <c r="H66">
        <f t="shared" si="0"/>
        <v>34</v>
      </c>
    </row>
    <row r="67" spans="1:8" ht="24.95" customHeight="1" x14ac:dyDescent="0.25">
      <c r="A67" s="16" t="str">
        <f>'Grad Raw Data'!L34</f>
        <v>Jah-nye</v>
      </c>
      <c r="B67" s="20"/>
      <c r="C67" s="20"/>
      <c r="G67">
        <v>67</v>
      </c>
      <c r="H67" t="str">
        <f t="shared" ref="H67:H130" si="1">IF(MOD((G67+2)/1,2)=0,(G67/2+1),"")</f>
        <v/>
      </c>
    </row>
    <row r="68" spans="1:8" ht="24.95" customHeight="1" x14ac:dyDescent="0.25">
      <c r="A68" s="20" t="str">
        <f>'Grad Raw Data'!I35</f>
        <v>Amelia</v>
      </c>
      <c r="B68" s="20" t="str">
        <f>'Grad Raw Data'!K35</f>
        <v/>
      </c>
      <c r="C68" s="20" t="str">
        <f>'Grad Raw Data'!H35</f>
        <v>Benedict</v>
      </c>
      <c r="D68" s="44" t="str">
        <f>'Grad Raw Data'!D35</f>
        <v>RIGHT</v>
      </c>
      <c r="E68" s="44">
        <f>'Grad Raw Data'!E35</f>
        <v>2</v>
      </c>
      <c r="G68">
        <v>68</v>
      </c>
      <c r="H68">
        <f t="shared" si="1"/>
        <v>35</v>
      </c>
    </row>
    <row r="69" spans="1:8" ht="24.95" customHeight="1" x14ac:dyDescent="0.25">
      <c r="A69" s="16">
        <f>'Grad Raw Data'!L35</f>
        <v>0</v>
      </c>
      <c r="B69" s="20"/>
      <c r="C69" s="20"/>
      <c r="G69">
        <v>69</v>
      </c>
      <c r="H69" t="str">
        <f t="shared" si="1"/>
        <v/>
      </c>
    </row>
    <row r="70" spans="1:8" ht="24.95" customHeight="1" x14ac:dyDescent="0.25">
      <c r="A70" s="20" t="str">
        <f>'Grad Raw Data'!I36</f>
        <v>Jamison</v>
      </c>
      <c r="B70" s="20" t="str">
        <f>'Grad Raw Data'!K36</f>
        <v/>
      </c>
      <c r="C70" s="20" t="str">
        <f>'Grad Raw Data'!H36</f>
        <v>Bentley</v>
      </c>
      <c r="D70" s="44" t="str">
        <f>'Grad Raw Data'!D36</f>
        <v>RIGHT</v>
      </c>
      <c r="E70" s="44">
        <f>'Grad Raw Data'!E36</f>
        <v>2</v>
      </c>
      <c r="G70">
        <v>70</v>
      </c>
      <c r="H70">
        <f t="shared" si="1"/>
        <v>36</v>
      </c>
    </row>
    <row r="71" spans="1:8" ht="24.95" customHeight="1" x14ac:dyDescent="0.25">
      <c r="A71" s="16">
        <f>'Grad Raw Data'!L36</f>
        <v>0</v>
      </c>
      <c r="B71" s="20"/>
      <c r="C71" s="20"/>
      <c r="G71">
        <v>71</v>
      </c>
      <c r="H71" t="str">
        <f t="shared" si="1"/>
        <v/>
      </c>
    </row>
    <row r="72" spans="1:8" ht="24.95" customHeight="1" x14ac:dyDescent="0.25">
      <c r="A72" s="20" t="str">
        <f>'Grad Raw Data'!I37</f>
        <v>Dhanya</v>
      </c>
      <c r="B72" s="20" t="str">
        <f>'Grad Raw Data'!K37</f>
        <v/>
      </c>
      <c r="C72" s="20" t="str">
        <f>'Grad Raw Data'!H37</f>
        <v>Bhola</v>
      </c>
      <c r="D72" s="44" t="str">
        <f>'Grad Raw Data'!D37</f>
        <v>RIGHT</v>
      </c>
      <c r="E72" s="44">
        <f>'Grad Raw Data'!E37</f>
        <v>2</v>
      </c>
      <c r="G72">
        <v>72</v>
      </c>
      <c r="H72">
        <f t="shared" si="1"/>
        <v>37</v>
      </c>
    </row>
    <row r="73" spans="1:8" ht="24.95" customHeight="1" x14ac:dyDescent="0.25">
      <c r="A73" s="16" t="str">
        <f>'Grad Raw Data'!L37</f>
        <v xml:space="preserve">D- anya </v>
      </c>
      <c r="B73" s="20"/>
      <c r="C73" s="20"/>
      <c r="G73">
        <v>73</v>
      </c>
      <c r="H73" t="str">
        <f t="shared" si="1"/>
        <v/>
      </c>
    </row>
    <row r="74" spans="1:8" ht="24.95" customHeight="1" x14ac:dyDescent="0.25">
      <c r="A74" s="20" t="str">
        <f>'Grad Raw Data'!I38</f>
        <v>Elizabeth</v>
      </c>
      <c r="B74" s="20" t="str">
        <f>'Grad Raw Data'!K38</f>
        <v/>
      </c>
      <c r="C74" s="20" t="str">
        <f>'Grad Raw Data'!H38</f>
        <v>Boucher</v>
      </c>
      <c r="D74" s="44" t="str">
        <f>'Grad Raw Data'!D38</f>
        <v>RIGHT</v>
      </c>
      <c r="E74" s="44">
        <f>'Grad Raw Data'!E38</f>
        <v>2</v>
      </c>
      <c r="G74">
        <v>74</v>
      </c>
      <c r="H74">
        <f t="shared" si="1"/>
        <v>38</v>
      </c>
    </row>
    <row r="75" spans="1:8" ht="24.95" customHeight="1" x14ac:dyDescent="0.25">
      <c r="A75" s="16" t="str">
        <f>'Grad Raw Data'!L38</f>
        <v>BOO-SHAY</v>
      </c>
      <c r="B75" s="20"/>
      <c r="C75" s="20"/>
      <c r="G75">
        <v>75</v>
      </c>
      <c r="H75" t="str">
        <f t="shared" si="1"/>
        <v/>
      </c>
    </row>
    <row r="76" spans="1:8" ht="24.95" customHeight="1" x14ac:dyDescent="0.25">
      <c r="A76" s="20" t="str">
        <f>'Grad Raw Data'!I39</f>
        <v>Danielle</v>
      </c>
      <c r="B76" s="20" t="str">
        <f>'Grad Raw Data'!K39</f>
        <v/>
      </c>
      <c r="C76" s="20" t="str">
        <f>'Grad Raw Data'!H39</f>
        <v>Bowers</v>
      </c>
      <c r="D76" s="44" t="str">
        <f>'Grad Raw Data'!D39</f>
        <v>RIGHT</v>
      </c>
      <c r="E76" s="44">
        <f>'Grad Raw Data'!E39</f>
        <v>2</v>
      </c>
      <c r="G76">
        <v>76</v>
      </c>
      <c r="H76">
        <f t="shared" si="1"/>
        <v>39</v>
      </c>
    </row>
    <row r="77" spans="1:8" ht="24.95" customHeight="1" x14ac:dyDescent="0.25">
      <c r="A77" s="16">
        <f>'Grad Raw Data'!L39</f>
        <v>0</v>
      </c>
      <c r="B77" s="20"/>
      <c r="C77" s="20"/>
      <c r="G77">
        <v>77</v>
      </c>
      <c r="H77" t="str">
        <f t="shared" si="1"/>
        <v/>
      </c>
    </row>
    <row r="78" spans="1:8" ht="24.95" customHeight="1" x14ac:dyDescent="0.25">
      <c r="A78" s="20" t="str">
        <f>'Grad Raw Data'!I40</f>
        <v>Lucas</v>
      </c>
      <c r="B78" s="20" t="str">
        <f>'Grad Raw Data'!K40</f>
        <v/>
      </c>
      <c r="C78" s="20" t="str">
        <f>'Grad Raw Data'!H40</f>
        <v>Bowlin</v>
      </c>
      <c r="D78" s="44" t="str">
        <f>'Grad Raw Data'!D40</f>
        <v>RIGHT</v>
      </c>
      <c r="E78" s="44">
        <f>'Grad Raw Data'!E40</f>
        <v>2</v>
      </c>
      <c r="G78">
        <v>78</v>
      </c>
      <c r="H78">
        <f t="shared" si="1"/>
        <v>40</v>
      </c>
    </row>
    <row r="79" spans="1:8" ht="24.95" customHeight="1" x14ac:dyDescent="0.25">
      <c r="A79" s="16" t="str">
        <f>'Grad Raw Data'!L40</f>
        <v>bohl-in</v>
      </c>
      <c r="B79" s="20"/>
      <c r="C79" s="20"/>
      <c r="G79">
        <v>79</v>
      </c>
      <c r="H79" t="str">
        <f t="shared" si="1"/>
        <v/>
      </c>
    </row>
    <row r="80" spans="1:8" ht="24.95" customHeight="1" x14ac:dyDescent="0.25">
      <c r="A80" s="20" t="str">
        <f>'Grad Raw Data'!I41</f>
        <v>Kaleb</v>
      </c>
      <c r="B80" s="20" t="str">
        <f>'Grad Raw Data'!K41</f>
        <v/>
      </c>
      <c r="C80" s="20" t="str">
        <f>'Grad Raw Data'!H41</f>
        <v>Brady</v>
      </c>
      <c r="D80" s="44" t="str">
        <f>'Grad Raw Data'!D41</f>
        <v>RIGHT</v>
      </c>
      <c r="E80" s="44">
        <f>'Grad Raw Data'!E41</f>
        <v>2</v>
      </c>
      <c r="G80">
        <v>80</v>
      </c>
      <c r="H80">
        <f t="shared" si="1"/>
        <v>41</v>
      </c>
    </row>
    <row r="81" spans="1:8" ht="24.95" customHeight="1" x14ac:dyDescent="0.25">
      <c r="A81" s="16">
        <f>'Grad Raw Data'!L41</f>
        <v>0</v>
      </c>
      <c r="B81" s="20"/>
      <c r="C81" s="20"/>
      <c r="G81">
        <v>81</v>
      </c>
      <c r="H81" t="str">
        <f t="shared" si="1"/>
        <v/>
      </c>
    </row>
    <row r="82" spans="1:8" ht="24.95" customHeight="1" x14ac:dyDescent="0.25">
      <c r="A82" s="20" t="str">
        <f>'Grad Raw Data'!I42</f>
        <v>A.J.</v>
      </c>
      <c r="B82" s="20" t="str">
        <f>'Grad Raw Data'!K42</f>
        <v/>
      </c>
      <c r="C82" s="20" t="str">
        <f>'Grad Raw Data'!H42</f>
        <v>Bramante</v>
      </c>
      <c r="D82" s="44" t="str">
        <f>'Grad Raw Data'!D42</f>
        <v>RIGHT</v>
      </c>
      <c r="E82" s="44">
        <f>'Grad Raw Data'!E42</f>
        <v>2</v>
      </c>
      <c r="G82">
        <v>82</v>
      </c>
      <c r="H82">
        <f t="shared" si="1"/>
        <v>42</v>
      </c>
    </row>
    <row r="83" spans="1:8" ht="24.95" customHeight="1" x14ac:dyDescent="0.25">
      <c r="A83" s="16">
        <f>'Grad Raw Data'!L42</f>
        <v>0</v>
      </c>
      <c r="B83" s="20"/>
      <c r="C83" s="20"/>
      <c r="G83">
        <v>83</v>
      </c>
      <c r="H83" t="str">
        <f t="shared" si="1"/>
        <v/>
      </c>
    </row>
    <row r="84" spans="1:8" ht="24.95" customHeight="1" x14ac:dyDescent="0.25">
      <c r="A84" s="20" t="str">
        <f>'Grad Raw Data'!I43</f>
        <v>Ashley</v>
      </c>
      <c r="B84" s="20" t="str">
        <f>'Grad Raw Data'!K43</f>
        <v/>
      </c>
      <c r="C84" s="20" t="str">
        <f>'Grad Raw Data'!H43</f>
        <v>Brown</v>
      </c>
      <c r="D84" s="44" t="str">
        <f>'Grad Raw Data'!D43</f>
        <v>LEFT</v>
      </c>
      <c r="E84" s="44">
        <f>'Grad Raw Data'!E43</f>
        <v>2</v>
      </c>
      <c r="G84">
        <v>84</v>
      </c>
      <c r="H84">
        <f t="shared" si="1"/>
        <v>43</v>
      </c>
    </row>
    <row r="85" spans="1:8" ht="24.95" customHeight="1" x14ac:dyDescent="0.25">
      <c r="A85" s="16">
        <f>'Grad Raw Data'!L43</f>
        <v>0</v>
      </c>
      <c r="B85" s="20"/>
      <c r="C85" s="20"/>
      <c r="G85">
        <v>85</v>
      </c>
      <c r="H85" t="str">
        <f t="shared" si="1"/>
        <v/>
      </c>
    </row>
    <row r="86" spans="1:8" ht="24.95" customHeight="1" x14ac:dyDescent="0.25">
      <c r="A86" s="20" t="str">
        <f>'Grad Raw Data'!I44</f>
        <v>Elijah</v>
      </c>
      <c r="B86" s="20" t="str">
        <f>'Grad Raw Data'!K44</f>
        <v/>
      </c>
      <c r="C86" s="20" t="str">
        <f>'Grad Raw Data'!H44</f>
        <v>Brown</v>
      </c>
      <c r="D86" s="44" t="str">
        <f>'Grad Raw Data'!D44</f>
        <v>LEFT</v>
      </c>
      <c r="E86" s="44">
        <f>'Grad Raw Data'!E44</f>
        <v>2</v>
      </c>
      <c r="G86">
        <v>86</v>
      </c>
      <c r="H86">
        <f t="shared" si="1"/>
        <v>44</v>
      </c>
    </row>
    <row r="87" spans="1:8" ht="24.95" customHeight="1" x14ac:dyDescent="0.25">
      <c r="A87" s="16">
        <f>'Grad Raw Data'!L44</f>
        <v>0</v>
      </c>
      <c r="B87" s="20"/>
      <c r="C87" s="20"/>
      <c r="G87">
        <v>87</v>
      </c>
      <c r="H87" t="str">
        <f t="shared" si="1"/>
        <v/>
      </c>
    </row>
    <row r="88" spans="1:8" ht="24.95" customHeight="1" x14ac:dyDescent="0.25">
      <c r="A88" s="20" t="str">
        <f>'Grad Raw Data'!I45</f>
        <v>Braeden</v>
      </c>
      <c r="B88" s="20" t="str">
        <f>'Grad Raw Data'!K45</f>
        <v/>
      </c>
      <c r="C88" s="20" t="str">
        <f>'Grad Raw Data'!H45</f>
        <v>Callan</v>
      </c>
      <c r="D88" s="44" t="str">
        <f>'Grad Raw Data'!D45</f>
        <v>LEFT</v>
      </c>
      <c r="E88" s="44">
        <f>'Grad Raw Data'!E45</f>
        <v>2</v>
      </c>
      <c r="G88">
        <v>88</v>
      </c>
      <c r="H88">
        <f t="shared" si="1"/>
        <v>45</v>
      </c>
    </row>
    <row r="89" spans="1:8" ht="24.95" customHeight="1" x14ac:dyDescent="0.25">
      <c r="A89" s="16">
        <f>'Grad Raw Data'!L45</f>
        <v>0</v>
      </c>
      <c r="B89" s="20"/>
      <c r="C89" s="20"/>
      <c r="G89">
        <v>89</v>
      </c>
      <c r="H89" t="str">
        <f t="shared" si="1"/>
        <v/>
      </c>
    </row>
    <row r="90" spans="1:8" ht="24.95" customHeight="1" x14ac:dyDescent="0.25">
      <c r="A90" s="20" t="str">
        <f>'Grad Raw Data'!I46</f>
        <v>Nilton</v>
      </c>
      <c r="B90" s="20" t="str">
        <f>'Grad Raw Data'!K46</f>
        <v/>
      </c>
      <c r="C90" s="20" t="str">
        <f>'Grad Raw Data'!H46</f>
        <v>Campos</v>
      </c>
      <c r="D90" s="44" t="str">
        <f>'Grad Raw Data'!D46</f>
        <v>LEFT</v>
      </c>
      <c r="E90" s="44">
        <f>'Grad Raw Data'!E46</f>
        <v>2</v>
      </c>
      <c r="G90">
        <v>90</v>
      </c>
      <c r="H90">
        <f t="shared" si="1"/>
        <v>46</v>
      </c>
    </row>
    <row r="91" spans="1:8" ht="24.95" customHeight="1" x14ac:dyDescent="0.25">
      <c r="A91" s="16">
        <f>'Grad Raw Data'!L46</f>
        <v>0</v>
      </c>
      <c r="B91" s="20"/>
      <c r="C91" s="20"/>
      <c r="G91">
        <v>91</v>
      </c>
      <c r="H91" t="str">
        <f t="shared" si="1"/>
        <v/>
      </c>
    </row>
    <row r="92" spans="1:8" ht="24.95" customHeight="1" x14ac:dyDescent="0.25">
      <c r="A92" s="20" t="str">
        <f>'Grad Raw Data'!I47</f>
        <v>Ethan</v>
      </c>
      <c r="B92" s="20" t="str">
        <f>'Grad Raw Data'!K47</f>
        <v/>
      </c>
      <c r="C92" s="20" t="str">
        <f>'Grad Raw Data'!H47</f>
        <v>Cannon</v>
      </c>
      <c r="D92" s="44" t="str">
        <f>'Grad Raw Data'!D47</f>
        <v>LEFT</v>
      </c>
      <c r="E92" s="44">
        <f>'Grad Raw Data'!E47</f>
        <v>2</v>
      </c>
      <c r="G92">
        <v>92</v>
      </c>
      <c r="H92">
        <f t="shared" si="1"/>
        <v>47</v>
      </c>
    </row>
    <row r="93" spans="1:8" ht="24.95" customHeight="1" x14ac:dyDescent="0.25">
      <c r="A93" s="16"/>
      <c r="B93" s="20"/>
      <c r="C93" s="20"/>
      <c r="G93">
        <v>93</v>
      </c>
      <c r="H93" t="str">
        <f t="shared" si="1"/>
        <v/>
      </c>
    </row>
    <row r="94" spans="1:8" ht="24.95" customHeight="1" x14ac:dyDescent="0.25">
      <c r="A94" s="20" t="str">
        <f>'Grad Raw Data'!I48</f>
        <v>Lucas</v>
      </c>
      <c r="B94" s="20" t="str">
        <f>'Grad Raw Data'!K48</f>
        <v/>
      </c>
      <c r="C94" s="20" t="str">
        <f>'Grad Raw Data'!H48</f>
        <v>Carcione</v>
      </c>
      <c r="D94" s="44" t="str">
        <f>'Grad Raw Data'!D48</f>
        <v>LEFT</v>
      </c>
      <c r="E94" s="44">
        <f>'Grad Raw Data'!E48</f>
        <v>2</v>
      </c>
      <c r="G94">
        <v>94</v>
      </c>
      <c r="H94">
        <f t="shared" si="1"/>
        <v>48</v>
      </c>
    </row>
    <row r="95" spans="1:8" ht="24.95" customHeight="1" x14ac:dyDescent="0.25">
      <c r="A95" s="16" t="str">
        <f>'Grad Raw Data'!L48</f>
        <v>Car-See-O-Nee</v>
      </c>
      <c r="B95" s="20"/>
      <c r="C95" s="20"/>
      <c r="G95">
        <v>95</v>
      </c>
      <c r="H95" t="str">
        <f t="shared" si="1"/>
        <v/>
      </c>
    </row>
    <row r="96" spans="1:8" ht="24.95" customHeight="1" x14ac:dyDescent="0.25">
      <c r="A96" s="20" t="str">
        <f>'Grad Raw Data'!I49</f>
        <v>Nicholas</v>
      </c>
      <c r="B96" s="20" t="str">
        <f>'Grad Raw Data'!K49</f>
        <v>Joseph</v>
      </c>
      <c r="C96" s="20" t="str">
        <f>'Grad Raw Data'!H49</f>
        <v>Casarano</v>
      </c>
      <c r="D96" s="44" t="str">
        <f>'Grad Raw Data'!D49</f>
        <v>LEFT</v>
      </c>
      <c r="E96" s="44">
        <f>'Grad Raw Data'!E49</f>
        <v>2</v>
      </c>
      <c r="G96">
        <v>96</v>
      </c>
      <c r="H96">
        <f t="shared" si="1"/>
        <v>49</v>
      </c>
    </row>
    <row r="97" spans="1:8" ht="24.95" customHeight="1" x14ac:dyDescent="0.25">
      <c r="A97" s="16">
        <f>'Grad Raw Data'!L49</f>
        <v>0</v>
      </c>
      <c r="B97" s="20"/>
      <c r="C97" s="20"/>
      <c r="G97">
        <v>97</v>
      </c>
      <c r="H97" t="str">
        <f t="shared" si="1"/>
        <v/>
      </c>
    </row>
    <row r="98" spans="1:8" ht="24.95" customHeight="1" x14ac:dyDescent="0.25">
      <c r="A98" s="20" t="str">
        <f>'Grad Raw Data'!I50</f>
        <v>Maggie</v>
      </c>
      <c r="B98" s="20" t="str">
        <f>'Grad Raw Data'!K50</f>
        <v/>
      </c>
      <c r="C98" s="20" t="str">
        <f>'Grad Raw Data'!H50</f>
        <v>Champlin-Scharff</v>
      </c>
      <c r="D98" s="44" t="str">
        <f>'Grad Raw Data'!D50</f>
        <v>LEFT</v>
      </c>
      <c r="E98" s="44">
        <f>'Grad Raw Data'!E50</f>
        <v>2</v>
      </c>
      <c r="G98">
        <v>98</v>
      </c>
      <c r="H98">
        <f t="shared" si="1"/>
        <v>50</v>
      </c>
    </row>
    <row r="99" spans="1:8" ht="24.95" customHeight="1" x14ac:dyDescent="0.25">
      <c r="A99" s="16">
        <f>'Grad Raw Data'!L50</f>
        <v>0</v>
      </c>
      <c r="B99" s="20"/>
      <c r="C99" s="20"/>
      <c r="G99">
        <v>99</v>
      </c>
      <c r="H99" t="str">
        <f t="shared" si="1"/>
        <v/>
      </c>
    </row>
    <row r="100" spans="1:8" ht="24.95" customHeight="1" x14ac:dyDescent="0.25">
      <c r="A100" s="20" t="str">
        <f>'Grad Raw Data'!I51</f>
        <v>Elsa</v>
      </c>
      <c r="B100" s="20" t="str">
        <f>'Grad Raw Data'!K51</f>
        <v/>
      </c>
      <c r="C100" s="20" t="str">
        <f>'Grad Raw Data'!H51</f>
        <v>Chow</v>
      </c>
      <c r="D100" s="44" t="str">
        <f>'Grad Raw Data'!D51</f>
        <v>LEFT</v>
      </c>
      <c r="E100" s="44">
        <f>'Grad Raw Data'!E51</f>
        <v>2</v>
      </c>
      <c r="G100">
        <v>100</v>
      </c>
      <c r="H100">
        <f t="shared" si="1"/>
        <v>51</v>
      </c>
    </row>
    <row r="101" spans="1:8" ht="24.95" customHeight="1" x14ac:dyDescent="0.25">
      <c r="A101" s="16">
        <f>'Grad Raw Data'!L51</f>
        <v>0</v>
      </c>
      <c r="B101" s="20"/>
      <c r="C101" s="20"/>
      <c r="G101">
        <v>101</v>
      </c>
      <c r="H101" t="str">
        <f t="shared" si="1"/>
        <v/>
      </c>
    </row>
    <row r="102" spans="1:8" ht="24.95" customHeight="1" x14ac:dyDescent="0.25">
      <c r="A102" s="20" t="str">
        <f>'Grad Raw Data'!I52</f>
        <v>Will</v>
      </c>
      <c r="B102" s="20" t="str">
        <f>'Grad Raw Data'!K52</f>
        <v/>
      </c>
      <c r="C102" s="20" t="str">
        <f>'Grad Raw Data'!H52</f>
        <v>Chute</v>
      </c>
      <c r="D102" s="44" t="str">
        <f>'Grad Raw Data'!D52</f>
        <v>LEFT</v>
      </c>
      <c r="E102" s="44">
        <f>'Grad Raw Data'!E52</f>
        <v>2</v>
      </c>
      <c r="G102">
        <v>102</v>
      </c>
      <c r="H102">
        <f t="shared" si="1"/>
        <v>52</v>
      </c>
    </row>
    <row r="103" spans="1:8" ht="24.95" customHeight="1" x14ac:dyDescent="0.25">
      <c r="A103" s="16">
        <f>'Grad Raw Data'!L52</f>
        <v>0</v>
      </c>
      <c r="B103" s="20"/>
      <c r="C103" s="20"/>
      <c r="G103">
        <v>103</v>
      </c>
      <c r="H103" t="str">
        <f t="shared" si="1"/>
        <v/>
      </c>
    </row>
    <row r="104" spans="1:8" ht="24.95" customHeight="1" x14ac:dyDescent="0.25">
      <c r="A104" s="20" t="str">
        <f>'Grad Raw Data'!I53</f>
        <v>Max</v>
      </c>
      <c r="B104" s="20" t="str">
        <f>'Grad Raw Data'!K53</f>
        <v/>
      </c>
      <c r="C104" s="20" t="str">
        <f>'Grad Raw Data'!H53</f>
        <v>Cinelli</v>
      </c>
      <c r="D104" s="44" t="str">
        <f>'Grad Raw Data'!D53</f>
        <v>LEFT</v>
      </c>
      <c r="E104" s="44">
        <f>'Grad Raw Data'!E53</f>
        <v>2</v>
      </c>
      <c r="G104">
        <v>104</v>
      </c>
      <c r="H104">
        <f t="shared" si="1"/>
        <v>53</v>
      </c>
    </row>
    <row r="105" spans="1:8" ht="24.95" customHeight="1" x14ac:dyDescent="0.25">
      <c r="A105" s="16">
        <f>'Grad Raw Data'!L53</f>
        <v>0</v>
      </c>
      <c r="B105" s="20"/>
      <c r="C105" s="20"/>
      <c r="G105">
        <v>105</v>
      </c>
      <c r="H105" t="str">
        <f t="shared" si="1"/>
        <v/>
      </c>
    </row>
    <row r="106" spans="1:8" ht="24.95" customHeight="1" x14ac:dyDescent="0.25">
      <c r="A106" s="20" t="str">
        <f>'Grad Raw Data'!I54</f>
        <v>Olivia</v>
      </c>
      <c r="B106" s="20" t="str">
        <f>'Grad Raw Data'!K54</f>
        <v>Marie</v>
      </c>
      <c r="C106" s="20" t="str">
        <f>'Grad Raw Data'!H54</f>
        <v>Cirrone</v>
      </c>
      <c r="D106" s="44" t="str">
        <f>'Grad Raw Data'!D54</f>
        <v>LEFT</v>
      </c>
      <c r="E106" s="44">
        <f>'Grad Raw Data'!E54</f>
        <v>2</v>
      </c>
      <c r="G106">
        <v>106</v>
      </c>
      <c r="H106">
        <f t="shared" si="1"/>
        <v>54</v>
      </c>
    </row>
    <row r="107" spans="1:8" ht="24.95" customHeight="1" x14ac:dyDescent="0.25">
      <c r="A107" s="16" t="str">
        <f>'Grad Raw Data'!L54</f>
        <v xml:space="preserve">Suh-row-nee </v>
      </c>
      <c r="B107" s="20"/>
      <c r="C107" s="20"/>
      <c r="G107">
        <v>107</v>
      </c>
      <c r="H107" t="str">
        <f t="shared" si="1"/>
        <v/>
      </c>
    </row>
    <row r="108" spans="1:8" ht="24.95" customHeight="1" x14ac:dyDescent="0.25">
      <c r="A108" s="20" t="str">
        <f>'Grad Raw Data'!I55</f>
        <v>Chadley</v>
      </c>
      <c r="B108" s="20" t="str">
        <f>'Grad Raw Data'!K55</f>
        <v/>
      </c>
      <c r="C108" s="20" t="str">
        <f>'Grad Raw Data'!H55</f>
        <v>Civil</v>
      </c>
      <c r="D108" s="44" t="str">
        <f>'Grad Raw Data'!D55</f>
        <v>RIGHT</v>
      </c>
      <c r="E108" s="44">
        <f>'Grad Raw Data'!E55</f>
        <v>3</v>
      </c>
      <c r="G108">
        <v>108</v>
      </c>
      <c r="H108">
        <f t="shared" si="1"/>
        <v>55</v>
      </c>
    </row>
    <row r="109" spans="1:8" ht="24.95" customHeight="1" x14ac:dyDescent="0.25">
      <c r="A109" s="16">
        <f>'Grad Raw Data'!L55</f>
        <v>0</v>
      </c>
      <c r="B109" s="20"/>
      <c r="C109" s="20"/>
      <c r="G109">
        <v>109</v>
      </c>
      <c r="H109" t="str">
        <f t="shared" si="1"/>
        <v/>
      </c>
    </row>
    <row r="110" spans="1:8" ht="24.95" customHeight="1" x14ac:dyDescent="0.25">
      <c r="A110" s="20" t="str">
        <f>'Grad Raw Data'!I56</f>
        <v>Sam</v>
      </c>
      <c r="B110" s="20" t="str">
        <f>'Grad Raw Data'!K56</f>
        <v/>
      </c>
      <c r="C110" s="20" t="str">
        <f>'Grad Raw Data'!H56</f>
        <v>Clark</v>
      </c>
      <c r="D110" s="44" t="str">
        <f>'Grad Raw Data'!D56</f>
        <v>RIGHT</v>
      </c>
      <c r="E110" s="44">
        <f>'Grad Raw Data'!E56</f>
        <v>3</v>
      </c>
      <c r="G110">
        <v>110</v>
      </c>
      <c r="H110">
        <f t="shared" si="1"/>
        <v>56</v>
      </c>
    </row>
    <row r="111" spans="1:8" ht="24.95" customHeight="1" x14ac:dyDescent="0.25">
      <c r="A111" s="16">
        <f>'Grad Raw Data'!L56</f>
        <v>0</v>
      </c>
      <c r="B111" s="20"/>
      <c r="C111" s="20"/>
      <c r="G111">
        <v>111</v>
      </c>
      <c r="H111" t="str">
        <f t="shared" si="1"/>
        <v/>
      </c>
    </row>
    <row r="112" spans="1:8" ht="24.95" customHeight="1" x14ac:dyDescent="0.25">
      <c r="A112" s="20" t="str">
        <f>'Grad Raw Data'!I57</f>
        <v>Thomas</v>
      </c>
      <c r="B112" s="20" t="str">
        <f>'Grad Raw Data'!K57</f>
        <v/>
      </c>
      <c r="C112" s="20" t="str">
        <f>'Grad Raw Data'!H57</f>
        <v>Cockrell</v>
      </c>
      <c r="D112" s="44" t="str">
        <f>'Grad Raw Data'!D57</f>
        <v>RIGHT</v>
      </c>
      <c r="E112" s="44">
        <f>'Grad Raw Data'!E57</f>
        <v>3</v>
      </c>
      <c r="G112">
        <v>112</v>
      </c>
      <c r="H112">
        <f t="shared" si="1"/>
        <v>57</v>
      </c>
    </row>
    <row r="113" spans="1:8" ht="24.95" customHeight="1" x14ac:dyDescent="0.25">
      <c r="A113" s="16">
        <f>'Grad Raw Data'!L57</f>
        <v>0</v>
      </c>
      <c r="B113" s="20"/>
      <c r="C113" s="20"/>
      <c r="G113">
        <v>113</v>
      </c>
      <c r="H113" t="str">
        <f t="shared" si="1"/>
        <v/>
      </c>
    </row>
    <row r="114" spans="1:8" ht="24.95" customHeight="1" x14ac:dyDescent="0.25">
      <c r="A114" s="20" t="str">
        <f>'Grad Raw Data'!I58</f>
        <v>Brady</v>
      </c>
      <c r="B114" s="20" t="str">
        <f>'Grad Raw Data'!K58</f>
        <v/>
      </c>
      <c r="C114" s="20" t="str">
        <f>'Grad Raw Data'!H58</f>
        <v>Comenos</v>
      </c>
      <c r="D114" s="44" t="str">
        <f>'Grad Raw Data'!D58</f>
        <v>RIGHT</v>
      </c>
      <c r="E114" s="44">
        <f>'Grad Raw Data'!E58</f>
        <v>3</v>
      </c>
      <c r="G114">
        <v>114</v>
      </c>
      <c r="H114">
        <f t="shared" si="1"/>
        <v>58</v>
      </c>
    </row>
    <row r="115" spans="1:8" ht="24.95" customHeight="1" x14ac:dyDescent="0.25">
      <c r="A115" s="16" t="str">
        <f>'Grad Raw Data'!L58</f>
        <v>Brady Com-e-nose</v>
      </c>
      <c r="B115" s="20"/>
      <c r="C115" s="20"/>
      <c r="G115">
        <v>115</v>
      </c>
      <c r="H115" t="str">
        <f t="shared" si="1"/>
        <v/>
      </c>
    </row>
    <row r="116" spans="1:8" ht="24.95" customHeight="1" x14ac:dyDescent="0.25">
      <c r="A116" s="20" t="str">
        <f>'Grad Raw Data'!I59</f>
        <v>Landen</v>
      </c>
      <c r="B116" s="20" t="str">
        <f>'Grad Raw Data'!K59</f>
        <v/>
      </c>
      <c r="C116" s="20" t="str">
        <f>'Grad Raw Data'!H59</f>
        <v>Connelly</v>
      </c>
      <c r="D116" s="44" t="str">
        <f>'Grad Raw Data'!D59</f>
        <v>RIGHT</v>
      </c>
      <c r="E116" s="44">
        <f>'Grad Raw Data'!E59</f>
        <v>3</v>
      </c>
      <c r="G116">
        <v>116</v>
      </c>
      <c r="H116">
        <f t="shared" si="1"/>
        <v>59</v>
      </c>
    </row>
    <row r="117" spans="1:8" ht="24.95" customHeight="1" x14ac:dyDescent="0.25">
      <c r="A117" s="16" t="str">
        <f>'Grad Raw Data'!L59</f>
        <v xml:space="preserve">Landen connelly </v>
      </c>
      <c r="B117" s="20"/>
      <c r="C117" s="20"/>
      <c r="G117">
        <v>117</v>
      </c>
      <c r="H117" t="str">
        <f t="shared" si="1"/>
        <v/>
      </c>
    </row>
    <row r="118" spans="1:8" ht="24.95" customHeight="1" x14ac:dyDescent="0.25">
      <c r="A118" s="20" t="str">
        <f>'Grad Raw Data'!I60</f>
        <v>Tim</v>
      </c>
      <c r="B118" s="20" t="str">
        <f>'Grad Raw Data'!K60</f>
        <v/>
      </c>
      <c r="C118" s="20" t="str">
        <f>'Grad Raw Data'!H60</f>
        <v>Connolly</v>
      </c>
      <c r="D118" s="44" t="str">
        <f>'Grad Raw Data'!D60</f>
        <v>RIGHT</v>
      </c>
      <c r="E118" s="44">
        <f>'Grad Raw Data'!E60</f>
        <v>3</v>
      </c>
      <c r="G118">
        <v>118</v>
      </c>
      <c r="H118">
        <f t="shared" si="1"/>
        <v>60</v>
      </c>
    </row>
    <row r="119" spans="1:8" ht="24.95" customHeight="1" x14ac:dyDescent="0.25">
      <c r="A119" s="16">
        <f>'Grad Raw Data'!L60</f>
        <v>0</v>
      </c>
      <c r="B119" s="20"/>
      <c r="C119" s="20"/>
      <c r="G119">
        <v>119</v>
      </c>
      <c r="H119" t="str">
        <f t="shared" si="1"/>
        <v/>
      </c>
    </row>
    <row r="120" spans="1:8" ht="24.95" customHeight="1" x14ac:dyDescent="0.25">
      <c r="A120" s="20" t="str">
        <f>'Grad Raw Data'!I61</f>
        <v>Derek</v>
      </c>
      <c r="B120" s="20" t="str">
        <f>'Grad Raw Data'!K61</f>
        <v/>
      </c>
      <c r="C120" s="20" t="str">
        <f>'Grad Raw Data'!H61</f>
        <v>Connor</v>
      </c>
      <c r="D120" s="44" t="str">
        <f>'Grad Raw Data'!D61</f>
        <v>RIGHT</v>
      </c>
      <c r="E120" s="44">
        <f>'Grad Raw Data'!E61</f>
        <v>3</v>
      </c>
      <c r="G120">
        <v>120</v>
      </c>
      <c r="H120">
        <f t="shared" si="1"/>
        <v>61</v>
      </c>
    </row>
    <row r="121" spans="1:8" ht="24.95" customHeight="1" x14ac:dyDescent="0.25">
      <c r="A121" s="16" t="str">
        <f>'Grad Raw Data'!L61</f>
        <v>Derek Connor</v>
      </c>
      <c r="B121" s="20"/>
      <c r="C121" s="20"/>
      <c r="G121">
        <v>121</v>
      </c>
      <c r="H121" t="str">
        <f t="shared" si="1"/>
        <v/>
      </c>
    </row>
    <row r="122" spans="1:8" ht="24.95" customHeight="1" x14ac:dyDescent="0.25">
      <c r="A122" s="20" t="str">
        <f>'Grad Raw Data'!I62</f>
        <v>Kayla</v>
      </c>
      <c r="B122" s="20" t="str">
        <f>'Grad Raw Data'!K62</f>
        <v/>
      </c>
      <c r="C122" s="20" t="str">
        <f>'Grad Raw Data'!H62</f>
        <v>Cox</v>
      </c>
      <c r="D122" s="44" t="str">
        <f>'Grad Raw Data'!D62</f>
        <v>RIGHT</v>
      </c>
      <c r="E122" s="44">
        <f>'Grad Raw Data'!E62</f>
        <v>3</v>
      </c>
      <c r="G122">
        <v>122</v>
      </c>
      <c r="H122">
        <f t="shared" si="1"/>
        <v>62</v>
      </c>
    </row>
    <row r="123" spans="1:8" ht="24.95" customHeight="1" x14ac:dyDescent="0.25">
      <c r="A123" s="16">
        <f>'Grad Raw Data'!L62</f>
        <v>0</v>
      </c>
      <c r="B123" s="20"/>
      <c r="C123" s="20"/>
      <c r="G123">
        <v>123</v>
      </c>
      <c r="H123" t="str">
        <f t="shared" si="1"/>
        <v/>
      </c>
    </row>
    <row r="124" spans="1:8" ht="24.95" customHeight="1" x14ac:dyDescent="0.25">
      <c r="A124" s="20" t="str">
        <f>'Grad Raw Data'!I63</f>
        <v>John</v>
      </c>
      <c r="B124" s="20" t="str">
        <f>'Grad Raw Data'!K63</f>
        <v/>
      </c>
      <c r="C124" s="20" t="str">
        <f>'Grad Raw Data'!H63</f>
        <v>Coyne</v>
      </c>
      <c r="D124" s="44" t="str">
        <f>'Grad Raw Data'!D63</f>
        <v>RIGHT</v>
      </c>
      <c r="E124" s="44">
        <f>'Grad Raw Data'!E63</f>
        <v>3</v>
      </c>
      <c r="G124">
        <v>124</v>
      </c>
      <c r="H124">
        <f t="shared" si="1"/>
        <v>63</v>
      </c>
    </row>
    <row r="125" spans="1:8" ht="24.95" customHeight="1" x14ac:dyDescent="0.25">
      <c r="A125" s="16">
        <f>'Grad Raw Data'!L63</f>
        <v>0</v>
      </c>
      <c r="B125" s="20"/>
      <c r="C125" s="20"/>
      <c r="G125">
        <v>125</v>
      </c>
      <c r="H125" t="str">
        <f t="shared" si="1"/>
        <v/>
      </c>
    </row>
    <row r="126" spans="1:8" ht="24.95" customHeight="1" x14ac:dyDescent="0.25">
      <c r="A126" s="20" t="str">
        <f>'Grad Raw Data'!I64</f>
        <v>Lily</v>
      </c>
      <c r="B126" s="20" t="str">
        <f>'Grad Raw Data'!K64</f>
        <v/>
      </c>
      <c r="C126" s="20" t="str">
        <f>'Grad Raw Data'!H64</f>
        <v>Crosby</v>
      </c>
      <c r="D126" s="44" t="str">
        <f>'Grad Raw Data'!D64</f>
        <v>RIGHT</v>
      </c>
      <c r="E126" s="44">
        <f>'Grad Raw Data'!E64</f>
        <v>3</v>
      </c>
      <c r="G126">
        <v>126</v>
      </c>
      <c r="H126">
        <f t="shared" si="1"/>
        <v>64</v>
      </c>
    </row>
    <row r="127" spans="1:8" ht="24.95" customHeight="1" x14ac:dyDescent="0.25">
      <c r="A127" s="16">
        <f>'Grad Raw Data'!L64</f>
        <v>0</v>
      </c>
      <c r="B127" s="20"/>
      <c r="C127" s="20"/>
      <c r="G127">
        <v>127</v>
      </c>
      <c r="H127" t="str">
        <f t="shared" si="1"/>
        <v/>
      </c>
    </row>
    <row r="128" spans="1:8" ht="24.95" customHeight="1" x14ac:dyDescent="0.25">
      <c r="A128" s="20" t="str">
        <f>'Grad Raw Data'!I65</f>
        <v>Molly</v>
      </c>
      <c r="B128" s="20" t="str">
        <f>'Grad Raw Data'!K65</f>
        <v/>
      </c>
      <c r="C128" s="20" t="str">
        <f>'Grad Raw Data'!H65</f>
        <v>Crowley</v>
      </c>
      <c r="D128" s="44" t="str">
        <f>'Grad Raw Data'!D65</f>
        <v>RIGHT</v>
      </c>
      <c r="E128" s="44">
        <f>'Grad Raw Data'!E65</f>
        <v>3</v>
      </c>
      <c r="G128">
        <v>128</v>
      </c>
      <c r="H128">
        <f t="shared" si="1"/>
        <v>65</v>
      </c>
    </row>
    <row r="129" spans="1:8" ht="24.95" customHeight="1" x14ac:dyDescent="0.25">
      <c r="A129" s="16">
        <f>'Grad Raw Data'!L65</f>
        <v>0</v>
      </c>
      <c r="B129" s="20"/>
      <c r="C129" s="20"/>
      <c r="G129">
        <v>129</v>
      </c>
      <c r="H129" t="str">
        <f t="shared" si="1"/>
        <v/>
      </c>
    </row>
    <row r="130" spans="1:8" ht="24.95" customHeight="1" x14ac:dyDescent="0.25">
      <c r="A130" s="20" t="str">
        <f>'Grad Raw Data'!I66</f>
        <v>Shea</v>
      </c>
      <c r="B130" s="20" t="str">
        <f>'Grad Raw Data'!K66</f>
        <v/>
      </c>
      <c r="C130" s="20" t="str">
        <f>'Grad Raw Data'!H66</f>
        <v>Cullen</v>
      </c>
      <c r="D130" s="44" t="str">
        <f>'Grad Raw Data'!D66</f>
        <v>RIGHT</v>
      </c>
      <c r="E130" s="44">
        <f>'Grad Raw Data'!E66</f>
        <v>3</v>
      </c>
      <c r="G130">
        <v>130</v>
      </c>
      <c r="H130">
        <f t="shared" si="1"/>
        <v>66</v>
      </c>
    </row>
    <row r="131" spans="1:8" ht="24.95" customHeight="1" x14ac:dyDescent="0.25">
      <c r="A131" s="16">
        <f>'Grad Raw Data'!L66</f>
        <v>0</v>
      </c>
      <c r="B131" s="20"/>
      <c r="C131" s="20"/>
      <c r="G131">
        <v>131</v>
      </c>
      <c r="H131" t="str">
        <f t="shared" ref="H131:H194" si="2">IF(MOD((G131+2)/1,2)=0,(G131/2+1),"")</f>
        <v/>
      </c>
    </row>
    <row r="132" spans="1:8" ht="24.95" customHeight="1" x14ac:dyDescent="0.25">
      <c r="A132" s="20" t="str">
        <f>'Grad Raw Data'!I67</f>
        <v>Jacklyn</v>
      </c>
      <c r="B132" s="20" t="str">
        <f>'Grad Raw Data'!K67</f>
        <v/>
      </c>
      <c r="C132" s="20" t="str">
        <f>'Grad Raw Data'!H67</f>
        <v>Cusolito</v>
      </c>
      <c r="D132" s="44" t="str">
        <f>'Grad Raw Data'!D67</f>
        <v>LEFT</v>
      </c>
      <c r="E132" s="44">
        <f>'Grad Raw Data'!E67</f>
        <v>3</v>
      </c>
      <c r="G132">
        <v>132</v>
      </c>
      <c r="H132">
        <f t="shared" si="2"/>
        <v>67</v>
      </c>
    </row>
    <row r="133" spans="1:8" ht="24.95" customHeight="1" x14ac:dyDescent="0.25">
      <c r="A133" s="16">
        <f>'Grad Raw Data'!L67</f>
        <v>0</v>
      </c>
      <c r="B133" s="20"/>
      <c r="C133" s="20"/>
      <c r="G133">
        <v>133</v>
      </c>
      <c r="H133" t="str">
        <f t="shared" si="2"/>
        <v/>
      </c>
    </row>
    <row r="134" spans="1:8" ht="24.95" customHeight="1" x14ac:dyDescent="0.25">
      <c r="A134" s="20" t="str">
        <f>'Grad Raw Data'!I68</f>
        <v>Paige</v>
      </c>
      <c r="B134" s="20" t="str">
        <f>'Grad Raw Data'!K68</f>
        <v/>
      </c>
      <c r="C134" s="20" t="str">
        <f>'Grad Raw Data'!H68</f>
        <v>Cusolito</v>
      </c>
      <c r="D134" s="44" t="str">
        <f>'Grad Raw Data'!D68</f>
        <v>LEFT</v>
      </c>
      <c r="E134" s="44">
        <f>'Grad Raw Data'!E68</f>
        <v>3</v>
      </c>
      <c r="G134">
        <v>134</v>
      </c>
      <c r="H134">
        <f t="shared" si="2"/>
        <v>68</v>
      </c>
    </row>
    <row r="135" spans="1:8" ht="24.95" customHeight="1" x14ac:dyDescent="0.25">
      <c r="A135" s="16">
        <f>'Grad Raw Data'!L68</f>
        <v>0</v>
      </c>
      <c r="B135" s="20"/>
      <c r="C135" s="20"/>
      <c r="G135">
        <v>135</v>
      </c>
      <c r="H135" t="str">
        <f t="shared" si="2"/>
        <v/>
      </c>
    </row>
    <row r="136" spans="1:8" ht="24.95" customHeight="1" x14ac:dyDescent="0.25">
      <c r="A136" s="20" t="str">
        <f>'Grad Raw Data'!I69</f>
        <v>Walick</v>
      </c>
      <c r="B136" s="20">
        <f>'Grad Raw Data'!K69</f>
        <v>0</v>
      </c>
      <c r="C136" s="20" t="str">
        <f>'Grad Raw Data'!H69</f>
        <v>Da Silva</v>
      </c>
      <c r="D136" s="44" t="str">
        <f>'Grad Raw Data'!D69</f>
        <v>LEFT</v>
      </c>
      <c r="E136" s="44">
        <f>'Grad Raw Data'!E69</f>
        <v>3</v>
      </c>
      <c r="G136">
        <v>136</v>
      </c>
      <c r="H136">
        <f t="shared" si="2"/>
        <v>69</v>
      </c>
    </row>
    <row r="137" spans="1:8" ht="24.95" customHeight="1" x14ac:dyDescent="0.25">
      <c r="A137" s="16" t="str">
        <f>'Grad Raw Data'!L69</f>
        <v>Wall-lick Duh Silva</v>
      </c>
      <c r="B137" s="20"/>
      <c r="C137" s="20"/>
      <c r="G137">
        <v>137</v>
      </c>
      <c r="H137" t="str">
        <f t="shared" si="2"/>
        <v/>
      </c>
    </row>
    <row r="138" spans="1:8" ht="24.95" customHeight="1" x14ac:dyDescent="0.25">
      <c r="A138" s="20" t="str">
        <f>'Grad Raw Data'!I70</f>
        <v>Cooper</v>
      </c>
      <c r="B138" s="20" t="str">
        <f>'Grad Raw Data'!K70</f>
        <v>Joseph</v>
      </c>
      <c r="C138" s="20" t="str">
        <f>'Grad Raw Data'!H70</f>
        <v>Dean</v>
      </c>
      <c r="D138" s="44" t="str">
        <f>'Grad Raw Data'!D70</f>
        <v>LEFT</v>
      </c>
      <c r="E138" s="44">
        <f>'Grad Raw Data'!E70</f>
        <v>3</v>
      </c>
      <c r="G138">
        <v>138</v>
      </c>
      <c r="H138">
        <f t="shared" si="2"/>
        <v>70</v>
      </c>
    </row>
    <row r="139" spans="1:8" ht="24.95" customHeight="1" x14ac:dyDescent="0.25">
      <c r="A139" s="16" t="str">
        <f>'Grad Raw Data'!L70</f>
        <v>(Coo-pur) (Joe-Sef) (Deen)</v>
      </c>
      <c r="B139" s="20"/>
      <c r="C139" s="20"/>
      <c r="G139">
        <v>139</v>
      </c>
      <c r="H139" t="str">
        <f t="shared" si="2"/>
        <v/>
      </c>
    </row>
    <row r="140" spans="1:8" ht="24.95" customHeight="1" x14ac:dyDescent="0.25">
      <c r="A140" s="20" t="str">
        <f>'Grad Raw Data'!I71</f>
        <v>Happiness</v>
      </c>
      <c r="B140" s="20" t="str">
        <f>'Grad Raw Data'!K71</f>
        <v>Osarugue</v>
      </c>
      <c r="C140" s="20" t="str">
        <f>'Grad Raw Data'!H71</f>
        <v>Deji</v>
      </c>
      <c r="D140" s="44" t="str">
        <f>'Grad Raw Data'!D71</f>
        <v>LEFT</v>
      </c>
      <c r="E140" s="44">
        <f>'Grad Raw Data'!E71</f>
        <v>3</v>
      </c>
      <c r="G140">
        <v>140</v>
      </c>
      <c r="H140">
        <f t="shared" si="2"/>
        <v>71</v>
      </c>
    </row>
    <row r="141" spans="1:8" ht="24.95" customHeight="1" x14ac:dyDescent="0.25">
      <c r="A141" s="16" t="str">
        <f>'Grad Raw Data'!L71</f>
        <v xml:space="preserve">o sa ru gue </v>
      </c>
      <c r="B141" s="20"/>
      <c r="C141" s="20"/>
      <c r="G141">
        <v>141</v>
      </c>
      <c r="H141" t="str">
        <f t="shared" si="2"/>
        <v/>
      </c>
    </row>
    <row r="142" spans="1:8" ht="24.95" customHeight="1" x14ac:dyDescent="0.25">
      <c r="A142" s="20" t="str">
        <f>'Grad Raw Data'!I72</f>
        <v>Jack</v>
      </c>
      <c r="B142" s="20" t="str">
        <f>'Grad Raw Data'!K72</f>
        <v/>
      </c>
      <c r="C142" s="20" t="str">
        <f>'Grad Raw Data'!H72</f>
        <v>Denmark</v>
      </c>
      <c r="D142" s="44" t="str">
        <f>'Grad Raw Data'!D72</f>
        <v>LEFT</v>
      </c>
      <c r="E142" s="44">
        <f>'Grad Raw Data'!E72</f>
        <v>3</v>
      </c>
      <c r="G142">
        <v>142</v>
      </c>
      <c r="H142">
        <f t="shared" si="2"/>
        <v>72</v>
      </c>
    </row>
    <row r="143" spans="1:8" ht="24.95" customHeight="1" x14ac:dyDescent="0.25">
      <c r="A143" s="16">
        <f>'Grad Raw Data'!L72</f>
        <v>0</v>
      </c>
      <c r="B143" s="20"/>
      <c r="C143" s="20"/>
      <c r="G143">
        <v>143</v>
      </c>
      <c r="H143" t="str">
        <f t="shared" si="2"/>
        <v/>
      </c>
    </row>
    <row r="144" spans="1:8" ht="24.95" customHeight="1" x14ac:dyDescent="0.25">
      <c r="A144" s="20" t="str">
        <f>'Grad Raw Data'!I73</f>
        <v>Julie</v>
      </c>
      <c r="B144" s="20" t="str">
        <f>'Grad Raw Data'!K73</f>
        <v/>
      </c>
      <c r="C144" s="20" t="str">
        <f>'Grad Raw Data'!H73</f>
        <v>DiDonato</v>
      </c>
      <c r="D144" s="44" t="str">
        <f>'Grad Raw Data'!D73</f>
        <v>LEFT</v>
      </c>
      <c r="E144" s="44">
        <f>'Grad Raw Data'!E73</f>
        <v>3</v>
      </c>
      <c r="G144">
        <v>144</v>
      </c>
      <c r="H144">
        <f t="shared" si="2"/>
        <v>73</v>
      </c>
    </row>
    <row r="145" spans="1:8" ht="24.95" customHeight="1" x14ac:dyDescent="0.25">
      <c r="A145" s="16" t="str">
        <f>'Grad Raw Data'!L73</f>
        <v>Dee-doe-na-to</v>
      </c>
      <c r="B145" s="20"/>
      <c r="C145" s="20"/>
      <c r="G145">
        <v>145</v>
      </c>
      <c r="H145" t="str">
        <f t="shared" si="2"/>
        <v/>
      </c>
    </row>
    <row r="146" spans="1:8" ht="24.95" customHeight="1" x14ac:dyDescent="0.25">
      <c r="A146" s="20" t="str">
        <f>'Grad Raw Data'!I74</f>
        <v>Antonio</v>
      </c>
      <c r="B146" s="20" t="str">
        <f>'Grad Raw Data'!K74</f>
        <v>Joseph</v>
      </c>
      <c r="C146" s="20" t="str">
        <f>'Grad Raw Data'!H74</f>
        <v>DiSerio</v>
      </c>
      <c r="D146" s="44" t="str">
        <f>'Grad Raw Data'!D74</f>
        <v>LEFT</v>
      </c>
      <c r="E146" s="44">
        <f>'Grad Raw Data'!E74</f>
        <v>3</v>
      </c>
      <c r="G146">
        <v>146</v>
      </c>
      <c r="H146">
        <f t="shared" si="2"/>
        <v>74</v>
      </c>
    </row>
    <row r="147" spans="1:8" ht="24.95" customHeight="1" x14ac:dyDescent="0.25">
      <c r="A147" s="16">
        <f>'Grad Raw Data'!L74</f>
        <v>0</v>
      </c>
      <c r="B147" s="20"/>
      <c r="C147" s="20"/>
      <c r="G147">
        <v>147</v>
      </c>
      <c r="H147" t="str">
        <f t="shared" si="2"/>
        <v/>
      </c>
    </row>
    <row r="148" spans="1:8" ht="24.95" customHeight="1" x14ac:dyDescent="0.25">
      <c r="A148" s="20" t="str">
        <f>'Grad Raw Data'!I75</f>
        <v>Dante</v>
      </c>
      <c r="B148" s="20" t="str">
        <f>'Grad Raw Data'!K75</f>
        <v/>
      </c>
      <c r="C148" s="20" t="str">
        <f>'Grad Raw Data'!H75</f>
        <v>DiSerio</v>
      </c>
      <c r="D148" s="44" t="str">
        <f>'Grad Raw Data'!D75</f>
        <v>LEFT</v>
      </c>
      <c r="E148" s="44">
        <f>'Grad Raw Data'!E75</f>
        <v>3</v>
      </c>
      <c r="G148">
        <v>148</v>
      </c>
      <c r="H148">
        <f t="shared" si="2"/>
        <v>75</v>
      </c>
    </row>
    <row r="149" spans="1:8" ht="24.95" customHeight="1" x14ac:dyDescent="0.25">
      <c r="A149" s="16" t="str">
        <f>'Grad Raw Data'!L75</f>
        <v>Dis-ear-e-o</v>
      </c>
      <c r="B149" s="20"/>
      <c r="C149" s="20"/>
      <c r="G149">
        <v>149</v>
      </c>
      <c r="H149" t="str">
        <f t="shared" si="2"/>
        <v/>
      </c>
    </row>
    <row r="150" spans="1:8" ht="24.95" customHeight="1" x14ac:dyDescent="0.25">
      <c r="A150" s="20" t="str">
        <f>'Grad Raw Data'!I76</f>
        <v>Caitlin</v>
      </c>
      <c r="B150" s="20" t="str">
        <f>'Grad Raw Data'!K76</f>
        <v>Anne</v>
      </c>
      <c r="C150" s="20" t="str">
        <f>'Grad Raw Data'!H76</f>
        <v>Donaghey</v>
      </c>
      <c r="D150" s="44" t="str">
        <f>'Grad Raw Data'!D76</f>
        <v>LEFT</v>
      </c>
      <c r="E150" s="44">
        <f>'Grad Raw Data'!E76</f>
        <v>3</v>
      </c>
      <c r="G150">
        <v>150</v>
      </c>
      <c r="H150">
        <f t="shared" si="2"/>
        <v>76</v>
      </c>
    </row>
    <row r="151" spans="1:8" ht="24.95" customHeight="1" x14ac:dyDescent="0.25">
      <c r="A151" s="16" t="str">
        <f>'Grad Raw Data'!L76</f>
        <v>Don-a-hee</v>
      </c>
      <c r="B151" s="20"/>
      <c r="C151" s="20"/>
      <c r="G151">
        <v>151</v>
      </c>
      <c r="H151" t="str">
        <f t="shared" si="2"/>
        <v/>
      </c>
    </row>
    <row r="152" spans="1:8" ht="24.95" customHeight="1" x14ac:dyDescent="0.25">
      <c r="A152" s="20" t="str">
        <f>'Grad Raw Data'!I77</f>
        <v>Quinn</v>
      </c>
      <c r="B152" s="20" t="str">
        <f>'Grad Raw Data'!K77</f>
        <v>Kendall</v>
      </c>
      <c r="C152" s="20" t="str">
        <f>'Grad Raw Data'!H77</f>
        <v>Donahue</v>
      </c>
      <c r="D152" s="44" t="str">
        <f>'Grad Raw Data'!D77</f>
        <v>LEFT</v>
      </c>
      <c r="E152" s="44">
        <f>'Grad Raw Data'!E77</f>
        <v>3</v>
      </c>
      <c r="G152">
        <v>152</v>
      </c>
      <c r="H152">
        <f t="shared" si="2"/>
        <v>77</v>
      </c>
    </row>
    <row r="153" spans="1:8" ht="24.95" customHeight="1" x14ac:dyDescent="0.25">
      <c r="A153" s="16">
        <f>'Grad Raw Data'!L77</f>
        <v>0</v>
      </c>
      <c r="B153" s="20"/>
      <c r="C153" s="20"/>
      <c r="G153">
        <v>153</v>
      </c>
      <c r="H153" t="str">
        <f t="shared" si="2"/>
        <v/>
      </c>
    </row>
    <row r="154" spans="1:8" ht="24.95" customHeight="1" x14ac:dyDescent="0.25">
      <c r="A154" s="20" t="str">
        <f>'Grad Raw Data'!I78</f>
        <v>Alana</v>
      </c>
      <c r="B154" s="20" t="str">
        <f>'Grad Raw Data'!K78</f>
        <v>Mei-Lin Yamaki</v>
      </c>
      <c r="C154" s="20" t="str">
        <f>'Grad Raw Data'!H78</f>
        <v>Doroquez</v>
      </c>
      <c r="D154" s="44" t="str">
        <f>'Grad Raw Data'!D78</f>
        <v>LEFT</v>
      </c>
      <c r="E154" s="44">
        <f>'Grad Raw Data'!E78</f>
        <v>3</v>
      </c>
      <c r="G154">
        <v>154</v>
      </c>
      <c r="H154">
        <f t="shared" si="2"/>
        <v>78</v>
      </c>
    </row>
    <row r="155" spans="1:8" ht="24.95" customHeight="1" x14ac:dyDescent="0.25">
      <c r="A155" s="16" t="str">
        <f>'Grad Raw Data'!L78</f>
        <v>Ah-lah-na May-Lynn Yah-mah-key Door-o-kez</v>
      </c>
      <c r="B155" s="20"/>
      <c r="C155" s="20"/>
      <c r="G155">
        <v>155</v>
      </c>
      <c r="H155" t="str">
        <f t="shared" si="2"/>
        <v/>
      </c>
    </row>
    <row r="156" spans="1:8" ht="24.95" customHeight="1" x14ac:dyDescent="0.25">
      <c r="A156" s="20" t="str">
        <f>'Grad Raw Data'!I79</f>
        <v>Cassidy</v>
      </c>
      <c r="B156" s="20" t="str">
        <f>'Grad Raw Data'!K79</f>
        <v/>
      </c>
      <c r="C156" s="20" t="str">
        <f>'Grad Raw Data'!H79</f>
        <v>Duca</v>
      </c>
      <c r="D156" s="44" t="str">
        <f>'Grad Raw Data'!D79</f>
        <v>RIGHT</v>
      </c>
      <c r="E156" s="44">
        <f>'Grad Raw Data'!E79</f>
        <v>4</v>
      </c>
      <c r="G156">
        <v>156</v>
      </c>
      <c r="H156">
        <f t="shared" si="2"/>
        <v>79</v>
      </c>
    </row>
    <row r="157" spans="1:8" ht="24.95" customHeight="1" x14ac:dyDescent="0.25">
      <c r="A157" s="16">
        <f>'Grad Raw Data'!L79</f>
        <v>0</v>
      </c>
      <c r="B157" s="20"/>
      <c r="C157" s="20"/>
      <c r="G157">
        <v>157</v>
      </c>
      <c r="H157" t="str">
        <f t="shared" si="2"/>
        <v/>
      </c>
    </row>
    <row r="158" spans="1:8" ht="24.95" customHeight="1" x14ac:dyDescent="0.25">
      <c r="A158" s="20" t="str">
        <f>'Grad Raw Data'!I80</f>
        <v>Kyle</v>
      </c>
      <c r="B158" s="20" t="str">
        <f>'Grad Raw Data'!K80</f>
        <v/>
      </c>
      <c r="C158" s="20" t="str">
        <f>'Grad Raw Data'!H80</f>
        <v>DuRoss</v>
      </c>
      <c r="D158" s="44" t="str">
        <f>'Grad Raw Data'!D80</f>
        <v>RIGHT</v>
      </c>
      <c r="E158" s="44">
        <f>'Grad Raw Data'!E80</f>
        <v>4</v>
      </c>
      <c r="G158">
        <v>158</v>
      </c>
      <c r="H158">
        <f t="shared" si="2"/>
        <v>80</v>
      </c>
    </row>
    <row r="159" spans="1:8" ht="24.95" customHeight="1" x14ac:dyDescent="0.25">
      <c r="A159" s="16" t="str">
        <f>'Grad Raw Data'!L80</f>
        <v>Dew-Ross</v>
      </c>
      <c r="B159" s="20"/>
      <c r="C159" s="20"/>
      <c r="G159">
        <v>159</v>
      </c>
      <c r="H159" t="str">
        <f t="shared" si="2"/>
        <v/>
      </c>
    </row>
    <row r="160" spans="1:8" ht="24.95" customHeight="1" x14ac:dyDescent="0.25">
      <c r="A160" s="20" t="str">
        <f>'Grad Raw Data'!I81</f>
        <v>Sean</v>
      </c>
      <c r="B160" s="20" t="str">
        <f>'Grad Raw Data'!K81</f>
        <v/>
      </c>
      <c r="C160" s="20" t="str">
        <f>'Grad Raw Data'!H81</f>
        <v>DuRoss</v>
      </c>
      <c r="D160" s="44" t="str">
        <f>'Grad Raw Data'!D81</f>
        <v>RIGHT</v>
      </c>
      <c r="E160" s="44">
        <f>'Grad Raw Data'!E81</f>
        <v>4</v>
      </c>
      <c r="G160">
        <v>160</v>
      </c>
      <c r="H160">
        <f t="shared" si="2"/>
        <v>81</v>
      </c>
    </row>
    <row r="161" spans="1:8" ht="24.95" customHeight="1" x14ac:dyDescent="0.25">
      <c r="A161" s="16">
        <f>'Grad Raw Data'!L81</f>
        <v>0</v>
      </c>
      <c r="B161" s="20"/>
      <c r="C161" s="20"/>
      <c r="G161">
        <v>161</v>
      </c>
      <c r="H161" t="str">
        <f t="shared" si="2"/>
        <v/>
      </c>
    </row>
    <row r="162" spans="1:8" ht="24.95" customHeight="1" x14ac:dyDescent="0.25">
      <c r="A162" s="20" t="str">
        <f>'Grad Raw Data'!I82</f>
        <v>William</v>
      </c>
      <c r="B162" s="20" t="str">
        <f>'Grad Raw Data'!K82</f>
        <v/>
      </c>
      <c r="C162" s="20" t="str">
        <f>'Grad Raw Data'!H82</f>
        <v>Dyment</v>
      </c>
      <c r="D162" s="44" t="str">
        <f>'Grad Raw Data'!D82</f>
        <v>RIGHT</v>
      </c>
      <c r="E162" s="44">
        <f>'Grad Raw Data'!E82</f>
        <v>4</v>
      </c>
      <c r="G162">
        <v>162</v>
      </c>
      <c r="H162">
        <f t="shared" si="2"/>
        <v>82</v>
      </c>
    </row>
    <row r="163" spans="1:8" ht="24.95" customHeight="1" x14ac:dyDescent="0.25">
      <c r="A163" s="16">
        <f>'Grad Raw Data'!L82</f>
        <v>0</v>
      </c>
      <c r="B163" s="20"/>
      <c r="C163" s="20"/>
      <c r="G163">
        <v>163</v>
      </c>
      <c r="H163" t="str">
        <f t="shared" si="2"/>
        <v/>
      </c>
    </row>
    <row r="164" spans="1:8" ht="24.95" customHeight="1" x14ac:dyDescent="0.25">
      <c r="A164" s="20" t="str">
        <f>'Grad Raw Data'!I83</f>
        <v>Finn</v>
      </c>
      <c r="B164" s="20" t="str">
        <f>'Grad Raw Data'!K83</f>
        <v/>
      </c>
      <c r="C164" s="20" t="str">
        <f>'Grad Raw Data'!H83</f>
        <v>Ellis</v>
      </c>
      <c r="D164" s="44" t="str">
        <f>'Grad Raw Data'!D83</f>
        <v>RIGHT</v>
      </c>
      <c r="E164" s="44">
        <f>'Grad Raw Data'!E83</f>
        <v>4</v>
      </c>
      <c r="G164">
        <v>164</v>
      </c>
      <c r="H164">
        <f t="shared" si="2"/>
        <v>83</v>
      </c>
    </row>
    <row r="165" spans="1:8" ht="24.95" customHeight="1" x14ac:dyDescent="0.25">
      <c r="A165" s="16">
        <f>'Grad Raw Data'!L83</f>
        <v>0</v>
      </c>
      <c r="B165" s="20"/>
      <c r="C165" s="20"/>
      <c r="G165">
        <v>165</v>
      </c>
      <c r="H165" t="str">
        <f t="shared" si="2"/>
        <v/>
      </c>
    </row>
    <row r="166" spans="1:8" ht="24.95" customHeight="1" x14ac:dyDescent="0.25">
      <c r="A166" s="20" t="str">
        <f>'Grad Raw Data'!I84</f>
        <v>Levi</v>
      </c>
      <c r="B166" s="20" t="str">
        <f>'Grad Raw Data'!K84</f>
        <v/>
      </c>
      <c r="C166" s="20" t="str">
        <f>'Grad Raw Data'!H84</f>
        <v>Emmanuel</v>
      </c>
      <c r="D166" s="44" t="str">
        <f>'Grad Raw Data'!D84</f>
        <v>RIGHT</v>
      </c>
      <c r="E166" s="44">
        <f>'Grad Raw Data'!E84</f>
        <v>4</v>
      </c>
      <c r="G166">
        <v>166</v>
      </c>
      <c r="H166">
        <f t="shared" si="2"/>
        <v>84</v>
      </c>
    </row>
    <row r="167" spans="1:8" ht="24.95" customHeight="1" x14ac:dyDescent="0.25">
      <c r="A167" s="16">
        <f>'Grad Raw Data'!L84</f>
        <v>0</v>
      </c>
      <c r="B167" s="20"/>
      <c r="C167" s="20"/>
      <c r="G167">
        <v>167</v>
      </c>
      <c r="H167" t="str">
        <f t="shared" si="2"/>
        <v/>
      </c>
    </row>
    <row r="168" spans="1:8" ht="24.95" customHeight="1" x14ac:dyDescent="0.25">
      <c r="A168" s="20" t="str">
        <f>'Grad Raw Data'!I85</f>
        <v>Kamryn</v>
      </c>
      <c r="B168" s="20" t="str">
        <f>'Grad Raw Data'!K85</f>
        <v/>
      </c>
      <c r="C168" s="20" t="str">
        <f>'Grad Raw Data'!H85</f>
        <v>Encarnacao</v>
      </c>
      <c r="D168" s="44" t="str">
        <f>'Grad Raw Data'!D85</f>
        <v>RIGHT</v>
      </c>
      <c r="E168" s="44">
        <f>'Grad Raw Data'!E85</f>
        <v>4</v>
      </c>
      <c r="G168">
        <v>168</v>
      </c>
      <c r="H168">
        <f t="shared" si="2"/>
        <v>85</v>
      </c>
    </row>
    <row r="169" spans="1:8" ht="24.95" customHeight="1" x14ac:dyDescent="0.25">
      <c r="A169" s="16" t="str">
        <f>'Grad Raw Data'!L85</f>
        <v>In - car - naw - see - oh</v>
      </c>
      <c r="B169" s="20"/>
      <c r="C169" s="20"/>
      <c r="G169">
        <v>169</v>
      </c>
      <c r="H169" t="str">
        <f t="shared" si="2"/>
        <v/>
      </c>
    </row>
    <row r="170" spans="1:8" ht="24.95" customHeight="1" x14ac:dyDescent="0.25">
      <c r="A170" s="20" t="str">
        <f>'Grad Raw Data'!I86</f>
        <v>Samuel</v>
      </c>
      <c r="B170" s="20" t="str">
        <f>'Grad Raw Data'!K86</f>
        <v/>
      </c>
      <c r="C170" s="20" t="str">
        <f>'Grad Raw Data'!H86</f>
        <v>Ewald</v>
      </c>
      <c r="D170" s="44" t="str">
        <f>'Grad Raw Data'!D86</f>
        <v>RIGHT</v>
      </c>
      <c r="E170" s="44">
        <f>'Grad Raw Data'!E86</f>
        <v>4</v>
      </c>
      <c r="G170">
        <v>170</v>
      </c>
      <c r="H170">
        <f t="shared" si="2"/>
        <v>86</v>
      </c>
    </row>
    <row r="171" spans="1:8" ht="24.95" customHeight="1" x14ac:dyDescent="0.25">
      <c r="A171" s="16" t="str">
        <f>'Grad Raw Data'!L86</f>
        <v xml:space="preserve">Eee-wald </v>
      </c>
      <c r="B171" s="20"/>
      <c r="C171" s="20"/>
      <c r="G171">
        <v>171</v>
      </c>
      <c r="H171" t="str">
        <f t="shared" si="2"/>
        <v/>
      </c>
    </row>
    <row r="172" spans="1:8" ht="24.95" customHeight="1" x14ac:dyDescent="0.25">
      <c r="A172" s="20" t="str">
        <f>'Grad Raw Data'!I87</f>
        <v>Kaylie</v>
      </c>
      <c r="B172" s="20" t="str">
        <f>'Grad Raw Data'!K87</f>
        <v/>
      </c>
      <c r="C172" s="20" t="str">
        <f>'Grad Raw Data'!H87</f>
        <v>Fantasia</v>
      </c>
      <c r="D172" s="44" t="str">
        <f>'Grad Raw Data'!D87</f>
        <v>RIGHT</v>
      </c>
      <c r="E172" s="44">
        <f>'Grad Raw Data'!E87</f>
        <v>4</v>
      </c>
      <c r="G172">
        <v>172</v>
      </c>
      <c r="H172">
        <f t="shared" si="2"/>
        <v>87</v>
      </c>
    </row>
    <row r="173" spans="1:8" ht="24.95" customHeight="1" x14ac:dyDescent="0.25">
      <c r="A173" s="16" t="str">
        <f>'Grad Raw Data'!L87</f>
        <v>kay-lee</v>
      </c>
      <c r="B173" s="20"/>
      <c r="C173" s="20"/>
      <c r="G173">
        <v>173</v>
      </c>
      <c r="H173" t="str">
        <f t="shared" si="2"/>
        <v/>
      </c>
    </row>
    <row r="174" spans="1:8" ht="24.95" customHeight="1" x14ac:dyDescent="0.25">
      <c r="A174" s="20" t="str">
        <f>'Grad Raw Data'!I88</f>
        <v>Vince</v>
      </c>
      <c r="B174" s="20" t="str">
        <f>'Grad Raw Data'!K88</f>
        <v/>
      </c>
      <c r="C174" s="20" t="str">
        <f>'Grad Raw Data'!H88</f>
        <v>Farnham</v>
      </c>
      <c r="D174" s="44" t="str">
        <f>'Grad Raw Data'!D88</f>
        <v>RIGHT</v>
      </c>
      <c r="E174" s="44">
        <f>'Grad Raw Data'!E88</f>
        <v>4</v>
      </c>
      <c r="G174">
        <v>174</v>
      </c>
      <c r="H174">
        <f t="shared" si="2"/>
        <v>88</v>
      </c>
    </row>
    <row r="175" spans="1:8" ht="24.95" customHeight="1" x14ac:dyDescent="0.25">
      <c r="A175" s="16">
        <f>'Grad Raw Data'!L88</f>
        <v>0</v>
      </c>
      <c r="B175" s="20"/>
      <c r="C175" s="20"/>
      <c r="G175">
        <v>175</v>
      </c>
      <c r="H175" t="str">
        <f t="shared" si="2"/>
        <v/>
      </c>
    </row>
    <row r="176" spans="1:8" ht="24.95" customHeight="1" x14ac:dyDescent="0.25">
      <c r="A176" s="20" t="str">
        <f>'Grad Raw Data'!I89</f>
        <v>Colby</v>
      </c>
      <c r="B176" s="20" t="str">
        <f>'Grad Raw Data'!K89</f>
        <v/>
      </c>
      <c r="C176" s="20" t="str">
        <f>'Grad Raw Data'!H89</f>
        <v>Farris</v>
      </c>
      <c r="D176" s="44" t="str">
        <f>'Grad Raw Data'!D89</f>
        <v>RIGHT</v>
      </c>
      <c r="E176" s="44">
        <f>'Grad Raw Data'!E89</f>
        <v>4</v>
      </c>
      <c r="G176">
        <v>176</v>
      </c>
      <c r="H176">
        <f t="shared" si="2"/>
        <v>89</v>
      </c>
    </row>
    <row r="177" spans="1:8" ht="24.95" customHeight="1" x14ac:dyDescent="0.25">
      <c r="A177" s="16">
        <f>'Grad Raw Data'!L89</f>
        <v>0</v>
      </c>
      <c r="B177" s="20"/>
      <c r="C177" s="20"/>
      <c r="G177">
        <v>177</v>
      </c>
      <c r="H177" t="str">
        <f t="shared" si="2"/>
        <v/>
      </c>
    </row>
    <row r="178" spans="1:8" ht="24.95" customHeight="1" x14ac:dyDescent="0.25">
      <c r="A178" s="20" t="str">
        <f>'Grad Raw Data'!I90</f>
        <v>Bryan</v>
      </c>
      <c r="B178" s="20" t="str">
        <f>'Grad Raw Data'!K90</f>
        <v/>
      </c>
      <c r="C178" s="20" t="str">
        <f>'Grad Raw Data'!H90</f>
        <v>Fernandez</v>
      </c>
      <c r="D178" s="44" t="str">
        <f>'Grad Raw Data'!D90</f>
        <v>RIGHT</v>
      </c>
      <c r="E178" s="44">
        <f>'Grad Raw Data'!E90</f>
        <v>4</v>
      </c>
      <c r="G178">
        <v>178</v>
      </c>
      <c r="H178">
        <f t="shared" si="2"/>
        <v>90</v>
      </c>
    </row>
    <row r="179" spans="1:8" ht="24.95" customHeight="1" x14ac:dyDescent="0.25">
      <c r="A179" s="16">
        <f>'Grad Raw Data'!L90</f>
        <v>0</v>
      </c>
      <c r="B179" s="20"/>
      <c r="C179" s="20"/>
      <c r="G179">
        <v>179</v>
      </c>
      <c r="H179" t="str">
        <f t="shared" si="2"/>
        <v/>
      </c>
    </row>
    <row r="180" spans="1:8" ht="24.95" customHeight="1" x14ac:dyDescent="0.25">
      <c r="A180" s="20" t="str">
        <f>'Grad Raw Data'!I91</f>
        <v>Thomas</v>
      </c>
      <c r="B180" s="20" t="str">
        <f>'Grad Raw Data'!K91</f>
        <v/>
      </c>
      <c r="C180" s="20" t="str">
        <f>'Grad Raw Data'!H91</f>
        <v>Fiore</v>
      </c>
      <c r="D180" s="44" t="str">
        <f>'Grad Raw Data'!D91</f>
        <v>LEFT</v>
      </c>
      <c r="E180" s="44">
        <f>'Grad Raw Data'!E91</f>
        <v>4</v>
      </c>
      <c r="G180">
        <v>180</v>
      </c>
      <c r="H180">
        <f t="shared" si="2"/>
        <v>91</v>
      </c>
    </row>
    <row r="181" spans="1:8" ht="24.95" customHeight="1" x14ac:dyDescent="0.25">
      <c r="A181" s="16">
        <f>'Grad Raw Data'!L91</f>
        <v>0</v>
      </c>
      <c r="B181" s="20"/>
      <c r="C181" s="20"/>
      <c r="G181">
        <v>181</v>
      </c>
      <c r="H181" t="str">
        <f t="shared" si="2"/>
        <v/>
      </c>
    </row>
    <row r="182" spans="1:8" ht="24.95" customHeight="1" x14ac:dyDescent="0.25">
      <c r="A182" s="20" t="str">
        <f>'Grad Raw Data'!I92</f>
        <v>Finn</v>
      </c>
      <c r="B182" s="20" t="str">
        <f>'Grad Raw Data'!K92</f>
        <v>Patrick</v>
      </c>
      <c r="C182" s="20" t="str">
        <f>'Grad Raw Data'!H92</f>
        <v>Flaherty</v>
      </c>
      <c r="D182" s="44" t="str">
        <f>'Grad Raw Data'!D92</f>
        <v>LEFT</v>
      </c>
      <c r="E182" s="44">
        <f>'Grad Raw Data'!E92</f>
        <v>4</v>
      </c>
      <c r="G182">
        <v>182</v>
      </c>
      <c r="H182">
        <f t="shared" si="2"/>
        <v>92</v>
      </c>
    </row>
    <row r="183" spans="1:8" ht="24.95" customHeight="1" x14ac:dyDescent="0.25">
      <c r="A183" s="16">
        <f>'Grad Raw Data'!L92</f>
        <v>0</v>
      </c>
      <c r="B183" s="20"/>
      <c r="C183" s="20"/>
      <c r="G183">
        <v>183</v>
      </c>
      <c r="H183" t="str">
        <f t="shared" si="2"/>
        <v/>
      </c>
    </row>
    <row r="184" spans="1:8" ht="24.95" customHeight="1" x14ac:dyDescent="0.25">
      <c r="A184" s="20" t="str">
        <f>'Grad Raw Data'!I93</f>
        <v>Matthew</v>
      </c>
      <c r="B184" s="20" t="str">
        <f>'Grad Raw Data'!K93</f>
        <v/>
      </c>
      <c r="C184" s="20" t="str">
        <f>'Grad Raw Data'!H93</f>
        <v>Forse</v>
      </c>
      <c r="D184" s="44" t="str">
        <f>'Grad Raw Data'!D93</f>
        <v>LEFT</v>
      </c>
      <c r="E184" s="44">
        <f>'Grad Raw Data'!E93</f>
        <v>4</v>
      </c>
      <c r="G184">
        <v>184</v>
      </c>
      <c r="H184">
        <f t="shared" si="2"/>
        <v>93</v>
      </c>
    </row>
    <row r="185" spans="1:8" ht="24.95" customHeight="1" x14ac:dyDescent="0.25">
      <c r="A185" s="16" t="str">
        <f>'Grad Raw Data'!L93</f>
        <v xml:space="preserve">"Force",   rhymes with HORSE </v>
      </c>
      <c r="B185" s="20"/>
      <c r="C185" s="20"/>
      <c r="G185">
        <v>185</v>
      </c>
      <c r="H185" t="str">
        <f t="shared" si="2"/>
        <v/>
      </c>
    </row>
    <row r="186" spans="1:8" ht="24.95" customHeight="1" x14ac:dyDescent="0.25">
      <c r="A186" s="20" t="str">
        <f>'Grad Raw Data'!I94</f>
        <v>Jacob</v>
      </c>
      <c r="B186" s="20" t="str">
        <f>'Grad Raw Data'!K94</f>
        <v/>
      </c>
      <c r="C186" s="20" t="str">
        <f>'Grad Raw Data'!H94</f>
        <v>Frank</v>
      </c>
      <c r="D186" s="44" t="str">
        <f>'Grad Raw Data'!D94</f>
        <v>LEFT</v>
      </c>
      <c r="E186" s="44">
        <f>'Grad Raw Data'!E94</f>
        <v>4</v>
      </c>
      <c r="G186">
        <v>186</v>
      </c>
      <c r="H186">
        <f t="shared" si="2"/>
        <v>94</v>
      </c>
    </row>
    <row r="187" spans="1:8" ht="24.95" customHeight="1" x14ac:dyDescent="0.25">
      <c r="A187" s="16">
        <f>'Grad Raw Data'!L94</f>
        <v>0</v>
      </c>
      <c r="B187" s="20"/>
      <c r="C187" s="20"/>
      <c r="G187">
        <v>187</v>
      </c>
      <c r="H187" t="str">
        <f t="shared" si="2"/>
        <v/>
      </c>
    </row>
    <row r="188" spans="1:8" ht="24.95" customHeight="1" x14ac:dyDescent="0.25">
      <c r="A188" s="20" t="str">
        <f>'Grad Raw Data'!I95</f>
        <v>Anthony</v>
      </c>
      <c r="B188" s="20" t="str">
        <f>'Grad Raw Data'!K95</f>
        <v/>
      </c>
      <c r="C188" s="20" t="str">
        <f>'Grad Raw Data'!H95</f>
        <v>Fratto</v>
      </c>
      <c r="D188" s="44" t="str">
        <f>'Grad Raw Data'!D95</f>
        <v>LEFT</v>
      </c>
      <c r="E188" s="44">
        <f>'Grad Raw Data'!E95</f>
        <v>4</v>
      </c>
      <c r="G188">
        <v>188</v>
      </c>
      <c r="H188">
        <f t="shared" si="2"/>
        <v>95</v>
      </c>
    </row>
    <row r="189" spans="1:8" ht="24.95" customHeight="1" x14ac:dyDescent="0.25">
      <c r="A189" s="16">
        <f>'Grad Raw Data'!L95</f>
        <v>0</v>
      </c>
      <c r="B189" s="20"/>
      <c r="C189" s="20"/>
      <c r="G189">
        <v>189</v>
      </c>
      <c r="H189" t="str">
        <f t="shared" si="2"/>
        <v/>
      </c>
    </row>
    <row r="190" spans="1:8" ht="24.95" customHeight="1" x14ac:dyDescent="0.25">
      <c r="A190" s="20" t="str">
        <f>'Grad Raw Data'!I96</f>
        <v>Gavin</v>
      </c>
      <c r="B190" s="20" t="str">
        <f>'Grad Raw Data'!K96</f>
        <v/>
      </c>
      <c r="C190" s="20" t="str">
        <f>'Grad Raw Data'!H96</f>
        <v>Fucarile</v>
      </c>
      <c r="D190" s="44" t="str">
        <f>'Grad Raw Data'!D96</f>
        <v>LEFT</v>
      </c>
      <c r="E190" s="44">
        <f>'Grad Raw Data'!E96</f>
        <v>4</v>
      </c>
      <c r="G190">
        <v>190</v>
      </c>
      <c r="H190">
        <f t="shared" si="2"/>
        <v>96</v>
      </c>
    </row>
    <row r="191" spans="1:8" ht="24.95" customHeight="1" x14ac:dyDescent="0.25">
      <c r="A191" s="16" t="str">
        <f>'Grad Raw Data'!L96</f>
        <v>Fuke-ah-rill</v>
      </c>
      <c r="B191" s="20"/>
      <c r="C191" s="20"/>
      <c r="G191">
        <v>191</v>
      </c>
      <c r="H191" t="str">
        <f t="shared" si="2"/>
        <v/>
      </c>
    </row>
    <row r="192" spans="1:8" ht="24.95" customHeight="1" x14ac:dyDescent="0.25">
      <c r="A192" s="20" t="str">
        <f>'Grad Raw Data'!I97</f>
        <v>Cole</v>
      </c>
      <c r="B192" s="20" t="str">
        <f>'Grad Raw Data'!K97</f>
        <v/>
      </c>
      <c r="C192" s="20" t="str">
        <f>'Grad Raw Data'!H97</f>
        <v>Fusco</v>
      </c>
      <c r="D192" s="44" t="str">
        <f>'Grad Raw Data'!D97</f>
        <v>LEFT</v>
      </c>
      <c r="E192" s="44">
        <f>'Grad Raw Data'!E97</f>
        <v>4</v>
      </c>
      <c r="G192">
        <v>192</v>
      </c>
      <c r="H192">
        <f t="shared" si="2"/>
        <v>97</v>
      </c>
    </row>
    <row r="193" spans="1:8" ht="24.95" customHeight="1" x14ac:dyDescent="0.25">
      <c r="A193" s="16">
        <f>'Grad Raw Data'!L97</f>
        <v>0</v>
      </c>
      <c r="B193" s="20"/>
      <c r="C193" s="20"/>
      <c r="G193">
        <v>193</v>
      </c>
      <c r="H193" t="str">
        <f t="shared" si="2"/>
        <v/>
      </c>
    </row>
    <row r="194" spans="1:8" ht="24.95" customHeight="1" x14ac:dyDescent="0.25">
      <c r="A194" s="20" t="str">
        <f>'Grad Raw Data'!I98</f>
        <v>Paul</v>
      </c>
      <c r="B194" s="20" t="str">
        <f>'Grad Raw Data'!K98</f>
        <v>Richard</v>
      </c>
      <c r="C194" s="20" t="str">
        <f>'Grad Raw Data'!H98</f>
        <v>Gaeta</v>
      </c>
      <c r="D194" s="44" t="str">
        <f>'Grad Raw Data'!D98</f>
        <v>LEFT</v>
      </c>
      <c r="E194" s="44">
        <f>'Grad Raw Data'!E98</f>
        <v>4</v>
      </c>
      <c r="G194">
        <v>194</v>
      </c>
      <c r="H194">
        <f t="shared" si="2"/>
        <v>98</v>
      </c>
    </row>
    <row r="195" spans="1:8" ht="24.95" customHeight="1" x14ac:dyDescent="0.25">
      <c r="A195" s="16">
        <f>'Grad Raw Data'!L98</f>
        <v>0</v>
      </c>
      <c r="B195" s="20"/>
      <c r="C195" s="20"/>
      <c r="G195">
        <v>195</v>
      </c>
      <c r="H195" t="str">
        <f t="shared" ref="H195:H258" si="3">IF(MOD((G195+2)/1,2)=0,(G195/2+1),"")</f>
        <v/>
      </c>
    </row>
    <row r="196" spans="1:8" ht="24.95" customHeight="1" x14ac:dyDescent="0.25">
      <c r="A196" s="20" t="str">
        <f>'Grad Raw Data'!I99</f>
        <v>Lucas</v>
      </c>
      <c r="B196" s="20" t="str">
        <f>'Grad Raw Data'!K99</f>
        <v/>
      </c>
      <c r="C196" s="20" t="str">
        <f>'Grad Raw Data'!H99</f>
        <v>Gager</v>
      </c>
      <c r="D196" s="44" t="str">
        <f>'Grad Raw Data'!D99</f>
        <v>LEFT</v>
      </c>
      <c r="E196" s="44">
        <f>'Grad Raw Data'!E99</f>
        <v>4</v>
      </c>
      <c r="G196">
        <v>196</v>
      </c>
      <c r="H196">
        <f t="shared" si="3"/>
        <v>99</v>
      </c>
    </row>
    <row r="197" spans="1:8" ht="24.95" customHeight="1" x14ac:dyDescent="0.25">
      <c r="A197" s="16" t="str">
        <f>'Grad Raw Data'!L99</f>
        <v>Gay-jer</v>
      </c>
      <c r="B197" s="20"/>
      <c r="C197" s="20"/>
      <c r="G197">
        <v>197</v>
      </c>
      <c r="H197" t="str">
        <f t="shared" si="3"/>
        <v/>
      </c>
    </row>
    <row r="198" spans="1:8" ht="24.95" customHeight="1" x14ac:dyDescent="0.25">
      <c r="A198" s="20" t="str">
        <f>'Grad Raw Data'!I100</f>
        <v>Nevaeh</v>
      </c>
      <c r="B198" s="20" t="str">
        <f>'Grad Raw Data'!K100</f>
        <v/>
      </c>
      <c r="C198" s="20" t="str">
        <f>'Grad Raw Data'!H100</f>
        <v>Galindo</v>
      </c>
      <c r="D198" s="44" t="str">
        <f>'Grad Raw Data'!D100</f>
        <v>LEFT</v>
      </c>
      <c r="E198" s="44">
        <f>'Grad Raw Data'!E100</f>
        <v>4</v>
      </c>
      <c r="G198">
        <v>198</v>
      </c>
      <c r="H198">
        <f t="shared" si="3"/>
        <v>100</v>
      </c>
    </row>
    <row r="199" spans="1:8" ht="24.95" customHeight="1" x14ac:dyDescent="0.25">
      <c r="A199" s="16">
        <f>'Grad Raw Data'!L100</f>
        <v>0</v>
      </c>
      <c r="B199" s="20"/>
      <c r="C199" s="20"/>
      <c r="G199">
        <v>199</v>
      </c>
      <c r="H199" t="str">
        <f t="shared" si="3"/>
        <v/>
      </c>
    </row>
    <row r="200" spans="1:8" ht="24.95" customHeight="1" x14ac:dyDescent="0.25">
      <c r="A200" s="20" t="str">
        <f>'Grad Raw Data'!I101</f>
        <v>Joseph</v>
      </c>
      <c r="B200" s="20" t="str">
        <f>'Grad Raw Data'!K101</f>
        <v/>
      </c>
      <c r="C200" s="20" t="str">
        <f>'Grad Raw Data'!H101</f>
        <v>Gallagher</v>
      </c>
      <c r="D200" s="44" t="str">
        <f>'Grad Raw Data'!D101</f>
        <v>LEFT</v>
      </c>
      <c r="E200" s="44">
        <f>'Grad Raw Data'!E101</f>
        <v>4</v>
      </c>
      <c r="G200">
        <v>200</v>
      </c>
      <c r="H200">
        <f t="shared" si="3"/>
        <v>101</v>
      </c>
    </row>
    <row r="201" spans="1:8" ht="24.95" customHeight="1" x14ac:dyDescent="0.25">
      <c r="A201" s="16" t="str">
        <f>'Grad Raw Data'!L101</f>
        <v>Joseph Gallagher</v>
      </c>
      <c r="B201" s="20"/>
      <c r="C201" s="20"/>
      <c r="G201">
        <v>201</v>
      </c>
      <c r="H201" t="str">
        <f t="shared" si="3"/>
        <v/>
      </c>
    </row>
    <row r="202" spans="1:8" ht="24.95" customHeight="1" x14ac:dyDescent="0.25">
      <c r="A202" s="20" t="str">
        <f>'Grad Raw Data'!I102</f>
        <v>Brendan</v>
      </c>
      <c r="B202" s="20" t="str">
        <f>'Grad Raw Data'!K102</f>
        <v/>
      </c>
      <c r="C202" s="20" t="str">
        <f>'Grad Raw Data'!H102</f>
        <v>Gauvin</v>
      </c>
      <c r="D202" s="44" t="str">
        <f>'Grad Raw Data'!D102</f>
        <v>LEFT</v>
      </c>
      <c r="E202" s="44">
        <f>'Grad Raw Data'!E102</f>
        <v>4</v>
      </c>
      <c r="G202">
        <v>202</v>
      </c>
      <c r="H202">
        <f t="shared" si="3"/>
        <v>102</v>
      </c>
    </row>
    <row r="203" spans="1:8" ht="24.95" customHeight="1" x14ac:dyDescent="0.25">
      <c r="A203" s="16" t="str">
        <f>'Grad Raw Data'!L102</f>
        <v>Gau-vin</v>
      </c>
      <c r="B203" s="20"/>
      <c r="C203" s="20"/>
      <c r="G203">
        <v>203</v>
      </c>
      <c r="H203" t="str">
        <f t="shared" si="3"/>
        <v/>
      </c>
    </row>
    <row r="204" spans="1:8" ht="24.95" customHeight="1" x14ac:dyDescent="0.25">
      <c r="A204" s="20" t="str">
        <f>'Grad Raw Data'!I103</f>
        <v>Bereket</v>
      </c>
      <c r="B204" s="20" t="str">
        <f>'Grad Raw Data'!K103</f>
        <v/>
      </c>
      <c r="C204" s="20" t="str">
        <f>'Grad Raw Data'!H103</f>
        <v>Gebeyaw</v>
      </c>
      <c r="D204" s="44" t="str">
        <f>'Grad Raw Data'!D103</f>
        <v>RIGHT</v>
      </c>
      <c r="E204" s="44">
        <f>'Grad Raw Data'!E103</f>
        <v>5</v>
      </c>
      <c r="G204">
        <v>204</v>
      </c>
      <c r="H204">
        <f t="shared" si="3"/>
        <v>103</v>
      </c>
    </row>
    <row r="205" spans="1:8" ht="24.95" customHeight="1" x14ac:dyDescent="0.25">
      <c r="A205" s="16">
        <f>'Grad Raw Data'!L103</f>
        <v>0</v>
      </c>
      <c r="B205" s="20"/>
      <c r="C205" s="20"/>
      <c r="G205">
        <v>205</v>
      </c>
      <c r="H205" t="str">
        <f t="shared" si="3"/>
        <v/>
      </c>
    </row>
    <row r="206" spans="1:8" ht="24.95" customHeight="1" x14ac:dyDescent="0.25">
      <c r="A206" s="20" t="str">
        <f>'Grad Raw Data'!I104</f>
        <v>Alix</v>
      </c>
      <c r="B206" s="20" t="str">
        <f>'Grad Raw Data'!K104</f>
        <v/>
      </c>
      <c r="C206" s="20" t="str">
        <f>'Grad Raw Data'!H104</f>
        <v>Gellot</v>
      </c>
      <c r="D206" s="44" t="str">
        <f>'Grad Raw Data'!D104</f>
        <v>RIGHT</v>
      </c>
      <c r="E206" s="44">
        <f>'Grad Raw Data'!E104</f>
        <v>5</v>
      </c>
      <c r="G206">
        <v>206</v>
      </c>
      <c r="H206">
        <f t="shared" si="3"/>
        <v>104</v>
      </c>
    </row>
    <row r="207" spans="1:8" ht="24.95" customHeight="1" x14ac:dyDescent="0.25">
      <c r="A207" s="16">
        <f>'Grad Raw Data'!L104</f>
        <v>0</v>
      </c>
      <c r="B207" s="20"/>
      <c r="C207" s="20"/>
      <c r="G207">
        <v>207</v>
      </c>
      <c r="H207" t="str">
        <f t="shared" si="3"/>
        <v/>
      </c>
    </row>
    <row r="208" spans="1:8" ht="24.95" customHeight="1" x14ac:dyDescent="0.25">
      <c r="A208" s="20" t="str">
        <f>'Grad Raw Data'!I105</f>
        <v>Cameron</v>
      </c>
      <c r="B208" s="20" t="str">
        <f>'Grad Raw Data'!K105</f>
        <v/>
      </c>
      <c r="C208" s="20" t="str">
        <f>'Grad Raw Data'!H105</f>
        <v>Gigler</v>
      </c>
      <c r="D208" s="44" t="str">
        <f>'Grad Raw Data'!D105</f>
        <v>RIGHT</v>
      </c>
      <c r="E208" s="44">
        <f>'Grad Raw Data'!E105</f>
        <v>5</v>
      </c>
      <c r="G208">
        <v>208</v>
      </c>
      <c r="H208">
        <f t="shared" si="3"/>
        <v>105</v>
      </c>
    </row>
    <row r="209" spans="1:8" ht="24.95" customHeight="1" x14ac:dyDescent="0.25">
      <c r="A209" s="16">
        <f>'Grad Raw Data'!L105</f>
        <v>0</v>
      </c>
      <c r="B209" s="20"/>
      <c r="C209" s="20"/>
      <c r="G209">
        <v>209</v>
      </c>
      <c r="H209" t="str">
        <f t="shared" si="3"/>
        <v/>
      </c>
    </row>
    <row r="210" spans="1:8" ht="24.95" customHeight="1" x14ac:dyDescent="0.25">
      <c r="A210" s="20" t="str">
        <f>'Grad Raw Data'!I106</f>
        <v>Alex</v>
      </c>
      <c r="B210" s="20" t="str">
        <f>'Grad Raw Data'!K106</f>
        <v/>
      </c>
      <c r="C210" s="20" t="str">
        <f>'Grad Raw Data'!H106</f>
        <v>Gisetto</v>
      </c>
      <c r="D210" s="44" t="str">
        <f>'Grad Raw Data'!D106</f>
        <v>RIGHT</v>
      </c>
      <c r="E210" s="44">
        <f>'Grad Raw Data'!E106</f>
        <v>5</v>
      </c>
      <c r="G210">
        <v>210</v>
      </c>
      <c r="H210">
        <f t="shared" si="3"/>
        <v>106</v>
      </c>
    </row>
    <row r="211" spans="1:8" ht="24.95" customHeight="1" x14ac:dyDescent="0.25">
      <c r="A211" s="16">
        <f>'Grad Raw Data'!L106</f>
        <v>0</v>
      </c>
      <c r="B211" s="20"/>
      <c r="C211" s="20"/>
      <c r="G211">
        <v>211</v>
      </c>
      <c r="H211" t="str">
        <f t="shared" si="3"/>
        <v/>
      </c>
    </row>
    <row r="212" spans="1:8" ht="24.95" customHeight="1" x14ac:dyDescent="0.25">
      <c r="A212" s="20" t="str">
        <f>'Grad Raw Data'!I107</f>
        <v>Benjamin</v>
      </c>
      <c r="B212" s="20" t="str">
        <f>'Grad Raw Data'!K107</f>
        <v/>
      </c>
      <c r="C212" s="20" t="str">
        <f>'Grad Raw Data'!H107</f>
        <v>Goldlust</v>
      </c>
      <c r="D212" s="44" t="str">
        <f>'Grad Raw Data'!D107</f>
        <v>RIGHT</v>
      </c>
      <c r="E212" s="44">
        <f>'Grad Raw Data'!E107</f>
        <v>5</v>
      </c>
      <c r="G212">
        <v>212</v>
      </c>
      <c r="H212">
        <f t="shared" si="3"/>
        <v>107</v>
      </c>
    </row>
    <row r="213" spans="1:8" ht="24.95" customHeight="1" x14ac:dyDescent="0.25">
      <c r="A213" s="16">
        <f>'Grad Raw Data'!L107</f>
        <v>0</v>
      </c>
      <c r="B213" s="20"/>
      <c r="C213" s="20"/>
      <c r="G213">
        <v>213</v>
      </c>
      <c r="H213" t="str">
        <f t="shared" si="3"/>
        <v/>
      </c>
    </row>
    <row r="214" spans="1:8" ht="24.95" customHeight="1" x14ac:dyDescent="0.25">
      <c r="A214" s="20" t="str">
        <f>'Grad Raw Data'!I108</f>
        <v>Jack</v>
      </c>
      <c r="B214" s="20" t="str">
        <f>'Grad Raw Data'!K108</f>
        <v/>
      </c>
      <c r="C214" s="20" t="str">
        <f>'Grad Raw Data'!H108</f>
        <v>Goodfellow</v>
      </c>
      <c r="D214" s="44" t="str">
        <f>'Grad Raw Data'!D108</f>
        <v>RIGHT</v>
      </c>
      <c r="E214" s="44">
        <f>'Grad Raw Data'!E108</f>
        <v>5</v>
      </c>
      <c r="G214">
        <v>214</v>
      </c>
      <c r="H214">
        <f t="shared" si="3"/>
        <v>108</v>
      </c>
    </row>
    <row r="215" spans="1:8" ht="24.95" customHeight="1" x14ac:dyDescent="0.25">
      <c r="A215" s="16">
        <f>'Grad Raw Data'!L108</f>
        <v>0</v>
      </c>
      <c r="B215" s="20"/>
      <c r="C215" s="20"/>
      <c r="G215">
        <v>215</v>
      </c>
      <c r="H215" t="str">
        <f t="shared" si="3"/>
        <v/>
      </c>
    </row>
    <row r="216" spans="1:8" ht="24.95" customHeight="1" x14ac:dyDescent="0.25">
      <c r="A216" s="20" t="str">
        <f>'Grad Raw Data'!I109</f>
        <v>Drew</v>
      </c>
      <c r="B216" s="20" t="str">
        <f>'Grad Raw Data'!K109</f>
        <v/>
      </c>
      <c r="C216" s="20" t="str">
        <f>'Grad Raw Data'!H109</f>
        <v>Gorski</v>
      </c>
      <c r="D216" s="44" t="str">
        <f>'Grad Raw Data'!D109</f>
        <v>RIGHT</v>
      </c>
      <c r="E216" s="44">
        <f>'Grad Raw Data'!E109</f>
        <v>5</v>
      </c>
      <c r="G216">
        <v>216</v>
      </c>
      <c r="H216">
        <f t="shared" si="3"/>
        <v>109</v>
      </c>
    </row>
    <row r="217" spans="1:8" ht="24.95" customHeight="1" x14ac:dyDescent="0.25">
      <c r="A217" s="16" t="str">
        <f>'Grad Raw Data'!L109</f>
        <v>Drew</v>
      </c>
      <c r="B217" s="20"/>
      <c r="C217" s="20"/>
      <c r="G217">
        <v>217</v>
      </c>
      <c r="H217" t="str">
        <f t="shared" si="3"/>
        <v/>
      </c>
    </row>
    <row r="218" spans="1:8" ht="24.95" customHeight="1" x14ac:dyDescent="0.25">
      <c r="A218" s="20" t="str">
        <f>'Grad Raw Data'!I110</f>
        <v>Lila</v>
      </c>
      <c r="B218" s="20" t="str">
        <f>'Grad Raw Data'!K110</f>
        <v/>
      </c>
      <c r="C218" s="20" t="str">
        <f>'Grad Raw Data'!H110</f>
        <v>Gosdanian</v>
      </c>
      <c r="D218" s="44" t="str">
        <f>'Grad Raw Data'!D110</f>
        <v>RIGHT</v>
      </c>
      <c r="E218" s="44">
        <f>'Grad Raw Data'!E110</f>
        <v>5</v>
      </c>
      <c r="G218">
        <v>218</v>
      </c>
      <c r="H218">
        <f t="shared" si="3"/>
        <v>110</v>
      </c>
    </row>
    <row r="219" spans="1:8" ht="24.95" customHeight="1" x14ac:dyDescent="0.25">
      <c r="A219" s="16" t="str">
        <f>'Grad Raw Data'!L110</f>
        <v>Lylah Gosdainian</v>
      </c>
      <c r="B219" s="20"/>
      <c r="C219" s="20"/>
      <c r="G219">
        <v>219</v>
      </c>
      <c r="H219" t="str">
        <f t="shared" si="3"/>
        <v/>
      </c>
    </row>
    <row r="220" spans="1:8" ht="24.95" customHeight="1" x14ac:dyDescent="0.25">
      <c r="A220" s="20" t="str">
        <f>'Grad Raw Data'!I111</f>
        <v>Cole</v>
      </c>
      <c r="B220" s="20" t="str">
        <f>'Grad Raw Data'!K111</f>
        <v>Sebastian</v>
      </c>
      <c r="C220" s="20" t="str">
        <f>'Grad Raw Data'!H111</f>
        <v>Grant</v>
      </c>
      <c r="D220" s="44" t="str">
        <f>'Grad Raw Data'!D111</f>
        <v>RIGHT</v>
      </c>
      <c r="E220" s="44">
        <f>'Grad Raw Data'!E111</f>
        <v>5</v>
      </c>
      <c r="G220">
        <v>220</v>
      </c>
      <c r="H220">
        <f t="shared" si="3"/>
        <v>111</v>
      </c>
    </row>
    <row r="221" spans="1:8" ht="24.95" customHeight="1" x14ac:dyDescent="0.25">
      <c r="A221" s="16">
        <f>'Grad Raw Data'!L111</f>
        <v>0</v>
      </c>
      <c r="B221" s="20"/>
      <c r="C221" s="20"/>
      <c r="G221">
        <v>221</v>
      </c>
      <c r="H221" t="str">
        <f t="shared" si="3"/>
        <v/>
      </c>
    </row>
    <row r="222" spans="1:8" ht="24.95" customHeight="1" x14ac:dyDescent="0.25">
      <c r="A222" s="20" t="str">
        <f>'Grad Raw Data'!I112</f>
        <v>Kendall</v>
      </c>
      <c r="B222" s="20" t="str">
        <f>'Grad Raw Data'!K112</f>
        <v/>
      </c>
      <c r="C222" s="20" t="str">
        <f>'Grad Raw Data'!H112</f>
        <v>Graves</v>
      </c>
      <c r="D222" s="44" t="str">
        <f>'Grad Raw Data'!D112</f>
        <v>RIGHT</v>
      </c>
      <c r="E222" s="44">
        <f>'Grad Raw Data'!E112</f>
        <v>5</v>
      </c>
      <c r="G222">
        <v>222</v>
      </c>
      <c r="H222">
        <f t="shared" si="3"/>
        <v>112</v>
      </c>
    </row>
    <row r="223" spans="1:8" ht="24.95" customHeight="1" x14ac:dyDescent="0.25">
      <c r="A223" s="16">
        <f>'Grad Raw Data'!L112</f>
        <v>0</v>
      </c>
      <c r="B223" s="20"/>
      <c r="C223" s="20"/>
      <c r="G223">
        <v>223</v>
      </c>
      <c r="H223" t="str">
        <f t="shared" si="3"/>
        <v/>
      </c>
    </row>
    <row r="224" spans="1:8" ht="24.95" customHeight="1" x14ac:dyDescent="0.25">
      <c r="A224" s="20" t="str">
        <f>'Grad Raw Data'!I113</f>
        <v>Griffin</v>
      </c>
      <c r="B224" s="20" t="str">
        <f>'Grad Raw Data'!K113</f>
        <v>James</v>
      </c>
      <c r="C224" s="20" t="str">
        <f>'Grad Raw Data'!H113</f>
        <v>Haggerty</v>
      </c>
      <c r="D224" s="44" t="str">
        <f>'Grad Raw Data'!D113</f>
        <v>RIGHT</v>
      </c>
      <c r="E224" s="44">
        <f>'Grad Raw Data'!E113</f>
        <v>5</v>
      </c>
      <c r="G224">
        <v>224</v>
      </c>
      <c r="H224">
        <f t="shared" si="3"/>
        <v>113</v>
      </c>
    </row>
    <row r="225" spans="1:8" ht="24.95" customHeight="1" x14ac:dyDescent="0.25">
      <c r="A225" s="16">
        <f>'Grad Raw Data'!L113</f>
        <v>0</v>
      </c>
      <c r="B225" s="20"/>
      <c r="C225" s="20"/>
      <c r="G225">
        <v>225</v>
      </c>
      <c r="H225" t="str">
        <f t="shared" si="3"/>
        <v/>
      </c>
    </row>
    <row r="226" spans="1:8" ht="24.95" customHeight="1" x14ac:dyDescent="0.25">
      <c r="A226" s="20" t="str">
        <f>'Grad Raw Data'!I114</f>
        <v>Andrea</v>
      </c>
      <c r="B226" s="20" t="str">
        <f>'Grad Raw Data'!K114</f>
        <v/>
      </c>
      <c r="C226" s="20" t="str">
        <f>'Grad Raw Data'!H114</f>
        <v>Hall</v>
      </c>
      <c r="D226" s="44" t="str">
        <f>'Grad Raw Data'!D114</f>
        <v>RIGHT</v>
      </c>
      <c r="E226" s="44">
        <f>'Grad Raw Data'!E114</f>
        <v>5</v>
      </c>
      <c r="G226">
        <v>226</v>
      </c>
      <c r="H226">
        <f t="shared" si="3"/>
        <v>114</v>
      </c>
    </row>
    <row r="227" spans="1:8" ht="24.95" customHeight="1" x14ac:dyDescent="0.25">
      <c r="A227" s="16" t="str">
        <f>'Grad Raw Data'!L114</f>
        <v>Alpha, November, Delta, Romeo, Echo, alpha</v>
      </c>
      <c r="B227" s="20"/>
      <c r="C227" s="20"/>
      <c r="G227">
        <v>227</v>
      </c>
      <c r="H227" t="str">
        <f t="shared" si="3"/>
        <v/>
      </c>
    </row>
    <row r="228" spans="1:8" ht="24.95" customHeight="1" x14ac:dyDescent="0.25">
      <c r="A228" s="20" t="str">
        <f>'Grad Raw Data'!I115</f>
        <v>Sarah</v>
      </c>
      <c r="B228" s="20" t="str">
        <f>'Grad Raw Data'!K115</f>
        <v/>
      </c>
      <c r="C228" s="20" t="str">
        <f>'Grad Raw Data'!H115</f>
        <v>Hamilton</v>
      </c>
      <c r="D228" s="44" t="str">
        <f>'Grad Raw Data'!D115</f>
        <v>LEFT</v>
      </c>
      <c r="E228" s="44">
        <f>'Grad Raw Data'!E115</f>
        <v>5</v>
      </c>
      <c r="G228">
        <v>228</v>
      </c>
      <c r="H228">
        <f t="shared" si="3"/>
        <v>115</v>
      </c>
    </row>
    <row r="229" spans="1:8" ht="24.95" customHeight="1" x14ac:dyDescent="0.25">
      <c r="A229" s="16">
        <f>'Grad Raw Data'!L115</f>
        <v>0</v>
      </c>
      <c r="B229" s="20"/>
      <c r="C229" s="20"/>
      <c r="G229">
        <v>229</v>
      </c>
      <c r="H229" t="str">
        <f t="shared" si="3"/>
        <v/>
      </c>
    </row>
    <row r="230" spans="1:8" ht="24.95" customHeight="1" x14ac:dyDescent="0.25">
      <c r="A230" s="20" t="str">
        <f>'Grad Raw Data'!I116</f>
        <v>Margaret</v>
      </c>
      <c r="B230" s="20" t="str">
        <f>'Grad Raw Data'!K116</f>
        <v/>
      </c>
      <c r="C230" s="20" t="str">
        <f>'Grad Raw Data'!H116</f>
        <v>Hanifan</v>
      </c>
      <c r="D230" s="44" t="str">
        <f>'Grad Raw Data'!D116</f>
        <v>LEFT</v>
      </c>
      <c r="E230" s="44">
        <f>'Grad Raw Data'!E116</f>
        <v>5</v>
      </c>
      <c r="G230">
        <v>230</v>
      </c>
      <c r="H230">
        <f t="shared" si="3"/>
        <v>116</v>
      </c>
    </row>
    <row r="231" spans="1:8" ht="24.95" customHeight="1" x14ac:dyDescent="0.25">
      <c r="A231" s="16">
        <f>'Grad Raw Data'!L116</f>
        <v>0</v>
      </c>
      <c r="B231" s="20"/>
      <c r="C231" s="20"/>
      <c r="G231">
        <v>231</v>
      </c>
      <c r="H231" t="str">
        <f t="shared" si="3"/>
        <v/>
      </c>
    </row>
    <row r="232" spans="1:8" ht="24.95" customHeight="1" x14ac:dyDescent="0.25">
      <c r="A232" s="20" t="str">
        <f>'Grad Raw Data'!I117</f>
        <v>Cameron</v>
      </c>
      <c r="B232" s="20" t="str">
        <f>'Grad Raw Data'!K117</f>
        <v/>
      </c>
      <c r="C232" s="20" t="str">
        <f>'Grad Raw Data'!H117</f>
        <v>Harrigan</v>
      </c>
      <c r="D232" s="44" t="str">
        <f>'Grad Raw Data'!D117</f>
        <v>LEFT</v>
      </c>
      <c r="E232" s="44">
        <f>'Grad Raw Data'!E117</f>
        <v>5</v>
      </c>
      <c r="G232">
        <v>232</v>
      </c>
      <c r="H232">
        <f t="shared" si="3"/>
        <v>117</v>
      </c>
    </row>
    <row r="233" spans="1:8" ht="24.95" customHeight="1" x14ac:dyDescent="0.25">
      <c r="A233" s="16">
        <f>'Grad Raw Data'!L117</f>
        <v>0</v>
      </c>
      <c r="B233" s="20"/>
      <c r="C233" s="20"/>
      <c r="G233">
        <v>233</v>
      </c>
      <c r="H233" t="str">
        <f t="shared" si="3"/>
        <v/>
      </c>
    </row>
    <row r="234" spans="1:8" ht="24.95" customHeight="1" x14ac:dyDescent="0.25">
      <c r="A234" s="20" t="str">
        <f>'Grad Raw Data'!I118</f>
        <v>Victoria</v>
      </c>
      <c r="B234" s="20" t="str">
        <f>'Grad Raw Data'!K118</f>
        <v/>
      </c>
      <c r="C234" s="20" t="str">
        <f>'Grad Raw Data'!H118</f>
        <v>Henri</v>
      </c>
      <c r="D234" s="44" t="str">
        <f>'Grad Raw Data'!D118</f>
        <v>LEFT</v>
      </c>
      <c r="E234" s="44">
        <f>'Grad Raw Data'!E118</f>
        <v>5</v>
      </c>
      <c r="G234">
        <v>234</v>
      </c>
      <c r="H234">
        <f t="shared" si="3"/>
        <v>118</v>
      </c>
    </row>
    <row r="235" spans="1:8" ht="24.95" customHeight="1" x14ac:dyDescent="0.25">
      <c r="A235" s="16" t="str">
        <f>'Grad Raw Data'!L118</f>
        <v>Vic-tor-ee-a Hen-ree</v>
      </c>
      <c r="B235" s="20"/>
      <c r="C235" s="20"/>
      <c r="G235">
        <v>235</v>
      </c>
      <c r="H235" t="str">
        <f t="shared" si="3"/>
        <v/>
      </c>
    </row>
    <row r="236" spans="1:8" ht="24.95" customHeight="1" x14ac:dyDescent="0.25">
      <c r="A236" s="20" t="str">
        <f>'Grad Raw Data'!I119</f>
        <v>Kayke</v>
      </c>
      <c r="B236" s="20" t="str">
        <f>'Grad Raw Data'!K119</f>
        <v/>
      </c>
      <c r="C236" s="20" t="str">
        <f>'Grad Raw Data'!H119</f>
        <v>Henrique</v>
      </c>
      <c r="D236" s="44" t="str">
        <f>'Grad Raw Data'!D119</f>
        <v>LEFT</v>
      </c>
      <c r="E236" s="44">
        <f>'Grad Raw Data'!E119</f>
        <v>5</v>
      </c>
      <c r="G236">
        <v>236</v>
      </c>
      <c r="H236">
        <f t="shared" si="3"/>
        <v>119</v>
      </c>
    </row>
    <row r="237" spans="1:8" ht="24.95" customHeight="1" x14ac:dyDescent="0.25">
      <c r="A237" s="16">
        <f>'Grad Raw Data'!L119</f>
        <v>0</v>
      </c>
      <c r="B237" s="20"/>
      <c r="C237" s="20"/>
      <c r="G237">
        <v>237</v>
      </c>
      <c r="H237" t="str">
        <f t="shared" si="3"/>
        <v/>
      </c>
    </row>
    <row r="238" spans="1:8" ht="24.95" customHeight="1" x14ac:dyDescent="0.25">
      <c r="A238" s="20" t="str">
        <f>'Grad Raw Data'!I120</f>
        <v>Jahkye</v>
      </c>
      <c r="B238" s="20" t="str">
        <f>'Grad Raw Data'!K120</f>
        <v/>
      </c>
      <c r="C238" s="20" t="str">
        <f>'Grad Raw Data'!H120</f>
        <v>Hobson</v>
      </c>
      <c r="D238" s="44" t="str">
        <f>'Grad Raw Data'!D120</f>
        <v>LEFT</v>
      </c>
      <c r="E238" s="44">
        <f>'Grad Raw Data'!E120</f>
        <v>5</v>
      </c>
      <c r="G238">
        <v>238</v>
      </c>
      <c r="H238">
        <f t="shared" si="3"/>
        <v>120</v>
      </c>
    </row>
    <row r="239" spans="1:8" ht="24.95" customHeight="1" x14ac:dyDescent="0.25">
      <c r="A239" s="16" t="str">
        <f>'Grad Raw Data'!L120</f>
        <v>JAH-KIA</v>
      </c>
      <c r="B239" s="20"/>
      <c r="C239" s="20"/>
      <c r="G239">
        <v>239</v>
      </c>
      <c r="H239" t="str">
        <f t="shared" si="3"/>
        <v/>
      </c>
    </row>
    <row r="240" spans="1:8" ht="24.95" customHeight="1" x14ac:dyDescent="0.25">
      <c r="A240" s="20" t="str">
        <f>'Grad Raw Data'!I121</f>
        <v>Sam</v>
      </c>
      <c r="B240" s="20" t="str">
        <f>'Grad Raw Data'!K121</f>
        <v/>
      </c>
      <c r="C240" s="20" t="str">
        <f>'Grad Raw Data'!H121</f>
        <v>Holt</v>
      </c>
      <c r="D240" s="44" t="str">
        <f>'Grad Raw Data'!D121</f>
        <v>LEFT</v>
      </c>
      <c r="E240" s="44">
        <f>'Grad Raw Data'!E121</f>
        <v>5</v>
      </c>
      <c r="G240">
        <v>240</v>
      </c>
      <c r="H240">
        <f t="shared" si="3"/>
        <v>121</v>
      </c>
    </row>
    <row r="241" spans="1:8" ht="24.95" customHeight="1" x14ac:dyDescent="0.25">
      <c r="A241" s="16">
        <f>'Grad Raw Data'!L121</f>
        <v>0</v>
      </c>
      <c r="B241" s="20"/>
      <c r="C241" s="20"/>
      <c r="G241">
        <v>241</v>
      </c>
      <c r="H241" t="str">
        <f t="shared" si="3"/>
        <v/>
      </c>
    </row>
    <row r="242" spans="1:8" ht="24.95" customHeight="1" x14ac:dyDescent="0.25">
      <c r="A242" s="20" t="str">
        <f>'Grad Raw Data'!I122</f>
        <v>Benjamin</v>
      </c>
      <c r="B242" s="20" t="str">
        <f>'Grad Raw Data'!K122</f>
        <v/>
      </c>
      <c r="C242" s="20" t="str">
        <f>'Grad Raw Data'!H122</f>
        <v>Houle</v>
      </c>
      <c r="D242" s="44" t="str">
        <f>'Grad Raw Data'!D122</f>
        <v>LEFT</v>
      </c>
      <c r="E242" s="44">
        <f>'Grad Raw Data'!E122</f>
        <v>5</v>
      </c>
      <c r="G242">
        <v>242</v>
      </c>
      <c r="H242">
        <f t="shared" si="3"/>
        <v>122</v>
      </c>
    </row>
    <row r="243" spans="1:8" ht="24.95" customHeight="1" x14ac:dyDescent="0.25">
      <c r="A243" s="16" t="str">
        <f>'Grad Raw Data'!L122</f>
        <v>H-oo-l</v>
      </c>
      <c r="B243" s="20"/>
      <c r="C243" s="20"/>
      <c r="G243">
        <v>243</v>
      </c>
      <c r="H243" t="str">
        <f t="shared" si="3"/>
        <v/>
      </c>
    </row>
    <row r="244" spans="1:8" ht="24.95" customHeight="1" x14ac:dyDescent="0.25">
      <c r="A244" s="20" t="str">
        <f>'Grad Raw Data'!I123</f>
        <v>Evin</v>
      </c>
      <c r="B244" s="20" t="str">
        <f>'Grad Raw Data'!K123</f>
        <v/>
      </c>
      <c r="C244" s="20" t="str">
        <f>'Grad Raw Data'!H123</f>
        <v>Howell</v>
      </c>
      <c r="D244" s="44" t="str">
        <f>'Grad Raw Data'!D123</f>
        <v>LEFT</v>
      </c>
      <c r="E244" s="44">
        <f>'Grad Raw Data'!E123</f>
        <v>5</v>
      </c>
      <c r="G244">
        <v>244</v>
      </c>
      <c r="H244">
        <f t="shared" si="3"/>
        <v>123</v>
      </c>
    </row>
    <row r="245" spans="1:8" ht="24.95" customHeight="1" x14ac:dyDescent="0.25">
      <c r="A245" s="16">
        <f>'Grad Raw Data'!L123</f>
        <v>0</v>
      </c>
      <c r="B245" s="20"/>
      <c r="C245" s="20"/>
      <c r="G245">
        <v>245</v>
      </c>
      <c r="H245" t="str">
        <f t="shared" si="3"/>
        <v/>
      </c>
    </row>
    <row r="246" spans="1:8" ht="24.95" customHeight="1" x14ac:dyDescent="0.25">
      <c r="A246" s="20" t="str">
        <f>'Grad Raw Data'!I124</f>
        <v>Paul</v>
      </c>
      <c r="B246" s="20" t="str">
        <f>'Grad Raw Data'!K124</f>
        <v>Joseph</v>
      </c>
      <c r="C246" s="20" t="str">
        <f>'Grad Raw Data'!H124</f>
        <v>Iosua</v>
      </c>
      <c r="D246" s="44" t="str">
        <f>'Grad Raw Data'!D124</f>
        <v>LEFT</v>
      </c>
      <c r="E246" s="44">
        <f>'Grad Raw Data'!E124</f>
        <v>5</v>
      </c>
      <c r="G246">
        <v>246</v>
      </c>
      <c r="H246">
        <f t="shared" si="3"/>
        <v>124</v>
      </c>
    </row>
    <row r="247" spans="1:8" ht="24.95" customHeight="1" x14ac:dyDescent="0.25">
      <c r="A247" s="16" t="str">
        <f>'Grad Raw Data'!L124</f>
        <v>I-osh-u-ah</v>
      </c>
      <c r="B247" s="20"/>
      <c r="C247" s="20"/>
      <c r="G247">
        <v>247</v>
      </c>
      <c r="H247" t="str">
        <f t="shared" si="3"/>
        <v/>
      </c>
    </row>
    <row r="248" spans="1:8" ht="24.95" customHeight="1" x14ac:dyDescent="0.25">
      <c r="A248" s="20" t="str">
        <f>'Grad Raw Data'!I125</f>
        <v>Leah</v>
      </c>
      <c r="B248" s="20" t="str">
        <f>'Grad Raw Data'!K125</f>
        <v/>
      </c>
      <c r="C248" s="20" t="str">
        <f>'Grad Raw Data'!H125</f>
        <v>Jackvony</v>
      </c>
      <c r="D248" s="44" t="str">
        <f>'Grad Raw Data'!D125</f>
        <v>LEFT</v>
      </c>
      <c r="E248" s="44">
        <f>'Grad Raw Data'!E125</f>
        <v>5</v>
      </c>
      <c r="G248">
        <v>248</v>
      </c>
      <c r="H248">
        <f t="shared" si="3"/>
        <v>125</v>
      </c>
    </row>
    <row r="249" spans="1:8" ht="24.95" customHeight="1" x14ac:dyDescent="0.25">
      <c r="A249" s="16">
        <f>'Grad Raw Data'!L125</f>
        <v>0</v>
      </c>
      <c r="B249" s="20"/>
      <c r="C249" s="20"/>
      <c r="G249">
        <v>249</v>
      </c>
      <c r="H249" t="str">
        <f t="shared" si="3"/>
        <v/>
      </c>
    </row>
    <row r="250" spans="1:8" ht="24.95" customHeight="1" x14ac:dyDescent="0.25">
      <c r="A250" s="20" t="str">
        <f>'Grad Raw Data'!I126</f>
        <v>Wayne</v>
      </c>
      <c r="B250" s="20" t="str">
        <f>'Grad Raw Data'!K126</f>
        <v/>
      </c>
      <c r="C250" s="20" t="str">
        <f>'Grad Raw Data'!H126</f>
        <v>Jankun</v>
      </c>
      <c r="D250" s="44" t="str">
        <f>'Grad Raw Data'!D126</f>
        <v>LEFT</v>
      </c>
      <c r="E250" s="44">
        <f>'Grad Raw Data'!E126</f>
        <v>5</v>
      </c>
      <c r="G250">
        <v>250</v>
      </c>
      <c r="H250">
        <f t="shared" si="3"/>
        <v>126</v>
      </c>
    </row>
    <row r="251" spans="1:8" ht="24.95" customHeight="1" x14ac:dyDescent="0.25">
      <c r="A251" s="16">
        <f>'Grad Raw Data'!L126</f>
        <v>0</v>
      </c>
      <c r="B251" s="20"/>
      <c r="C251" s="20"/>
      <c r="G251">
        <v>251</v>
      </c>
      <c r="H251" t="str">
        <f t="shared" si="3"/>
        <v/>
      </c>
    </row>
    <row r="252" spans="1:8" ht="24.95" customHeight="1" x14ac:dyDescent="0.25">
      <c r="A252" s="20" t="str">
        <f>'Grad Raw Data'!I127</f>
        <v>Tristan</v>
      </c>
      <c r="B252" s="20" t="str">
        <f>'Grad Raw Data'!K127</f>
        <v/>
      </c>
      <c r="C252" s="20" t="str">
        <f>'Grad Raw Data'!H127</f>
        <v>Jenkins</v>
      </c>
      <c r="D252" s="44" t="str">
        <f>'Grad Raw Data'!D127</f>
        <v>RIGHT</v>
      </c>
      <c r="E252" s="44">
        <f>'Grad Raw Data'!E127</f>
        <v>6</v>
      </c>
      <c r="G252">
        <v>252</v>
      </c>
      <c r="H252">
        <f t="shared" si="3"/>
        <v>127</v>
      </c>
    </row>
    <row r="253" spans="1:8" ht="24.95" customHeight="1" x14ac:dyDescent="0.25">
      <c r="A253" s="16">
        <f>'Grad Raw Data'!L127</f>
        <v>0</v>
      </c>
      <c r="B253" s="20"/>
      <c r="C253" s="20"/>
      <c r="G253">
        <v>253</v>
      </c>
      <c r="H253" t="str">
        <f t="shared" si="3"/>
        <v/>
      </c>
    </row>
    <row r="254" spans="1:8" ht="24.95" customHeight="1" x14ac:dyDescent="0.25">
      <c r="A254" s="20" t="str">
        <f>'Grad Raw Data'!I128</f>
        <v>Evan</v>
      </c>
      <c r="B254" s="20" t="str">
        <f>'Grad Raw Data'!K128</f>
        <v/>
      </c>
      <c r="C254" s="20" t="str">
        <f>'Grad Raw Data'!H128</f>
        <v>Jenney</v>
      </c>
      <c r="D254" s="44" t="str">
        <f>'Grad Raw Data'!D128</f>
        <v>RIGHT</v>
      </c>
      <c r="E254" s="44">
        <f>'Grad Raw Data'!E128</f>
        <v>6</v>
      </c>
      <c r="G254">
        <v>254</v>
      </c>
      <c r="H254">
        <f t="shared" si="3"/>
        <v>128</v>
      </c>
    </row>
    <row r="255" spans="1:8" ht="24.95" customHeight="1" x14ac:dyDescent="0.25">
      <c r="A255" s="16">
        <f>'Grad Raw Data'!L128</f>
        <v>0</v>
      </c>
      <c r="B255" s="20"/>
      <c r="C255" s="20"/>
      <c r="G255">
        <v>255</v>
      </c>
      <c r="H255" t="str">
        <f t="shared" si="3"/>
        <v/>
      </c>
    </row>
    <row r="256" spans="1:8" ht="24.95" customHeight="1" x14ac:dyDescent="0.25">
      <c r="A256" s="20" t="str">
        <f>'Grad Raw Data'!I129</f>
        <v>Michael</v>
      </c>
      <c r="B256" s="20" t="str">
        <f>'Grad Raw Data'!K129</f>
        <v/>
      </c>
      <c r="C256" s="20" t="str">
        <f>'Grad Raw Data'!H129</f>
        <v>Jenney</v>
      </c>
      <c r="D256" s="44" t="str">
        <f>'Grad Raw Data'!D129</f>
        <v>RIGHT</v>
      </c>
      <c r="E256" s="44">
        <f>'Grad Raw Data'!E129</f>
        <v>6</v>
      </c>
      <c r="G256">
        <v>256</v>
      </c>
      <c r="H256">
        <f t="shared" si="3"/>
        <v>129</v>
      </c>
    </row>
    <row r="257" spans="1:8" ht="24.95" customHeight="1" x14ac:dyDescent="0.25">
      <c r="A257" s="16">
        <f>'Grad Raw Data'!L129</f>
        <v>0</v>
      </c>
      <c r="B257" s="20"/>
      <c r="C257" s="20"/>
      <c r="G257">
        <v>257</v>
      </c>
      <c r="H257" t="str">
        <f t="shared" si="3"/>
        <v/>
      </c>
    </row>
    <row r="258" spans="1:8" ht="24.95" customHeight="1" x14ac:dyDescent="0.25">
      <c r="A258" s="20" t="str">
        <f>'Grad Raw Data'!I130</f>
        <v>Luke</v>
      </c>
      <c r="B258" s="20" t="str">
        <f>'Grad Raw Data'!K130</f>
        <v/>
      </c>
      <c r="C258" s="20" t="str">
        <f>'Grad Raw Data'!H130</f>
        <v>Johnson</v>
      </c>
      <c r="D258" s="44" t="str">
        <f>'Grad Raw Data'!D130</f>
        <v>RIGHT</v>
      </c>
      <c r="E258" s="44">
        <f>'Grad Raw Data'!E130</f>
        <v>6</v>
      </c>
      <c r="G258">
        <v>258</v>
      </c>
      <c r="H258">
        <f t="shared" si="3"/>
        <v>130</v>
      </c>
    </row>
    <row r="259" spans="1:8" ht="24.95" customHeight="1" x14ac:dyDescent="0.25">
      <c r="A259" s="16">
        <f>'Grad Raw Data'!L130</f>
        <v>0</v>
      </c>
      <c r="B259" s="20"/>
      <c r="C259" s="20"/>
      <c r="G259">
        <v>259</v>
      </c>
      <c r="H259" t="str">
        <f t="shared" ref="H259:H322" si="4">IF(MOD((G259+2)/1,2)=0,(G259/2+1),"")</f>
        <v/>
      </c>
    </row>
    <row r="260" spans="1:8" ht="24.95" customHeight="1" x14ac:dyDescent="0.25">
      <c r="A260" s="20" t="str">
        <f>'Grad Raw Data'!I131</f>
        <v>Maeve</v>
      </c>
      <c r="B260" s="20" t="str">
        <f>'Grad Raw Data'!K131</f>
        <v/>
      </c>
      <c r="C260" s="20" t="str">
        <f>'Grad Raw Data'!H131</f>
        <v>Jones</v>
      </c>
      <c r="D260" s="44" t="str">
        <f>'Grad Raw Data'!D131</f>
        <v>RIGHT</v>
      </c>
      <c r="E260" s="44">
        <f>'Grad Raw Data'!E131</f>
        <v>6</v>
      </c>
      <c r="G260">
        <v>260</v>
      </c>
      <c r="H260">
        <f t="shared" si="4"/>
        <v>131</v>
      </c>
    </row>
    <row r="261" spans="1:8" ht="24.95" customHeight="1" x14ac:dyDescent="0.25">
      <c r="A261" s="16">
        <f>'Grad Raw Data'!L131</f>
        <v>0</v>
      </c>
      <c r="B261" s="20"/>
      <c r="C261" s="20"/>
      <c r="G261">
        <v>261</v>
      </c>
      <c r="H261" t="str">
        <f t="shared" si="4"/>
        <v/>
      </c>
    </row>
    <row r="262" spans="1:8" ht="24.95" customHeight="1" x14ac:dyDescent="0.25">
      <c r="A262" s="20" t="str">
        <f>'Grad Raw Data'!I132</f>
        <v>Nolan</v>
      </c>
      <c r="B262" s="20" t="str">
        <f>'Grad Raw Data'!K132</f>
        <v/>
      </c>
      <c r="C262" s="20" t="str">
        <f>'Grad Raw Data'!H132</f>
        <v>Jordan</v>
      </c>
      <c r="D262" s="44" t="str">
        <f>'Grad Raw Data'!D132</f>
        <v>RIGHT</v>
      </c>
      <c r="E262" s="44">
        <f>'Grad Raw Data'!E132</f>
        <v>6</v>
      </c>
      <c r="G262">
        <v>262</v>
      </c>
      <c r="H262">
        <f t="shared" si="4"/>
        <v>132</v>
      </c>
    </row>
    <row r="263" spans="1:8" ht="24.95" customHeight="1" x14ac:dyDescent="0.25">
      <c r="A263" s="16">
        <f>'Grad Raw Data'!L132</f>
        <v>0</v>
      </c>
      <c r="B263" s="20"/>
      <c r="C263" s="20"/>
      <c r="G263">
        <v>263</v>
      </c>
      <c r="H263" t="str">
        <f t="shared" si="4"/>
        <v/>
      </c>
    </row>
    <row r="264" spans="1:8" ht="24.95" customHeight="1" x14ac:dyDescent="0.25">
      <c r="A264" s="20" t="str">
        <f>'Grad Raw Data'!I133</f>
        <v>Emma</v>
      </c>
      <c r="B264" s="20" t="str">
        <f>'Grad Raw Data'!K133</f>
        <v/>
      </c>
      <c r="C264" s="20" t="str">
        <f>'Grad Raw Data'!H133</f>
        <v>Kaberle</v>
      </c>
      <c r="D264" s="44" t="str">
        <f>'Grad Raw Data'!D133</f>
        <v>RIGHT</v>
      </c>
      <c r="E264" s="44">
        <f>'Grad Raw Data'!E133</f>
        <v>6</v>
      </c>
      <c r="G264">
        <v>264</v>
      </c>
      <c r="H264">
        <f t="shared" si="4"/>
        <v>133</v>
      </c>
    </row>
    <row r="265" spans="1:8" ht="24.95" customHeight="1" x14ac:dyDescent="0.25">
      <c r="A265" s="16" t="str">
        <f>'Grad Raw Data'!L133</f>
        <v xml:space="preserve">K-ber-le </v>
      </c>
      <c r="B265" s="20"/>
      <c r="C265" s="20"/>
      <c r="G265">
        <v>265</v>
      </c>
      <c r="H265" t="str">
        <f t="shared" si="4"/>
        <v/>
      </c>
    </row>
    <row r="266" spans="1:8" ht="24.95" customHeight="1" x14ac:dyDescent="0.25">
      <c r="A266" s="20" t="str">
        <f>'Grad Raw Data'!I134</f>
        <v>Azra</v>
      </c>
      <c r="B266" s="20" t="str">
        <f>'Grad Raw Data'!K134</f>
        <v/>
      </c>
      <c r="C266" s="20" t="str">
        <f>'Grad Raw Data'!H134</f>
        <v>Kadric</v>
      </c>
      <c r="D266" s="44" t="str">
        <f>'Grad Raw Data'!D134</f>
        <v>RIGHT</v>
      </c>
      <c r="E266" s="44">
        <f>'Grad Raw Data'!E134</f>
        <v>6</v>
      </c>
      <c r="G266">
        <v>266</v>
      </c>
      <c r="H266">
        <f t="shared" si="4"/>
        <v>134</v>
      </c>
    </row>
    <row r="267" spans="1:8" ht="24.95" customHeight="1" x14ac:dyDescent="0.25">
      <c r="A267" s="16" t="str">
        <f>'Grad Raw Data'!L134</f>
        <v>Uh-zra - the "Uh" part is slower than "zra" and roll the r. "Kud-reech" - roll the r</v>
      </c>
      <c r="B267" s="20"/>
      <c r="C267" s="20"/>
      <c r="G267">
        <v>267</v>
      </c>
      <c r="H267" t="str">
        <f t="shared" si="4"/>
        <v/>
      </c>
    </row>
    <row r="268" spans="1:8" ht="24.95" customHeight="1" x14ac:dyDescent="0.25">
      <c r="A268" s="20" t="str">
        <f>'Grad Raw Data'!I135</f>
        <v>Brady</v>
      </c>
      <c r="B268" s="20" t="str">
        <f>'Grad Raw Data'!K135</f>
        <v/>
      </c>
      <c r="C268" s="20" t="str">
        <f>'Grad Raw Data'!H135</f>
        <v>Keaveney</v>
      </c>
      <c r="D268" s="44" t="str">
        <f>'Grad Raw Data'!D135</f>
        <v>RIGHT</v>
      </c>
      <c r="E268" s="44">
        <f>'Grad Raw Data'!E135</f>
        <v>6</v>
      </c>
      <c r="G268">
        <v>268</v>
      </c>
      <c r="H268">
        <f t="shared" si="4"/>
        <v>135</v>
      </c>
    </row>
    <row r="269" spans="1:8" ht="24.95" customHeight="1" x14ac:dyDescent="0.25">
      <c r="A269" s="16" t="str">
        <f>'Grad Raw Data'!L135</f>
        <v>Key van e</v>
      </c>
      <c r="B269" s="20"/>
      <c r="C269" s="20"/>
      <c r="G269">
        <v>269</v>
      </c>
      <c r="H269" t="str">
        <f t="shared" si="4"/>
        <v/>
      </c>
    </row>
    <row r="270" spans="1:8" ht="24.95" customHeight="1" x14ac:dyDescent="0.25">
      <c r="A270" s="20" t="str">
        <f>'Grad Raw Data'!I136</f>
        <v>Hannah</v>
      </c>
      <c r="B270" s="20" t="str">
        <f>'Grad Raw Data'!K136</f>
        <v/>
      </c>
      <c r="C270" s="20" t="str">
        <f>'Grad Raw Data'!H136</f>
        <v>Kenton</v>
      </c>
      <c r="D270" s="44" t="str">
        <f>'Grad Raw Data'!D136</f>
        <v>RIGHT</v>
      </c>
      <c r="E270" s="44">
        <f>'Grad Raw Data'!E136</f>
        <v>6</v>
      </c>
      <c r="G270">
        <v>270</v>
      </c>
      <c r="H270">
        <f t="shared" si="4"/>
        <v>136</v>
      </c>
    </row>
    <row r="271" spans="1:8" ht="24.95" customHeight="1" x14ac:dyDescent="0.25">
      <c r="A271" s="16" t="str">
        <f>'Grad Raw Data'!L136</f>
        <v xml:space="preserve">Ken-tin </v>
      </c>
      <c r="B271" s="20"/>
      <c r="C271" s="20"/>
      <c r="G271">
        <v>271</v>
      </c>
      <c r="H271" t="str">
        <f t="shared" si="4"/>
        <v/>
      </c>
    </row>
    <row r="272" spans="1:8" ht="24.95" customHeight="1" x14ac:dyDescent="0.25">
      <c r="A272" s="20" t="str">
        <f>'Grad Raw Data'!I137</f>
        <v>Aiden</v>
      </c>
      <c r="B272" s="20" t="str">
        <f>'Grad Raw Data'!K137</f>
        <v/>
      </c>
      <c r="C272" s="20" t="str">
        <f>'Grad Raw Data'!H137</f>
        <v>Kiley</v>
      </c>
      <c r="D272" s="44" t="str">
        <f>'Grad Raw Data'!D137</f>
        <v>RIGHT</v>
      </c>
      <c r="E272" s="44">
        <f>'Grad Raw Data'!E137</f>
        <v>6</v>
      </c>
      <c r="G272">
        <v>272</v>
      </c>
      <c r="H272">
        <f t="shared" si="4"/>
        <v>137</v>
      </c>
    </row>
    <row r="273" spans="1:8" ht="24.95" customHeight="1" x14ac:dyDescent="0.25">
      <c r="A273" s="16" t="str">
        <f>'Grad Raw Data'!L137</f>
        <v>Aiden Liley</v>
      </c>
      <c r="B273" s="20"/>
      <c r="C273" s="20"/>
      <c r="G273">
        <v>273</v>
      </c>
      <c r="H273" t="str">
        <f t="shared" si="4"/>
        <v/>
      </c>
    </row>
    <row r="274" spans="1:8" ht="24.95" customHeight="1" x14ac:dyDescent="0.25">
      <c r="A274" s="20" t="str">
        <f>'Grad Raw Data'!I138</f>
        <v>Clinton</v>
      </c>
      <c r="B274" s="20" t="str">
        <f>'Grad Raw Data'!K138</f>
        <v/>
      </c>
      <c r="C274" s="20" t="str">
        <f>'Grad Raw Data'!H138</f>
        <v>King</v>
      </c>
      <c r="D274" s="44" t="str">
        <f>'Grad Raw Data'!D138</f>
        <v>RIGHT</v>
      </c>
      <c r="E274" s="44">
        <f>'Grad Raw Data'!E138</f>
        <v>6</v>
      </c>
      <c r="G274">
        <v>274</v>
      </c>
      <c r="H274">
        <f t="shared" si="4"/>
        <v>138</v>
      </c>
    </row>
    <row r="275" spans="1:8" ht="24.95" customHeight="1" x14ac:dyDescent="0.25">
      <c r="A275" s="16">
        <f>'Grad Raw Data'!L138</f>
        <v>0</v>
      </c>
      <c r="B275" s="20"/>
      <c r="C275" s="20"/>
      <c r="G275">
        <v>275</v>
      </c>
      <c r="H275" t="str">
        <f t="shared" si="4"/>
        <v/>
      </c>
    </row>
    <row r="276" spans="1:8" ht="24.95" customHeight="1" x14ac:dyDescent="0.25">
      <c r="A276" s="20" t="str">
        <f>'Grad Raw Data'!I139</f>
        <v>Kyle</v>
      </c>
      <c r="B276" s="20" t="str">
        <f>'Grad Raw Data'!K139</f>
        <v/>
      </c>
      <c r="C276" s="20" t="str">
        <f>'Grad Raw Data'!H139</f>
        <v>Koster</v>
      </c>
      <c r="D276" s="44" t="str">
        <f>'Grad Raw Data'!D139</f>
        <v>LEFT</v>
      </c>
      <c r="E276" s="44">
        <f>'Grad Raw Data'!E139</f>
        <v>6</v>
      </c>
      <c r="G276">
        <v>276</v>
      </c>
      <c r="H276">
        <f t="shared" si="4"/>
        <v>139</v>
      </c>
    </row>
    <row r="277" spans="1:8" ht="24.95" customHeight="1" x14ac:dyDescent="0.25">
      <c r="A277" s="16">
        <f>'Grad Raw Data'!L139</f>
        <v>0</v>
      </c>
      <c r="B277" s="20"/>
      <c r="C277" s="20"/>
      <c r="G277">
        <v>277</v>
      </c>
      <c r="H277" t="str">
        <f t="shared" si="4"/>
        <v/>
      </c>
    </row>
    <row r="278" spans="1:8" ht="24.95" customHeight="1" x14ac:dyDescent="0.25">
      <c r="A278" s="20" t="str">
        <f>'Grad Raw Data'!I140</f>
        <v>Enzo</v>
      </c>
      <c r="B278" s="20" t="str">
        <f>'Grad Raw Data'!K140</f>
        <v>George</v>
      </c>
      <c r="C278" s="20" t="str">
        <f>'Grad Raw Data'!H140</f>
        <v>Lalicata</v>
      </c>
      <c r="D278" s="44" t="str">
        <f>'Grad Raw Data'!D140</f>
        <v>LEFT</v>
      </c>
      <c r="E278" s="44">
        <f>'Grad Raw Data'!E140</f>
        <v>6</v>
      </c>
      <c r="G278">
        <v>278</v>
      </c>
      <c r="H278">
        <f t="shared" si="4"/>
        <v>140</v>
      </c>
    </row>
    <row r="279" spans="1:8" ht="24.95" customHeight="1" x14ac:dyDescent="0.25">
      <c r="A279" s="16" t="str">
        <f>'Grad Raw Data'!L140</f>
        <v>Enzo George Lahlicatah</v>
      </c>
      <c r="B279" s="20"/>
      <c r="C279" s="20"/>
      <c r="G279">
        <v>279</v>
      </c>
      <c r="H279" t="str">
        <f t="shared" si="4"/>
        <v/>
      </c>
    </row>
    <row r="280" spans="1:8" ht="24.95" customHeight="1" x14ac:dyDescent="0.25">
      <c r="A280" s="20" t="str">
        <f>'Grad Raw Data'!I141</f>
        <v>Jonathan</v>
      </c>
      <c r="B280" s="20" t="str">
        <f>'Grad Raw Data'!K141</f>
        <v/>
      </c>
      <c r="C280" s="20" t="str">
        <f>'Grad Raw Data'!H141</f>
        <v>Laurino</v>
      </c>
      <c r="D280" s="44" t="str">
        <f>'Grad Raw Data'!D141</f>
        <v>LEFT</v>
      </c>
      <c r="E280" s="44">
        <f>'Grad Raw Data'!E141</f>
        <v>6</v>
      </c>
      <c r="G280">
        <v>280</v>
      </c>
      <c r="H280">
        <f t="shared" si="4"/>
        <v>141</v>
      </c>
    </row>
    <row r="281" spans="1:8" ht="24.95" customHeight="1" x14ac:dyDescent="0.25">
      <c r="A281" s="16" t="str">
        <f>'Grad Raw Data'!L141</f>
        <v>Matthew La-Ree-No</v>
      </c>
      <c r="B281" s="20"/>
      <c r="C281" s="20"/>
      <c r="G281">
        <v>281</v>
      </c>
      <c r="H281" t="str">
        <f t="shared" si="4"/>
        <v/>
      </c>
    </row>
    <row r="282" spans="1:8" ht="24.95" customHeight="1" x14ac:dyDescent="0.25">
      <c r="A282" s="20" t="str">
        <f>'Grad Raw Data'!I142</f>
        <v>Matthew</v>
      </c>
      <c r="B282" s="20" t="str">
        <f>'Grad Raw Data'!K142</f>
        <v/>
      </c>
      <c r="C282" s="20" t="str">
        <f>'Grad Raw Data'!H142</f>
        <v>Laurino</v>
      </c>
      <c r="D282" s="44" t="str">
        <f>'Grad Raw Data'!D142</f>
        <v>LEFT</v>
      </c>
      <c r="E282" s="44">
        <f>'Grad Raw Data'!E142</f>
        <v>6</v>
      </c>
      <c r="G282">
        <v>282</v>
      </c>
      <c r="H282">
        <f t="shared" si="4"/>
        <v>142</v>
      </c>
    </row>
    <row r="283" spans="1:8" ht="24.95" customHeight="1" x14ac:dyDescent="0.25">
      <c r="A283" s="16" t="e">
        <f>'Grad Raw Data'!L142</f>
        <v>#REF!</v>
      </c>
      <c r="B283" s="20"/>
      <c r="C283" s="20"/>
      <c r="G283">
        <v>283</v>
      </c>
      <c r="H283" t="str">
        <f t="shared" si="4"/>
        <v/>
      </c>
    </row>
    <row r="284" spans="1:8" ht="24.95" customHeight="1" x14ac:dyDescent="0.25">
      <c r="A284" s="20" t="str">
        <f>'Grad Raw Data'!I143</f>
        <v>Asad</v>
      </c>
      <c r="B284" s="20" t="str">
        <f>'Grad Raw Data'!K143</f>
        <v/>
      </c>
      <c r="C284" s="20" t="str">
        <f>'Grad Raw Data'!H143</f>
        <v>Layne</v>
      </c>
      <c r="D284" s="44" t="str">
        <f>'Grad Raw Data'!D143</f>
        <v>LEFT</v>
      </c>
      <c r="E284" s="44">
        <f>'Grad Raw Data'!E143</f>
        <v>6</v>
      </c>
      <c r="G284">
        <v>284</v>
      </c>
      <c r="H284">
        <f t="shared" si="4"/>
        <v>143</v>
      </c>
    </row>
    <row r="285" spans="1:8" ht="24.95" customHeight="1" x14ac:dyDescent="0.25">
      <c r="A285" s="16" t="str">
        <f>'Grad Raw Data'!L143</f>
        <v>Uh-Sod</v>
      </c>
      <c r="B285" s="20"/>
      <c r="C285" s="20"/>
      <c r="G285">
        <v>285</v>
      </c>
      <c r="H285" t="str">
        <f t="shared" si="4"/>
        <v/>
      </c>
    </row>
    <row r="286" spans="1:8" ht="24.95" customHeight="1" x14ac:dyDescent="0.25">
      <c r="A286" s="20" t="str">
        <f>'Grad Raw Data'!I144</f>
        <v>Austin</v>
      </c>
      <c r="B286" s="20" t="str">
        <f>'Grad Raw Data'!K144</f>
        <v>James</v>
      </c>
      <c r="C286" s="20" t="str">
        <f>'Grad Raw Data'!H144</f>
        <v>Lee</v>
      </c>
      <c r="D286" s="44" t="str">
        <f>'Grad Raw Data'!D144</f>
        <v>LEFT</v>
      </c>
      <c r="E286" s="44">
        <f>'Grad Raw Data'!E144</f>
        <v>6</v>
      </c>
      <c r="G286">
        <v>286</v>
      </c>
      <c r="H286">
        <f t="shared" si="4"/>
        <v>144</v>
      </c>
    </row>
    <row r="287" spans="1:8" ht="24.95" customHeight="1" x14ac:dyDescent="0.25">
      <c r="A287" s="16">
        <f>'Grad Raw Data'!L144</f>
        <v>0</v>
      </c>
      <c r="B287" s="20"/>
      <c r="C287" s="20"/>
      <c r="G287">
        <v>287</v>
      </c>
      <c r="H287" t="str">
        <f t="shared" si="4"/>
        <v/>
      </c>
    </row>
    <row r="288" spans="1:8" ht="24.95" customHeight="1" x14ac:dyDescent="0.25">
      <c r="A288" s="20" t="str">
        <f>'Grad Raw Data'!I145</f>
        <v>Jonathan</v>
      </c>
      <c r="B288" s="20" t="str">
        <f>'Grad Raw Data'!K145</f>
        <v/>
      </c>
      <c r="C288" s="20" t="str">
        <f>'Grad Raw Data'!H145</f>
        <v>Lee</v>
      </c>
      <c r="D288" s="44" t="str">
        <f>'Grad Raw Data'!D145</f>
        <v>LEFT</v>
      </c>
      <c r="E288" s="44">
        <f>'Grad Raw Data'!E145</f>
        <v>6</v>
      </c>
      <c r="G288">
        <v>288</v>
      </c>
      <c r="H288">
        <f t="shared" si="4"/>
        <v>145</v>
      </c>
    </row>
    <row r="289" spans="1:8" ht="24.95" customHeight="1" x14ac:dyDescent="0.25">
      <c r="A289" s="16">
        <f>'Grad Raw Data'!L145</f>
        <v>0</v>
      </c>
      <c r="B289" s="20"/>
      <c r="C289" s="20"/>
      <c r="G289">
        <v>289</v>
      </c>
      <c r="H289" t="str">
        <f t="shared" si="4"/>
        <v/>
      </c>
    </row>
    <row r="290" spans="1:8" ht="24.95" customHeight="1" x14ac:dyDescent="0.25">
      <c r="A290" s="20" t="str">
        <f>'Grad Raw Data'!I146</f>
        <v>Desmond</v>
      </c>
      <c r="B290" s="20" t="str">
        <f>'Grad Raw Data'!K146</f>
        <v/>
      </c>
      <c r="C290" s="20" t="str">
        <f>'Grad Raw Data'!H146</f>
        <v>Lethin</v>
      </c>
      <c r="D290" s="44" t="str">
        <f>'Grad Raw Data'!D146</f>
        <v>LEFT</v>
      </c>
      <c r="E290" s="44">
        <f>'Grad Raw Data'!E146</f>
        <v>6</v>
      </c>
      <c r="G290">
        <v>290</v>
      </c>
      <c r="H290">
        <f t="shared" si="4"/>
        <v>146</v>
      </c>
    </row>
    <row r="291" spans="1:8" ht="24.95" customHeight="1" x14ac:dyDescent="0.25">
      <c r="A291" s="16">
        <f>'Grad Raw Data'!L146</f>
        <v>0</v>
      </c>
      <c r="B291" s="20"/>
      <c r="C291" s="20"/>
      <c r="G291">
        <v>291</v>
      </c>
      <c r="H291" t="str">
        <f t="shared" si="4"/>
        <v/>
      </c>
    </row>
    <row r="292" spans="1:8" ht="24.95" customHeight="1" x14ac:dyDescent="0.25">
      <c r="A292" s="20" t="str">
        <f>'Grad Raw Data'!I147</f>
        <v>Katie</v>
      </c>
      <c r="B292" s="20" t="str">
        <f>'Grad Raw Data'!K147</f>
        <v/>
      </c>
      <c r="C292" s="20" t="str">
        <f>'Grad Raw Data'!H147</f>
        <v>Lewis</v>
      </c>
      <c r="D292" s="44" t="str">
        <f>'Grad Raw Data'!D147</f>
        <v>LEFT</v>
      </c>
      <c r="E292" s="44">
        <f>'Grad Raw Data'!E147</f>
        <v>6</v>
      </c>
      <c r="G292">
        <v>292</v>
      </c>
      <c r="H292">
        <f t="shared" si="4"/>
        <v>147</v>
      </c>
    </row>
    <row r="293" spans="1:8" ht="24.95" customHeight="1" x14ac:dyDescent="0.25">
      <c r="A293" s="16">
        <f>'Grad Raw Data'!L147</f>
        <v>0</v>
      </c>
      <c r="B293" s="20"/>
      <c r="C293" s="20"/>
      <c r="G293">
        <v>293</v>
      </c>
      <c r="H293" t="str">
        <f t="shared" si="4"/>
        <v/>
      </c>
    </row>
    <row r="294" spans="1:8" ht="24.95" customHeight="1" x14ac:dyDescent="0.25">
      <c r="A294" s="20" t="str">
        <f>'Grad Raw Data'!I148</f>
        <v>Isabelle</v>
      </c>
      <c r="B294" s="20" t="str">
        <f>'Grad Raw Data'!K148</f>
        <v/>
      </c>
      <c r="C294" s="20" t="str">
        <f>'Grad Raw Data'!H148</f>
        <v>Lightbody</v>
      </c>
      <c r="D294" s="44" t="str">
        <f>'Grad Raw Data'!D148</f>
        <v>LEFT</v>
      </c>
      <c r="E294" s="44">
        <f>'Grad Raw Data'!E148</f>
        <v>6</v>
      </c>
      <c r="G294">
        <v>294</v>
      </c>
      <c r="H294">
        <f t="shared" si="4"/>
        <v>148</v>
      </c>
    </row>
    <row r="295" spans="1:8" ht="24.95" customHeight="1" x14ac:dyDescent="0.25">
      <c r="A295" s="16">
        <f>'Grad Raw Data'!L148</f>
        <v>0</v>
      </c>
      <c r="B295" s="20"/>
      <c r="C295" s="20"/>
      <c r="G295">
        <v>295</v>
      </c>
      <c r="H295" t="str">
        <f t="shared" si="4"/>
        <v/>
      </c>
    </row>
    <row r="296" spans="1:8" ht="24.95" customHeight="1" x14ac:dyDescent="0.25">
      <c r="A296" s="20" t="str">
        <f>'Grad Raw Data'!I149</f>
        <v>Steven</v>
      </c>
      <c r="B296" s="20" t="str">
        <f>'Grad Raw Data'!K149</f>
        <v/>
      </c>
      <c r="C296" s="20" t="str">
        <f>'Grad Raw Data'!H149</f>
        <v>Lin</v>
      </c>
      <c r="D296" s="44" t="str">
        <f>'Grad Raw Data'!D149</f>
        <v>LEFT</v>
      </c>
      <c r="E296" s="44">
        <f>'Grad Raw Data'!E149</f>
        <v>6</v>
      </c>
      <c r="G296">
        <v>296</v>
      </c>
      <c r="H296">
        <f t="shared" si="4"/>
        <v>149</v>
      </c>
    </row>
    <row r="297" spans="1:8" ht="24.95" customHeight="1" x14ac:dyDescent="0.25">
      <c r="A297" s="16">
        <f>'Grad Raw Data'!L149</f>
        <v>0</v>
      </c>
      <c r="B297" s="20"/>
      <c r="C297" s="20"/>
      <c r="G297">
        <v>297</v>
      </c>
      <c r="H297" t="str">
        <f t="shared" si="4"/>
        <v/>
      </c>
    </row>
    <row r="298" spans="1:8" ht="24.95" customHeight="1" x14ac:dyDescent="0.25">
      <c r="A298" s="20" t="str">
        <f>'Grad Raw Data'!I150</f>
        <v>Zackary</v>
      </c>
      <c r="B298" s="20" t="str">
        <f>'Grad Raw Data'!K150</f>
        <v/>
      </c>
      <c r="C298" s="20" t="str">
        <f>'Grad Raw Data'!H150</f>
        <v>Lizotte</v>
      </c>
      <c r="D298" s="44" t="str">
        <f>'Grad Raw Data'!D150</f>
        <v>LEFT</v>
      </c>
      <c r="E298" s="44">
        <f>'Grad Raw Data'!E150</f>
        <v>6</v>
      </c>
      <c r="G298">
        <v>298</v>
      </c>
      <c r="H298">
        <f t="shared" si="4"/>
        <v>150</v>
      </c>
    </row>
    <row r="299" spans="1:8" ht="24.95" customHeight="1" x14ac:dyDescent="0.25">
      <c r="A299" s="16" t="str">
        <f>'Grad Raw Data'!L150</f>
        <v>Liz-ought</v>
      </c>
      <c r="B299" s="20"/>
      <c r="C299" s="20"/>
      <c r="G299">
        <v>299</v>
      </c>
      <c r="H299" t="str">
        <f t="shared" si="4"/>
        <v/>
      </c>
    </row>
    <row r="300" spans="1:8" ht="24.95" customHeight="1" x14ac:dyDescent="0.25">
      <c r="A300" s="20" t="str">
        <f>'Grad Raw Data'!I151</f>
        <v>Isla</v>
      </c>
      <c r="B300" s="20" t="str">
        <f>'Grad Raw Data'!K151</f>
        <v/>
      </c>
      <c r="C300" s="20" t="str">
        <f>'Grad Raw Data'!H151</f>
        <v>Lusk</v>
      </c>
      <c r="D300" s="44" t="str">
        <f>'Grad Raw Data'!D151</f>
        <v>RIGHT</v>
      </c>
      <c r="E300" s="44">
        <f>'Grad Raw Data'!E151</f>
        <v>7</v>
      </c>
      <c r="G300">
        <v>300</v>
      </c>
      <c r="H300">
        <f t="shared" si="4"/>
        <v>151</v>
      </c>
    </row>
    <row r="301" spans="1:8" ht="24.95" customHeight="1" x14ac:dyDescent="0.25">
      <c r="A301" s="16" t="str">
        <f>'Grad Raw Data'!L151</f>
        <v>eye-la</v>
      </c>
      <c r="B301" s="20"/>
      <c r="C301" s="20"/>
      <c r="G301">
        <v>301</v>
      </c>
      <c r="H301" t="str">
        <f t="shared" si="4"/>
        <v/>
      </c>
    </row>
    <row r="302" spans="1:8" ht="24.95" customHeight="1" x14ac:dyDescent="0.25">
      <c r="A302" s="20" t="str">
        <f>'Grad Raw Data'!I152</f>
        <v>Lilyana</v>
      </c>
      <c r="B302" s="20" t="str">
        <f>'Grad Raw Data'!K152</f>
        <v/>
      </c>
      <c r="C302" s="20" t="str">
        <f>'Grad Raw Data'!H152</f>
        <v>Madden</v>
      </c>
      <c r="D302" s="44" t="str">
        <f>'Grad Raw Data'!D152</f>
        <v>RIGHT</v>
      </c>
      <c r="E302" s="44">
        <f>'Grad Raw Data'!E152</f>
        <v>7</v>
      </c>
      <c r="G302">
        <v>302</v>
      </c>
      <c r="H302">
        <f t="shared" si="4"/>
        <v>152</v>
      </c>
    </row>
    <row r="303" spans="1:8" ht="24.95" customHeight="1" x14ac:dyDescent="0.25">
      <c r="A303" s="16">
        <f>'Grad Raw Data'!L152</f>
        <v>0</v>
      </c>
      <c r="B303" s="20"/>
      <c r="C303" s="20"/>
      <c r="G303">
        <v>303</v>
      </c>
      <c r="H303" t="str">
        <f t="shared" si="4"/>
        <v/>
      </c>
    </row>
    <row r="304" spans="1:8" ht="24.95" customHeight="1" x14ac:dyDescent="0.25">
      <c r="A304" s="20" t="str">
        <f>'Grad Raw Data'!I153</f>
        <v>Rosalia</v>
      </c>
      <c r="B304" s="20" t="str">
        <f>'Grad Raw Data'!K153</f>
        <v/>
      </c>
      <c r="C304" s="20" t="str">
        <f>'Grad Raw Data'!H153</f>
        <v>Maganzini</v>
      </c>
      <c r="D304" s="44" t="str">
        <f>'Grad Raw Data'!D153</f>
        <v>RIGHT</v>
      </c>
      <c r="E304" s="44">
        <f>'Grad Raw Data'!E153</f>
        <v>7</v>
      </c>
      <c r="G304">
        <v>304</v>
      </c>
      <c r="H304">
        <f t="shared" si="4"/>
        <v>153</v>
      </c>
    </row>
    <row r="305" spans="1:8" ht="24.95" customHeight="1" x14ac:dyDescent="0.25">
      <c r="A305" s="16" t="str">
        <f>'Grad Raw Data'!L153</f>
        <v>Rose uh Leah - Mag An Zee Knee</v>
      </c>
      <c r="B305" s="20"/>
      <c r="C305" s="20"/>
      <c r="G305">
        <v>305</v>
      </c>
      <c r="H305" t="str">
        <f t="shared" si="4"/>
        <v/>
      </c>
    </row>
    <row r="306" spans="1:8" ht="24.95" customHeight="1" x14ac:dyDescent="0.25">
      <c r="A306" s="20" t="str">
        <f>'Grad Raw Data'!I154</f>
        <v>Trent</v>
      </c>
      <c r="B306" s="20" t="str">
        <f>'Grad Raw Data'!K154</f>
        <v>Joseph</v>
      </c>
      <c r="C306" s="20" t="str">
        <f>'Grad Raw Data'!H154</f>
        <v>Maganzini</v>
      </c>
      <c r="D306" s="44" t="str">
        <f>'Grad Raw Data'!D154</f>
        <v>RIGHT</v>
      </c>
      <c r="E306" s="44">
        <f>'Grad Raw Data'!E154</f>
        <v>7</v>
      </c>
      <c r="G306">
        <v>306</v>
      </c>
      <c r="H306">
        <f t="shared" si="4"/>
        <v>154</v>
      </c>
    </row>
    <row r="307" spans="1:8" ht="24.95" customHeight="1" x14ac:dyDescent="0.25">
      <c r="A307" s="16">
        <f>'Grad Raw Data'!L154</f>
        <v>0</v>
      </c>
      <c r="B307" s="20"/>
      <c r="C307" s="20"/>
      <c r="G307">
        <v>307</v>
      </c>
      <c r="H307" t="str">
        <f t="shared" si="4"/>
        <v/>
      </c>
    </row>
    <row r="308" spans="1:8" ht="24.95" customHeight="1" x14ac:dyDescent="0.25">
      <c r="A308" s="20" t="str">
        <f>'Grad Raw Data'!I155</f>
        <v>Emma</v>
      </c>
      <c r="B308" s="20" t="str">
        <f>'Grad Raw Data'!K155</f>
        <v/>
      </c>
      <c r="C308" s="20" t="str">
        <f>'Grad Raw Data'!H155</f>
        <v>Mahoney</v>
      </c>
      <c r="D308" s="44" t="str">
        <f>'Grad Raw Data'!D155</f>
        <v>RIGHT</v>
      </c>
      <c r="E308" s="44">
        <f>'Grad Raw Data'!E155</f>
        <v>7</v>
      </c>
      <c r="G308">
        <v>308</v>
      </c>
      <c r="H308">
        <f t="shared" si="4"/>
        <v>155</v>
      </c>
    </row>
    <row r="309" spans="1:8" ht="24.95" customHeight="1" x14ac:dyDescent="0.25">
      <c r="A309" s="16">
        <f>'Grad Raw Data'!L155</f>
        <v>0</v>
      </c>
      <c r="B309" s="20"/>
      <c r="C309" s="20"/>
      <c r="G309">
        <v>309</v>
      </c>
      <c r="H309" t="str">
        <f t="shared" si="4"/>
        <v/>
      </c>
    </row>
    <row r="310" spans="1:8" ht="24.95" customHeight="1" x14ac:dyDescent="0.25">
      <c r="A310" s="20" t="str">
        <f>'Grad Raw Data'!I156</f>
        <v>Charles</v>
      </c>
      <c r="B310" s="20" t="str">
        <f>'Grad Raw Data'!K156</f>
        <v/>
      </c>
      <c r="C310" s="20" t="str">
        <f>'Grad Raw Data'!H156</f>
        <v>Maness</v>
      </c>
      <c r="D310" s="44" t="str">
        <f>'Grad Raw Data'!D156</f>
        <v>RIGHT</v>
      </c>
      <c r="E310" s="44">
        <f>'Grad Raw Data'!E156</f>
        <v>7</v>
      </c>
      <c r="G310">
        <v>310</v>
      </c>
      <c r="H310">
        <f t="shared" si="4"/>
        <v>156</v>
      </c>
    </row>
    <row r="311" spans="1:8" ht="24.95" customHeight="1" x14ac:dyDescent="0.25">
      <c r="A311" s="16" t="str">
        <f>'Grad Raw Data'!L156</f>
        <v>May-ness</v>
      </c>
      <c r="B311" s="20"/>
      <c r="C311" s="20"/>
      <c r="G311">
        <v>311</v>
      </c>
      <c r="H311" t="str">
        <f t="shared" si="4"/>
        <v/>
      </c>
    </row>
    <row r="312" spans="1:8" ht="24.95" customHeight="1" x14ac:dyDescent="0.25">
      <c r="A312" s="20" t="str">
        <f>'Grad Raw Data'!I157</f>
        <v>Evan</v>
      </c>
      <c r="B312" s="20" t="str">
        <f>'Grad Raw Data'!K157</f>
        <v/>
      </c>
      <c r="C312" s="20" t="str">
        <f>'Grad Raw Data'!H157</f>
        <v>Manfredi</v>
      </c>
      <c r="D312" s="44" t="str">
        <f>'Grad Raw Data'!D157</f>
        <v>RIGHT</v>
      </c>
      <c r="E312" s="44">
        <f>'Grad Raw Data'!E157</f>
        <v>7</v>
      </c>
      <c r="G312">
        <v>312</v>
      </c>
      <c r="H312">
        <f t="shared" si="4"/>
        <v>157</v>
      </c>
    </row>
    <row r="313" spans="1:8" ht="24.95" customHeight="1" x14ac:dyDescent="0.25">
      <c r="A313" s="16">
        <f>'Grad Raw Data'!L157</f>
        <v>0</v>
      </c>
      <c r="B313" s="20"/>
      <c r="C313" s="20"/>
      <c r="G313">
        <v>313</v>
      </c>
      <c r="H313" t="str">
        <f t="shared" si="4"/>
        <v/>
      </c>
    </row>
    <row r="314" spans="1:8" ht="24.95" customHeight="1" x14ac:dyDescent="0.25">
      <c r="A314" s="20" t="str">
        <f>'Grad Raw Data'!I158</f>
        <v>Syler</v>
      </c>
      <c r="B314" s="20" t="str">
        <f>'Grad Raw Data'!K158</f>
        <v/>
      </c>
      <c r="C314" s="20" t="str">
        <f>'Grad Raw Data'!H158</f>
        <v>Manning</v>
      </c>
      <c r="D314" s="44" t="str">
        <f>'Grad Raw Data'!D158</f>
        <v>RIGHT</v>
      </c>
      <c r="E314" s="44">
        <f>'Grad Raw Data'!E158</f>
        <v>7</v>
      </c>
      <c r="G314">
        <v>314</v>
      </c>
      <c r="H314">
        <f t="shared" si="4"/>
        <v>158</v>
      </c>
    </row>
    <row r="315" spans="1:8" ht="24.95" customHeight="1" x14ac:dyDescent="0.25">
      <c r="A315" s="16">
        <f>'Grad Raw Data'!L158</f>
        <v>0</v>
      </c>
      <c r="B315" s="20"/>
      <c r="C315" s="20"/>
      <c r="G315">
        <v>315</v>
      </c>
      <c r="H315" t="str">
        <f t="shared" si="4"/>
        <v/>
      </c>
    </row>
    <row r="316" spans="1:8" ht="24.95" customHeight="1" x14ac:dyDescent="0.25">
      <c r="A316" s="20" t="str">
        <f>'Grad Raw Data'!I159</f>
        <v>Tyler</v>
      </c>
      <c r="B316" s="20" t="str">
        <f>'Grad Raw Data'!K159</f>
        <v/>
      </c>
      <c r="C316" s="20" t="str">
        <f>'Grad Raw Data'!H159</f>
        <v>Marchlik</v>
      </c>
      <c r="D316" s="44" t="str">
        <f>'Grad Raw Data'!D159</f>
        <v>RIGHT</v>
      </c>
      <c r="E316" s="44">
        <f>'Grad Raw Data'!E159</f>
        <v>7</v>
      </c>
      <c r="G316">
        <v>316</v>
      </c>
      <c r="H316">
        <f t="shared" si="4"/>
        <v>159</v>
      </c>
    </row>
    <row r="317" spans="1:8" ht="24.95" customHeight="1" x14ac:dyDescent="0.25">
      <c r="A317" s="16" t="str">
        <f>'Grad Raw Data'!L159</f>
        <v>Tyler Marchlik</v>
      </c>
      <c r="B317" s="20"/>
      <c r="C317" s="20"/>
      <c r="G317">
        <v>317</v>
      </c>
      <c r="H317" t="str">
        <f t="shared" si="4"/>
        <v/>
      </c>
    </row>
    <row r="318" spans="1:8" ht="24.95" customHeight="1" x14ac:dyDescent="0.25">
      <c r="A318" s="20" t="str">
        <f>'Grad Raw Data'!I160</f>
        <v>Addyson</v>
      </c>
      <c r="B318" s="20" t="str">
        <f>'Grad Raw Data'!K160</f>
        <v>Collette</v>
      </c>
      <c r="C318" s="20" t="str">
        <f>'Grad Raw Data'!H160</f>
        <v>Mathews</v>
      </c>
      <c r="D318" s="44" t="str">
        <f>'Grad Raw Data'!D160</f>
        <v>RIGHT</v>
      </c>
      <c r="E318" s="44">
        <f>'Grad Raw Data'!E160</f>
        <v>7</v>
      </c>
      <c r="G318">
        <v>318</v>
      </c>
      <c r="H318">
        <f t="shared" si="4"/>
        <v>160</v>
      </c>
    </row>
    <row r="319" spans="1:8" ht="24.95" customHeight="1" x14ac:dyDescent="0.25">
      <c r="A319" s="16">
        <f>'Grad Raw Data'!L160</f>
        <v>0</v>
      </c>
      <c r="B319" s="20"/>
      <c r="C319" s="20"/>
      <c r="G319">
        <v>319</v>
      </c>
      <c r="H319" t="str">
        <f t="shared" si="4"/>
        <v/>
      </c>
    </row>
    <row r="320" spans="1:8" ht="24.95" customHeight="1" x14ac:dyDescent="0.25">
      <c r="A320" s="20" t="str">
        <f>'Grad Raw Data'!I161</f>
        <v>Charlie</v>
      </c>
      <c r="B320" s="20" t="str">
        <f>'Grad Raw Data'!K161</f>
        <v/>
      </c>
      <c r="C320" s="20" t="str">
        <f>'Grad Raw Data'!H161</f>
        <v>May</v>
      </c>
      <c r="D320" s="44" t="str">
        <f>'Grad Raw Data'!D161</f>
        <v>RIGHT</v>
      </c>
      <c r="E320" s="44">
        <f>'Grad Raw Data'!E161</f>
        <v>7</v>
      </c>
      <c r="G320">
        <v>320</v>
      </c>
      <c r="H320">
        <f t="shared" si="4"/>
        <v>161</v>
      </c>
    </row>
    <row r="321" spans="1:8" ht="24.95" customHeight="1" x14ac:dyDescent="0.25">
      <c r="A321" s="16">
        <f>'Grad Raw Data'!L161</f>
        <v>0</v>
      </c>
      <c r="B321" s="20"/>
      <c r="C321" s="20"/>
      <c r="G321">
        <v>321</v>
      </c>
      <c r="H321" t="str">
        <f t="shared" si="4"/>
        <v/>
      </c>
    </row>
    <row r="322" spans="1:8" ht="24.95" customHeight="1" x14ac:dyDescent="0.25">
      <c r="A322" s="20" t="str">
        <f>'Grad Raw Data'!I162</f>
        <v>Caleb</v>
      </c>
      <c r="B322" s="20" t="str">
        <f>'Grad Raw Data'!K162</f>
        <v/>
      </c>
      <c r="C322" s="20" t="str">
        <f>'Grad Raw Data'!H162</f>
        <v>McGonagle</v>
      </c>
      <c r="D322" s="44" t="str">
        <f>'Grad Raw Data'!D162</f>
        <v>RIGHT</v>
      </c>
      <c r="E322" s="44">
        <f>'Grad Raw Data'!E162</f>
        <v>7</v>
      </c>
      <c r="G322">
        <v>322</v>
      </c>
      <c r="H322">
        <f t="shared" si="4"/>
        <v>162</v>
      </c>
    </row>
    <row r="323" spans="1:8" ht="24.95" customHeight="1" x14ac:dyDescent="0.25">
      <c r="A323" s="16">
        <f>'Grad Raw Data'!L162</f>
        <v>0</v>
      </c>
      <c r="B323" s="20"/>
      <c r="C323" s="20"/>
      <c r="G323">
        <v>323</v>
      </c>
      <c r="H323" t="str">
        <f t="shared" ref="H323:H386" si="5">IF(MOD((G323+2)/1,2)=0,(G323/2+1),"")</f>
        <v/>
      </c>
    </row>
    <row r="324" spans="1:8" ht="24.95" customHeight="1" x14ac:dyDescent="0.25">
      <c r="A324" s="20" t="str">
        <f>'Grad Raw Data'!I163</f>
        <v>Makenna</v>
      </c>
      <c r="B324" s="20" t="str">
        <f>'Grad Raw Data'!K163</f>
        <v/>
      </c>
      <c r="C324" s="20" t="str">
        <f>'Grad Raw Data'!H163</f>
        <v>McGrath</v>
      </c>
      <c r="D324" s="44" t="str">
        <f>'Grad Raw Data'!D163</f>
        <v>LEFT</v>
      </c>
      <c r="E324" s="44">
        <f>'Grad Raw Data'!E163</f>
        <v>7</v>
      </c>
      <c r="G324">
        <v>324</v>
      </c>
      <c r="H324">
        <f t="shared" si="5"/>
        <v>163</v>
      </c>
    </row>
    <row r="325" spans="1:8" ht="24.95" customHeight="1" x14ac:dyDescent="0.25">
      <c r="A325" s="16" t="str">
        <f>'Grad Raw Data'!L153</f>
        <v>Rose uh Leah - Mag An Zee Knee</v>
      </c>
      <c r="B325" s="20"/>
      <c r="C325" s="20"/>
      <c r="G325">
        <v>325</v>
      </c>
      <c r="H325" t="str">
        <f t="shared" si="5"/>
        <v/>
      </c>
    </row>
    <row r="326" spans="1:8" ht="24.95" customHeight="1" x14ac:dyDescent="0.25">
      <c r="A326" s="20" t="str">
        <f>'Grad Raw Data'!I164</f>
        <v>Zoe</v>
      </c>
      <c r="B326" s="20" t="str">
        <f>'Grad Raw Data'!K164</f>
        <v/>
      </c>
      <c r="C326" s="20" t="str">
        <f>'Grad Raw Data'!H164</f>
        <v>McLaughlin-Shostak</v>
      </c>
      <c r="D326" s="44" t="str">
        <f>'Grad Raw Data'!D164</f>
        <v>LEFT</v>
      </c>
      <c r="E326" s="44">
        <f>'Grad Raw Data'!E164</f>
        <v>7</v>
      </c>
      <c r="G326">
        <v>326</v>
      </c>
      <c r="H326">
        <f t="shared" si="5"/>
        <v>164</v>
      </c>
    </row>
    <row r="327" spans="1:8" ht="24.95" customHeight="1" x14ac:dyDescent="0.25">
      <c r="A327" s="16" t="str">
        <f>'Grad Raw Data'!L164</f>
        <v>Zo-Ee Mick-Glock-Linn Show-Stack</v>
      </c>
      <c r="B327" s="20"/>
      <c r="C327" s="20"/>
      <c r="G327">
        <v>327</v>
      </c>
      <c r="H327" t="str">
        <f t="shared" si="5"/>
        <v/>
      </c>
    </row>
    <row r="328" spans="1:8" ht="24.95" customHeight="1" x14ac:dyDescent="0.25">
      <c r="A328" s="20" t="str">
        <f>'Grad Raw Data'!I165</f>
        <v>Ella</v>
      </c>
      <c r="B328" s="20" t="str">
        <f>'Grad Raw Data'!K165</f>
        <v/>
      </c>
      <c r="C328" s="20" t="str">
        <f>'Grad Raw Data'!H165</f>
        <v>McMenimen</v>
      </c>
      <c r="D328" s="44" t="str">
        <f>'Grad Raw Data'!D165</f>
        <v>LEFT</v>
      </c>
      <c r="E328" s="44">
        <f>'Grad Raw Data'!E165</f>
        <v>7</v>
      </c>
      <c r="G328">
        <v>328</v>
      </c>
      <c r="H328">
        <f t="shared" si="5"/>
        <v>165</v>
      </c>
    </row>
    <row r="329" spans="1:8" ht="24.95" customHeight="1" x14ac:dyDescent="0.25">
      <c r="A329" s="16" t="str">
        <f>'Grad Raw Data'!L165</f>
        <v xml:space="preserve">mick - men - o - men </v>
      </c>
      <c r="B329" s="20"/>
      <c r="C329" s="20"/>
      <c r="G329">
        <v>329</v>
      </c>
      <c r="H329" t="str">
        <f t="shared" si="5"/>
        <v/>
      </c>
    </row>
    <row r="330" spans="1:8" ht="24.95" customHeight="1" x14ac:dyDescent="0.25">
      <c r="A330" s="20" t="str">
        <f>'Grad Raw Data'!I166</f>
        <v>Jack</v>
      </c>
      <c r="B330" s="20" t="str">
        <f>'Grad Raw Data'!K166</f>
        <v/>
      </c>
      <c r="C330" s="20" t="str">
        <f>'Grad Raw Data'!H166</f>
        <v>Melly</v>
      </c>
      <c r="D330" s="44" t="str">
        <f>'Grad Raw Data'!D166</f>
        <v>LEFT</v>
      </c>
      <c r="E330" s="44">
        <f>'Grad Raw Data'!E166</f>
        <v>7</v>
      </c>
      <c r="G330">
        <v>330</v>
      </c>
      <c r="H330">
        <f t="shared" si="5"/>
        <v>166</v>
      </c>
    </row>
    <row r="331" spans="1:8" ht="24.95" customHeight="1" x14ac:dyDescent="0.25">
      <c r="A331" s="16">
        <f>'Grad Raw Data'!L166</f>
        <v>0</v>
      </c>
      <c r="B331" s="20"/>
      <c r="C331" s="20"/>
      <c r="G331">
        <v>331</v>
      </c>
      <c r="H331" t="str">
        <f t="shared" si="5"/>
        <v/>
      </c>
    </row>
    <row r="332" spans="1:8" ht="24.95" customHeight="1" x14ac:dyDescent="0.25">
      <c r="A332" s="20" t="str">
        <f>'Grad Raw Data'!I167</f>
        <v>Alex</v>
      </c>
      <c r="B332" s="20" t="str">
        <f>'Grad Raw Data'!K167</f>
        <v/>
      </c>
      <c r="C332" s="20" t="str">
        <f>'Grad Raw Data'!H167</f>
        <v>Merkle</v>
      </c>
      <c r="D332" s="44" t="str">
        <f>'Grad Raw Data'!D167</f>
        <v>LEFT</v>
      </c>
      <c r="E332" s="44">
        <f>'Grad Raw Data'!E167</f>
        <v>7</v>
      </c>
      <c r="G332">
        <v>332</v>
      </c>
      <c r="H332">
        <f t="shared" si="5"/>
        <v>167</v>
      </c>
    </row>
    <row r="333" spans="1:8" ht="24.95" customHeight="1" x14ac:dyDescent="0.25">
      <c r="A333" s="16">
        <f>'Grad Raw Data'!L167</f>
        <v>0</v>
      </c>
      <c r="B333" s="20"/>
      <c r="C333" s="20"/>
      <c r="G333">
        <v>333</v>
      </c>
      <c r="H333" t="str">
        <f t="shared" si="5"/>
        <v/>
      </c>
    </row>
    <row r="334" spans="1:8" ht="24.95" customHeight="1" x14ac:dyDescent="0.25">
      <c r="A334" s="20" t="str">
        <f>'Grad Raw Data'!I168</f>
        <v>Will</v>
      </c>
      <c r="B334" s="20" t="str">
        <f>'Grad Raw Data'!K168</f>
        <v/>
      </c>
      <c r="C334" s="20" t="str">
        <f>'Grad Raw Data'!H168</f>
        <v>Merkle</v>
      </c>
      <c r="D334" s="44" t="str">
        <f>'Grad Raw Data'!D168</f>
        <v>LEFT</v>
      </c>
      <c r="E334" s="44">
        <f>'Grad Raw Data'!E168</f>
        <v>7</v>
      </c>
      <c r="G334">
        <v>334</v>
      </c>
      <c r="H334">
        <f t="shared" si="5"/>
        <v>168</v>
      </c>
    </row>
    <row r="335" spans="1:8" ht="24.95" customHeight="1" x14ac:dyDescent="0.25">
      <c r="A335" s="16">
        <f>'Grad Raw Data'!L168</f>
        <v>0</v>
      </c>
      <c r="B335" s="20"/>
      <c r="C335" s="20"/>
      <c r="G335">
        <v>335</v>
      </c>
      <c r="H335" t="str">
        <f t="shared" si="5"/>
        <v/>
      </c>
    </row>
    <row r="336" spans="1:8" ht="24.95" customHeight="1" x14ac:dyDescent="0.25">
      <c r="A336" s="20" t="str">
        <f>'Grad Raw Data'!I169</f>
        <v>Gianna</v>
      </c>
      <c r="B336" s="20" t="str">
        <f>'Grad Raw Data'!K169</f>
        <v/>
      </c>
      <c r="C336" s="20" t="str">
        <f>'Grad Raw Data'!H169</f>
        <v>Miceli</v>
      </c>
      <c r="D336" s="44" t="str">
        <f>'Grad Raw Data'!D169</f>
        <v>LEFT</v>
      </c>
      <c r="E336" s="44">
        <f>'Grad Raw Data'!E169</f>
        <v>7</v>
      </c>
      <c r="G336">
        <v>336</v>
      </c>
      <c r="H336">
        <f t="shared" si="5"/>
        <v>169</v>
      </c>
    </row>
    <row r="337" spans="1:8" ht="24.95" customHeight="1" x14ac:dyDescent="0.25">
      <c r="A337" s="16" t="str">
        <f>'Grad Raw Data'!L169</f>
        <v>Mi-tch-elli</v>
      </c>
      <c r="B337" s="20"/>
      <c r="C337" s="20"/>
      <c r="G337">
        <v>337</v>
      </c>
      <c r="H337" t="str">
        <f t="shared" si="5"/>
        <v/>
      </c>
    </row>
    <row r="338" spans="1:8" ht="24.95" customHeight="1" x14ac:dyDescent="0.25">
      <c r="A338" s="20" t="str">
        <f>'Grad Raw Data'!I170</f>
        <v>Karmani</v>
      </c>
      <c r="B338" s="20" t="str">
        <f>'Grad Raw Data'!K170</f>
        <v>Isaiah</v>
      </c>
      <c r="C338" s="20" t="str">
        <f>'Grad Raw Data'!H170</f>
        <v>Mirville</v>
      </c>
      <c r="D338" s="44" t="str">
        <f>'Grad Raw Data'!D170</f>
        <v>LEFT</v>
      </c>
      <c r="E338" s="44">
        <f>'Grad Raw Data'!E170</f>
        <v>7</v>
      </c>
      <c r="G338">
        <v>338</v>
      </c>
      <c r="H338">
        <f t="shared" si="5"/>
        <v>170</v>
      </c>
    </row>
    <row r="339" spans="1:8" ht="24.95" customHeight="1" x14ac:dyDescent="0.25">
      <c r="A339" s="16">
        <f>'Grad Raw Data'!L170</f>
        <v>0</v>
      </c>
      <c r="B339" s="20"/>
      <c r="C339" s="20"/>
      <c r="G339">
        <v>339</v>
      </c>
      <c r="H339" t="str">
        <f t="shared" si="5"/>
        <v/>
      </c>
    </row>
    <row r="340" spans="1:8" ht="24.95" customHeight="1" x14ac:dyDescent="0.25">
      <c r="A340" s="20" t="str">
        <f>'Grad Raw Data'!I171</f>
        <v>Mason</v>
      </c>
      <c r="B340" s="20" t="str">
        <f>'Grad Raw Data'!K171</f>
        <v>Buddy</v>
      </c>
      <c r="C340" s="20" t="str">
        <f>'Grad Raw Data'!H171</f>
        <v>Moll</v>
      </c>
      <c r="D340" s="44" t="str">
        <f>'Grad Raw Data'!D171</f>
        <v>LEFT</v>
      </c>
      <c r="E340" s="44">
        <f>'Grad Raw Data'!E171</f>
        <v>7</v>
      </c>
      <c r="G340">
        <v>340</v>
      </c>
      <c r="H340">
        <f t="shared" si="5"/>
        <v>171</v>
      </c>
    </row>
    <row r="341" spans="1:8" ht="24.95" customHeight="1" x14ac:dyDescent="0.25">
      <c r="A341" s="16">
        <f>'Grad Raw Data'!L171</f>
        <v>0</v>
      </c>
      <c r="B341" s="20"/>
      <c r="C341" s="20"/>
      <c r="G341">
        <v>341</v>
      </c>
      <c r="H341" t="str">
        <f t="shared" si="5"/>
        <v/>
      </c>
    </row>
    <row r="342" spans="1:8" ht="24.95" customHeight="1" x14ac:dyDescent="0.25">
      <c r="A342" s="20" t="str">
        <f>'Grad Raw Data'!I172</f>
        <v>Marcus</v>
      </c>
      <c r="B342" s="20" t="str">
        <f>'Grad Raw Data'!K172</f>
        <v/>
      </c>
      <c r="C342" s="20" t="str">
        <f>'Grad Raw Data'!H172</f>
        <v>Moller</v>
      </c>
      <c r="D342" s="44" t="str">
        <f>'Grad Raw Data'!D172</f>
        <v>LEFT</v>
      </c>
      <c r="E342" s="44">
        <f>'Grad Raw Data'!E172</f>
        <v>7</v>
      </c>
      <c r="G342">
        <v>342</v>
      </c>
      <c r="H342">
        <f t="shared" si="5"/>
        <v>172</v>
      </c>
    </row>
    <row r="343" spans="1:8" ht="24.95" customHeight="1" x14ac:dyDescent="0.25">
      <c r="A343" s="16" t="str">
        <f>'Grad Raw Data'!L172</f>
        <v>Mole - er</v>
      </c>
      <c r="B343" s="20"/>
      <c r="C343" s="20"/>
      <c r="G343">
        <v>343</v>
      </c>
      <c r="H343" t="str">
        <f t="shared" si="5"/>
        <v/>
      </c>
    </row>
    <row r="344" spans="1:8" ht="24.95" customHeight="1" x14ac:dyDescent="0.25">
      <c r="A344" s="20" t="str">
        <f>'Grad Raw Data'!I173</f>
        <v>Evangeline</v>
      </c>
      <c r="B344" s="20" t="str">
        <f>'Grad Raw Data'!K173</f>
        <v/>
      </c>
      <c r="C344" s="20" t="str">
        <f>'Grad Raw Data'!H173</f>
        <v>Moreira</v>
      </c>
      <c r="D344" s="44" t="str">
        <f>'Grad Raw Data'!D173</f>
        <v>LEFT</v>
      </c>
      <c r="E344" s="44">
        <f>'Grad Raw Data'!E173</f>
        <v>7</v>
      </c>
      <c r="G344">
        <v>344</v>
      </c>
      <c r="H344">
        <f t="shared" si="5"/>
        <v>173</v>
      </c>
    </row>
    <row r="345" spans="1:8" ht="24.95" customHeight="1" x14ac:dyDescent="0.25">
      <c r="A345" s="16" t="str">
        <f>'Grad Raw Data'!L173</f>
        <v>Eh-van-jeh-lean More-air-ah</v>
      </c>
      <c r="B345" s="20"/>
      <c r="C345" s="20"/>
      <c r="G345">
        <v>345</v>
      </c>
      <c r="H345" t="str">
        <f t="shared" si="5"/>
        <v/>
      </c>
    </row>
    <row r="346" spans="1:8" ht="24.95" customHeight="1" x14ac:dyDescent="0.25">
      <c r="A346" s="20" t="str">
        <f>'Grad Raw Data'!I174</f>
        <v>Bobby</v>
      </c>
      <c r="B346" s="20" t="str">
        <f>'Grad Raw Data'!K174</f>
        <v/>
      </c>
      <c r="C346" s="20" t="str">
        <f>'Grad Raw Data'!H174</f>
        <v>Morris</v>
      </c>
      <c r="D346" s="44" t="str">
        <f>'Grad Raw Data'!D174</f>
        <v>LEFT</v>
      </c>
      <c r="E346" s="44">
        <f>'Grad Raw Data'!E174</f>
        <v>7</v>
      </c>
      <c r="G346">
        <v>346</v>
      </c>
      <c r="H346">
        <f t="shared" si="5"/>
        <v>174</v>
      </c>
    </row>
    <row r="347" spans="1:8" ht="24.95" customHeight="1" x14ac:dyDescent="0.25">
      <c r="A347" s="16">
        <f>'Grad Raw Data'!L174</f>
        <v>0</v>
      </c>
      <c r="B347" s="20"/>
      <c r="C347" s="20"/>
      <c r="G347">
        <v>347</v>
      </c>
      <c r="H347" t="str">
        <f t="shared" si="5"/>
        <v/>
      </c>
    </row>
    <row r="348" spans="1:8" ht="24.95" customHeight="1" x14ac:dyDescent="0.25">
      <c r="A348" s="20" t="str">
        <f>'Grad Raw Data'!I175</f>
        <v>Kaiden</v>
      </c>
      <c r="B348" s="20" t="str">
        <f>'Grad Raw Data'!K175</f>
        <v/>
      </c>
      <c r="C348" s="20" t="str">
        <f>'Grad Raw Data'!H175</f>
        <v>Morrison</v>
      </c>
      <c r="D348" s="44" t="str">
        <f>'Grad Raw Data'!D175</f>
        <v>RIGHT</v>
      </c>
      <c r="E348" s="44">
        <f>'Grad Raw Data'!E175</f>
        <v>8</v>
      </c>
      <c r="G348">
        <v>348</v>
      </c>
      <c r="H348">
        <f t="shared" si="5"/>
        <v>175</v>
      </c>
    </row>
    <row r="349" spans="1:8" ht="24.95" customHeight="1" x14ac:dyDescent="0.25">
      <c r="A349" s="16">
        <f>'Grad Raw Data'!L175</f>
        <v>0</v>
      </c>
      <c r="B349" s="20"/>
      <c r="C349" s="20"/>
      <c r="G349">
        <v>349</v>
      </c>
      <c r="H349" t="str">
        <f t="shared" si="5"/>
        <v/>
      </c>
    </row>
    <row r="350" spans="1:8" ht="24.95" customHeight="1" x14ac:dyDescent="0.25">
      <c r="A350" s="20" t="str">
        <f>'Grad Raw Data'!I176</f>
        <v>Abdul</v>
      </c>
      <c r="B350" s="20" t="str">
        <f>'Grad Raw Data'!K176</f>
        <v>Raheem</v>
      </c>
      <c r="C350" s="20" t="str">
        <f>'Grad Raw Data'!H176</f>
        <v>Mughal</v>
      </c>
      <c r="D350" s="44" t="str">
        <f>'Grad Raw Data'!D176</f>
        <v>RIGHT</v>
      </c>
      <c r="E350" s="44">
        <f>'Grad Raw Data'!E176</f>
        <v>8</v>
      </c>
      <c r="G350">
        <v>350</v>
      </c>
      <c r="H350">
        <f t="shared" si="5"/>
        <v>176</v>
      </c>
    </row>
    <row r="351" spans="1:8" ht="24.95" customHeight="1" x14ac:dyDescent="0.25">
      <c r="A351" s="16">
        <f>'Grad Raw Data'!L176</f>
        <v>0</v>
      </c>
      <c r="B351" s="20"/>
      <c r="C351" s="20"/>
      <c r="G351">
        <v>351</v>
      </c>
      <c r="H351" t="str">
        <f t="shared" si="5"/>
        <v/>
      </c>
    </row>
    <row r="352" spans="1:8" ht="24.95" customHeight="1" x14ac:dyDescent="0.25">
      <c r="A352" s="20" t="str">
        <f>'Grad Raw Data'!I177</f>
        <v>William</v>
      </c>
      <c r="B352" s="20" t="str">
        <f>'Grad Raw Data'!K177</f>
        <v/>
      </c>
      <c r="C352" s="20" t="str">
        <f>'Grad Raw Data'!H177</f>
        <v>Muller</v>
      </c>
      <c r="D352" s="44" t="str">
        <f>'Grad Raw Data'!D177</f>
        <v>RIGHT</v>
      </c>
      <c r="E352" s="44">
        <f>'Grad Raw Data'!E177</f>
        <v>8</v>
      </c>
      <c r="G352">
        <v>352</v>
      </c>
      <c r="H352">
        <f t="shared" si="5"/>
        <v>177</v>
      </c>
    </row>
    <row r="353" spans="1:8" ht="24.95" customHeight="1" x14ac:dyDescent="0.25">
      <c r="A353" s="16">
        <f>'Grad Raw Data'!L178</f>
        <v>0</v>
      </c>
      <c r="B353" s="20"/>
      <c r="C353" s="20"/>
      <c r="G353">
        <v>353</v>
      </c>
      <c r="H353" t="str">
        <f t="shared" si="5"/>
        <v/>
      </c>
    </row>
    <row r="354" spans="1:8" ht="24.95" customHeight="1" x14ac:dyDescent="0.25">
      <c r="A354" s="20" t="str">
        <f>'Grad Raw Data'!I178</f>
        <v>Jack</v>
      </c>
      <c r="B354" s="20" t="str">
        <f>'Grad Raw Data'!K178</f>
        <v/>
      </c>
      <c r="C354" s="20" t="str">
        <f>'Grad Raw Data'!H178</f>
        <v>Murphy</v>
      </c>
      <c r="D354" s="44" t="str">
        <f>'Grad Raw Data'!D178</f>
        <v>RIGHT</v>
      </c>
      <c r="E354" s="44">
        <f>'Grad Raw Data'!E178</f>
        <v>8</v>
      </c>
      <c r="G354">
        <v>354</v>
      </c>
      <c r="H354">
        <f t="shared" si="5"/>
        <v>178</v>
      </c>
    </row>
    <row r="355" spans="1:8" ht="24.95" customHeight="1" x14ac:dyDescent="0.25">
      <c r="A355" s="16">
        <f>'Grad Raw Data'!L178</f>
        <v>0</v>
      </c>
      <c r="B355" s="20"/>
      <c r="C355" s="20"/>
      <c r="G355">
        <v>355</v>
      </c>
      <c r="H355" t="str">
        <f t="shared" si="5"/>
        <v/>
      </c>
    </row>
    <row r="356" spans="1:8" ht="24.95" customHeight="1" x14ac:dyDescent="0.25">
      <c r="A356" s="20" t="str">
        <f>'Grad Raw Data'!I179</f>
        <v>Abigail</v>
      </c>
      <c r="B356" s="20" t="str">
        <f>'Grad Raw Data'!K179</f>
        <v/>
      </c>
      <c r="C356" s="20" t="str">
        <f>'Grad Raw Data'!H179</f>
        <v>Nelson</v>
      </c>
      <c r="D356" s="44" t="str">
        <f>'Grad Raw Data'!D179</f>
        <v>RIGHT</v>
      </c>
      <c r="E356" s="44">
        <f>'Grad Raw Data'!E179</f>
        <v>8</v>
      </c>
      <c r="G356">
        <v>356</v>
      </c>
      <c r="H356">
        <f t="shared" si="5"/>
        <v>179</v>
      </c>
    </row>
    <row r="357" spans="1:8" ht="24.95" customHeight="1" x14ac:dyDescent="0.25">
      <c r="A357" s="16">
        <f>'Grad Raw Data'!L179</f>
        <v>0</v>
      </c>
      <c r="B357" s="20"/>
      <c r="C357" s="20"/>
      <c r="G357">
        <v>357</v>
      </c>
      <c r="H357" t="str">
        <f t="shared" si="5"/>
        <v/>
      </c>
    </row>
    <row r="358" spans="1:8" ht="24.95" customHeight="1" x14ac:dyDescent="0.25">
      <c r="A358" s="20" t="str">
        <f>'Grad Raw Data'!I180</f>
        <v>Patience</v>
      </c>
      <c r="B358" s="20" t="str">
        <f>'Grad Raw Data'!K180</f>
        <v/>
      </c>
      <c r="C358" s="20" t="str">
        <f>'Grad Raw Data'!H180</f>
        <v>Nguyen</v>
      </c>
      <c r="D358" s="44" t="str">
        <f>'Grad Raw Data'!D180</f>
        <v>RIGHT</v>
      </c>
      <c r="E358" s="44">
        <f>'Grad Raw Data'!E180</f>
        <v>8</v>
      </c>
      <c r="G358">
        <v>358</v>
      </c>
      <c r="H358">
        <f t="shared" si="5"/>
        <v>180</v>
      </c>
    </row>
    <row r="359" spans="1:8" ht="24.95" customHeight="1" x14ac:dyDescent="0.25">
      <c r="A359" s="16" t="str">
        <f>'Grad Raw Data'!L180</f>
        <v xml:space="preserve">Patience Nuh-win </v>
      </c>
      <c r="B359" s="20"/>
      <c r="C359" s="20"/>
      <c r="G359">
        <v>359</v>
      </c>
      <c r="H359" t="str">
        <f t="shared" si="5"/>
        <v/>
      </c>
    </row>
    <row r="360" spans="1:8" ht="24.95" customHeight="1" x14ac:dyDescent="0.25">
      <c r="A360" s="20" t="str">
        <f>'Grad Raw Data'!I181</f>
        <v>Charlotte</v>
      </c>
      <c r="B360" s="20" t="str">
        <f>'Grad Raw Data'!K181</f>
        <v/>
      </c>
      <c r="C360" s="20" t="str">
        <f>'Grad Raw Data'!H181</f>
        <v>Nolty</v>
      </c>
      <c r="D360" s="44" t="str">
        <f>'Grad Raw Data'!D181</f>
        <v>RIGHT</v>
      </c>
      <c r="E360" s="44">
        <f>'Grad Raw Data'!E181</f>
        <v>8</v>
      </c>
      <c r="G360">
        <v>360</v>
      </c>
      <c r="H360">
        <f t="shared" si="5"/>
        <v>181</v>
      </c>
    </row>
    <row r="361" spans="1:8" ht="24.95" customHeight="1" x14ac:dyDescent="0.25">
      <c r="A361" s="16">
        <f>'Grad Raw Data'!L181</f>
        <v>0</v>
      </c>
      <c r="B361" s="20"/>
      <c r="C361" s="20"/>
      <c r="G361">
        <v>361</v>
      </c>
      <c r="H361" t="str">
        <f t="shared" si="5"/>
        <v/>
      </c>
    </row>
    <row r="362" spans="1:8" ht="24.95" customHeight="1" x14ac:dyDescent="0.25">
      <c r="A362" s="20" t="str">
        <f>'Grad Raw Data'!I182</f>
        <v>Mackenzie</v>
      </c>
      <c r="B362" s="20" t="str">
        <f>'Grad Raw Data'!K182</f>
        <v/>
      </c>
      <c r="C362" s="20" t="str">
        <f>'Grad Raw Data'!H182</f>
        <v>Norris</v>
      </c>
      <c r="D362" s="44" t="str">
        <f>'Grad Raw Data'!D182</f>
        <v>RIGHT</v>
      </c>
      <c r="E362" s="44">
        <f>'Grad Raw Data'!E182</f>
        <v>8</v>
      </c>
      <c r="G362">
        <v>362</v>
      </c>
      <c r="H362">
        <f t="shared" si="5"/>
        <v>182</v>
      </c>
    </row>
    <row r="363" spans="1:8" ht="24.95" customHeight="1" x14ac:dyDescent="0.25">
      <c r="A363" s="16" t="str">
        <f>'Grad Raw Data'!L182</f>
        <v>Ma - ken - zee  Nor - is</v>
      </c>
      <c r="B363" s="20"/>
      <c r="C363" s="20"/>
      <c r="G363">
        <v>363</v>
      </c>
      <c r="H363" t="str">
        <f t="shared" si="5"/>
        <v/>
      </c>
    </row>
    <row r="364" spans="1:8" ht="24.95" customHeight="1" x14ac:dyDescent="0.25">
      <c r="A364" s="20" t="str">
        <f>'Grad Raw Data'!I183</f>
        <v>Michelle</v>
      </c>
      <c r="B364" s="20" t="str">
        <f>'Grad Raw Data'!K183</f>
        <v/>
      </c>
      <c r="C364" s="20" t="str">
        <f>'Grad Raw Data'!H183</f>
        <v>Ohlson</v>
      </c>
      <c r="D364" s="44" t="str">
        <f>'Grad Raw Data'!D183</f>
        <v>RIGHT</v>
      </c>
      <c r="E364" s="44">
        <f>'Grad Raw Data'!E183</f>
        <v>8</v>
      </c>
      <c r="G364">
        <v>364</v>
      </c>
      <c r="H364">
        <f t="shared" si="5"/>
        <v>183</v>
      </c>
    </row>
    <row r="365" spans="1:8" ht="24.95" customHeight="1" x14ac:dyDescent="0.25">
      <c r="A365" s="16">
        <f>'Grad Raw Data'!L183</f>
        <v>0</v>
      </c>
      <c r="B365" s="20"/>
      <c r="C365" s="20"/>
      <c r="G365">
        <v>365</v>
      </c>
      <c r="H365" t="str">
        <f t="shared" si="5"/>
        <v/>
      </c>
    </row>
    <row r="366" spans="1:8" ht="24.95" customHeight="1" x14ac:dyDescent="0.25">
      <c r="A366" s="20" t="str">
        <f>'Grad Raw Data'!I184</f>
        <v>Natalie</v>
      </c>
      <c r="B366" s="20" t="str">
        <f>'Grad Raw Data'!K184</f>
        <v/>
      </c>
      <c r="C366" s="20" t="str">
        <f>'Grad Raw Data'!H184</f>
        <v>Ortins</v>
      </c>
      <c r="D366" s="44" t="str">
        <f>'Grad Raw Data'!D184</f>
        <v>RIGHT</v>
      </c>
      <c r="E366" s="44">
        <f>'Grad Raw Data'!E184</f>
        <v>8</v>
      </c>
      <c r="G366">
        <v>366</v>
      </c>
      <c r="H366">
        <f t="shared" si="5"/>
        <v>184</v>
      </c>
    </row>
    <row r="367" spans="1:8" ht="24.95" customHeight="1" x14ac:dyDescent="0.25">
      <c r="A367" s="16" t="str">
        <f>'Grad Raw Data'!L184</f>
        <v>Please don't say Orteens; It is OrtINs and the i is like the i in it</v>
      </c>
      <c r="B367" s="20"/>
      <c r="C367" s="20"/>
      <c r="G367">
        <v>367</v>
      </c>
      <c r="H367" t="str">
        <f t="shared" si="5"/>
        <v/>
      </c>
    </row>
    <row r="368" spans="1:8" ht="24.95" customHeight="1" x14ac:dyDescent="0.25">
      <c r="A368" s="20" t="str">
        <f>'Grad Raw Data'!I185</f>
        <v>Franklin</v>
      </c>
      <c r="B368" s="20" t="str">
        <f>'Grad Raw Data'!K185</f>
        <v/>
      </c>
      <c r="C368" s="20" t="str">
        <f>'Grad Raw Data'!H185</f>
        <v>Ortiz</v>
      </c>
      <c r="D368" s="44" t="str">
        <f>'Grad Raw Data'!D185</f>
        <v>RIGHT</v>
      </c>
      <c r="E368" s="44">
        <f>'Grad Raw Data'!E185</f>
        <v>8</v>
      </c>
      <c r="G368">
        <v>368</v>
      </c>
      <c r="H368">
        <f t="shared" si="5"/>
        <v>185</v>
      </c>
    </row>
    <row r="369" spans="1:8" ht="24.95" customHeight="1" x14ac:dyDescent="0.25">
      <c r="A369" s="16" t="str">
        <f>'Grad Raw Data'!L185</f>
        <v>Franklin Ortiz</v>
      </c>
      <c r="B369" s="20"/>
      <c r="C369" s="20"/>
      <c r="G369">
        <v>369</v>
      </c>
      <c r="H369" t="str">
        <f t="shared" si="5"/>
        <v/>
      </c>
    </row>
    <row r="370" spans="1:8" ht="24.95" customHeight="1" x14ac:dyDescent="0.25">
      <c r="A370" s="20" t="str">
        <f>'Grad Raw Data'!I186</f>
        <v>Isabelle</v>
      </c>
      <c r="B370" s="20" t="str">
        <f>'Grad Raw Data'!K186</f>
        <v>Grace</v>
      </c>
      <c r="C370" s="20" t="str">
        <f>'Grad Raw Data'!H186</f>
        <v>Parent</v>
      </c>
      <c r="D370" s="44" t="str">
        <f>'Grad Raw Data'!D186</f>
        <v>RIGHT</v>
      </c>
      <c r="E370" s="44">
        <f>'Grad Raw Data'!E186</f>
        <v>8</v>
      </c>
      <c r="G370">
        <v>370</v>
      </c>
      <c r="H370">
        <f t="shared" si="5"/>
        <v>186</v>
      </c>
    </row>
    <row r="371" spans="1:8" ht="24.95" customHeight="1" x14ac:dyDescent="0.25">
      <c r="A371" s="16">
        <f>'Grad Raw Data'!L186</f>
        <v>0</v>
      </c>
      <c r="B371" s="20"/>
      <c r="C371" s="20"/>
      <c r="G371">
        <v>371</v>
      </c>
      <c r="H371" t="str">
        <f t="shared" si="5"/>
        <v/>
      </c>
    </row>
    <row r="372" spans="1:8" ht="24.95" customHeight="1" x14ac:dyDescent="0.25">
      <c r="A372" s="20" t="str">
        <f>'Grad Raw Data'!I187</f>
        <v>Saloni</v>
      </c>
      <c r="B372" s="20" t="str">
        <f>'Grad Raw Data'!K187</f>
        <v/>
      </c>
      <c r="C372" s="20" t="str">
        <f>'Grad Raw Data'!H187</f>
        <v>Patel</v>
      </c>
      <c r="D372" s="44" t="str">
        <f>'Grad Raw Data'!D187</f>
        <v>LEFT</v>
      </c>
      <c r="E372" s="44">
        <f>'Grad Raw Data'!E187</f>
        <v>8</v>
      </c>
      <c r="G372">
        <v>372</v>
      </c>
      <c r="H372">
        <f t="shared" si="5"/>
        <v>187</v>
      </c>
    </row>
    <row r="373" spans="1:8" ht="24.95" customHeight="1" x14ac:dyDescent="0.25">
      <c r="A373" s="16" t="str">
        <f>'Grad Raw Data'!L187</f>
        <v>Sa-low-knee Pa-tel</v>
      </c>
      <c r="B373" s="20"/>
      <c r="C373" s="20"/>
      <c r="G373">
        <v>373</v>
      </c>
      <c r="H373" t="str">
        <f t="shared" si="5"/>
        <v/>
      </c>
    </row>
    <row r="374" spans="1:8" ht="24.95" customHeight="1" x14ac:dyDescent="0.25">
      <c r="A374" s="20" t="str">
        <f>'Grad Raw Data'!I188</f>
        <v>Lerika</v>
      </c>
      <c r="B374" s="20" t="str">
        <f>'Grad Raw Data'!K188</f>
        <v/>
      </c>
      <c r="C374" s="20" t="str">
        <f>'Grad Raw Data'!H188</f>
        <v>Peat</v>
      </c>
      <c r="D374" s="44" t="str">
        <f>'Grad Raw Data'!D188</f>
        <v>LEFT</v>
      </c>
      <c r="E374" s="44">
        <f>'Grad Raw Data'!E188</f>
        <v>8</v>
      </c>
      <c r="G374">
        <v>374</v>
      </c>
      <c r="H374">
        <f t="shared" si="5"/>
        <v>188</v>
      </c>
    </row>
    <row r="375" spans="1:8" ht="24.95" customHeight="1" x14ac:dyDescent="0.25">
      <c r="A375" s="16">
        <f>'Grad Raw Data'!L188</f>
        <v>0</v>
      </c>
      <c r="B375" s="20"/>
      <c r="C375" s="20"/>
      <c r="G375">
        <v>375</v>
      </c>
      <c r="H375" t="str">
        <f t="shared" si="5"/>
        <v/>
      </c>
    </row>
    <row r="376" spans="1:8" ht="24.95" customHeight="1" x14ac:dyDescent="0.25">
      <c r="A376" s="20" t="str">
        <f>'Grad Raw Data'!I189</f>
        <v>Jacob</v>
      </c>
      <c r="B376" s="20" t="str">
        <f>'Grad Raw Data'!K189</f>
        <v/>
      </c>
      <c r="C376" s="20" t="str">
        <f>'Grad Raw Data'!H189</f>
        <v>Petrin</v>
      </c>
      <c r="D376" s="44" t="str">
        <f>'Grad Raw Data'!D189</f>
        <v>LEFT</v>
      </c>
      <c r="E376" s="44">
        <f>'Grad Raw Data'!E189</f>
        <v>8</v>
      </c>
      <c r="G376">
        <v>376</v>
      </c>
      <c r="H376">
        <f t="shared" si="5"/>
        <v>189</v>
      </c>
    </row>
    <row r="377" spans="1:8" ht="24.95" customHeight="1" x14ac:dyDescent="0.25">
      <c r="A377" s="16" t="str">
        <f>'Grad Raw Data'!L189</f>
        <v>pee-trin</v>
      </c>
      <c r="B377" s="20"/>
      <c r="C377" s="20"/>
      <c r="G377">
        <v>377</v>
      </c>
      <c r="H377" t="str">
        <f t="shared" si="5"/>
        <v/>
      </c>
    </row>
    <row r="378" spans="1:8" ht="24.95" customHeight="1" x14ac:dyDescent="0.25">
      <c r="A378" s="20" t="str">
        <f>'Grad Raw Data'!I190</f>
        <v>Wyatt</v>
      </c>
      <c r="B378" s="20" t="str">
        <f>'Grad Raw Data'!K190</f>
        <v/>
      </c>
      <c r="C378" s="20" t="str">
        <f>'Grad Raw Data'!H190</f>
        <v>Picard</v>
      </c>
      <c r="D378" s="44" t="str">
        <f>'Grad Raw Data'!D190</f>
        <v>LEFT</v>
      </c>
      <c r="E378" s="44">
        <f>'Grad Raw Data'!E190</f>
        <v>8</v>
      </c>
      <c r="G378">
        <v>378</v>
      </c>
      <c r="H378">
        <f t="shared" si="5"/>
        <v>190</v>
      </c>
    </row>
    <row r="379" spans="1:8" ht="24.95" customHeight="1" x14ac:dyDescent="0.25">
      <c r="A379" s="16">
        <f>'Grad Raw Data'!L190</f>
        <v>0</v>
      </c>
      <c r="B379" s="20"/>
      <c r="C379" s="20"/>
      <c r="G379">
        <v>379</v>
      </c>
      <c r="H379" t="str">
        <f t="shared" si="5"/>
        <v/>
      </c>
    </row>
    <row r="380" spans="1:8" ht="24.95" customHeight="1" x14ac:dyDescent="0.25">
      <c r="A380" s="20" t="str">
        <f>'Grad Raw Data'!I191</f>
        <v>Samantha</v>
      </c>
      <c r="B380" s="20" t="str">
        <f>'Grad Raw Data'!K191</f>
        <v/>
      </c>
      <c r="C380" s="20" t="str">
        <f>'Grad Raw Data'!H191</f>
        <v>Pomerantz</v>
      </c>
      <c r="D380" s="44" t="str">
        <f>'Grad Raw Data'!D191</f>
        <v>LEFT</v>
      </c>
      <c r="E380" s="44">
        <f>'Grad Raw Data'!E191</f>
        <v>8</v>
      </c>
      <c r="G380">
        <v>380</v>
      </c>
      <c r="H380">
        <f t="shared" si="5"/>
        <v>191</v>
      </c>
    </row>
    <row r="381" spans="1:8" ht="24.95" customHeight="1" x14ac:dyDescent="0.25">
      <c r="A381" s="16" t="str">
        <f>'Grad Raw Data'!L191</f>
        <v>Pom er antz</v>
      </c>
      <c r="B381" s="20"/>
      <c r="C381" s="20"/>
      <c r="G381">
        <v>381</v>
      </c>
      <c r="H381" t="str">
        <f t="shared" si="5"/>
        <v/>
      </c>
    </row>
    <row r="382" spans="1:8" ht="24.95" customHeight="1" x14ac:dyDescent="0.25">
      <c r="A382" s="20" t="str">
        <f>'Grad Raw Data'!I192</f>
        <v>Shivani</v>
      </c>
      <c r="B382" s="20" t="str">
        <f>'Grad Raw Data'!K192</f>
        <v/>
      </c>
      <c r="C382" s="20" t="str">
        <f>'Grad Raw Data'!H192</f>
        <v>Poudyal</v>
      </c>
      <c r="D382" s="44" t="str">
        <f>'Grad Raw Data'!D192</f>
        <v>LEFT</v>
      </c>
      <c r="E382" s="44">
        <f>'Grad Raw Data'!E192</f>
        <v>8</v>
      </c>
      <c r="G382">
        <v>382</v>
      </c>
      <c r="H382">
        <f t="shared" si="5"/>
        <v>192</v>
      </c>
    </row>
    <row r="383" spans="1:8" ht="24.95" customHeight="1" x14ac:dyDescent="0.25">
      <c r="A383" s="16" t="str">
        <f>'Grad Raw Data'!L192</f>
        <v>shiv-ah-knee POW-Dell</v>
      </c>
      <c r="B383" s="20"/>
      <c r="C383" s="20"/>
      <c r="G383">
        <v>383</v>
      </c>
      <c r="H383" t="str">
        <f t="shared" si="5"/>
        <v/>
      </c>
    </row>
    <row r="384" spans="1:8" ht="24.95" customHeight="1" x14ac:dyDescent="0.25">
      <c r="A384" s="20" t="str">
        <f>'Grad Raw Data'!I193</f>
        <v>Ryan</v>
      </c>
      <c r="B384" s="20" t="str">
        <f>'Grad Raw Data'!K193</f>
        <v/>
      </c>
      <c r="C384" s="20" t="str">
        <f>'Grad Raw Data'!H193</f>
        <v>Pulpi</v>
      </c>
      <c r="D384" s="44" t="str">
        <f>'Grad Raw Data'!D193</f>
        <v>LEFT</v>
      </c>
      <c r="E384" s="44">
        <f>'Grad Raw Data'!E193</f>
        <v>8</v>
      </c>
      <c r="G384">
        <v>384</v>
      </c>
      <c r="H384">
        <f t="shared" si="5"/>
        <v>193</v>
      </c>
    </row>
    <row r="385" spans="1:8" ht="24.95" customHeight="1" x14ac:dyDescent="0.25">
      <c r="A385" s="16" t="str">
        <f>'Grad Raw Data'!L193</f>
        <v>Ryan pulpi</v>
      </c>
      <c r="B385" s="20"/>
      <c r="C385" s="20"/>
      <c r="G385">
        <v>385</v>
      </c>
      <c r="H385" t="str">
        <f t="shared" si="5"/>
        <v/>
      </c>
    </row>
    <row r="386" spans="1:8" ht="24.95" customHeight="1" x14ac:dyDescent="0.25">
      <c r="A386" s="20" t="str">
        <f>'Grad Raw Data'!I194</f>
        <v>Jessica</v>
      </c>
      <c r="B386" s="20" t="str">
        <f>'Grad Raw Data'!K194</f>
        <v/>
      </c>
      <c r="C386" s="20" t="str">
        <f>'Grad Raw Data'!H194</f>
        <v>Rai</v>
      </c>
      <c r="D386" s="44" t="str">
        <f>'Grad Raw Data'!D194</f>
        <v>LEFT</v>
      </c>
      <c r="E386" s="44">
        <f>'Grad Raw Data'!E194</f>
        <v>8</v>
      </c>
      <c r="G386">
        <v>386</v>
      </c>
      <c r="H386">
        <f t="shared" si="5"/>
        <v>194</v>
      </c>
    </row>
    <row r="387" spans="1:8" ht="24.95" customHeight="1" x14ac:dyDescent="0.25">
      <c r="A387" s="16" t="str">
        <f>'Grad Raw Data'!L194</f>
        <v>Jessica r-eye</v>
      </c>
      <c r="B387" s="20"/>
      <c r="C387" s="20"/>
      <c r="G387">
        <v>387</v>
      </c>
      <c r="H387" t="str">
        <f t="shared" ref="H387:H450" si="6">IF(MOD((G387+2)/1,2)=0,(G387/2+1),"")</f>
        <v/>
      </c>
    </row>
    <row r="388" spans="1:8" ht="24.95" customHeight="1" x14ac:dyDescent="0.25">
      <c r="A388" s="20" t="str">
        <f>'Grad Raw Data'!I195</f>
        <v>Ted</v>
      </c>
      <c r="B388" s="20" t="str">
        <f>'Grad Raw Data'!K195</f>
        <v/>
      </c>
      <c r="C388" s="20" t="str">
        <f>'Grad Raw Data'!H195</f>
        <v>Ravens</v>
      </c>
      <c r="D388" s="44" t="str">
        <f>'Grad Raw Data'!D195</f>
        <v>LEFT</v>
      </c>
      <c r="E388" s="44">
        <f>'Grad Raw Data'!E195</f>
        <v>8</v>
      </c>
      <c r="G388">
        <v>388</v>
      </c>
      <c r="H388">
        <f t="shared" si="6"/>
        <v>195</v>
      </c>
    </row>
    <row r="389" spans="1:8" ht="24.95" customHeight="1" x14ac:dyDescent="0.25">
      <c r="A389" s="16">
        <f>'Grad Raw Data'!L195</f>
        <v>0</v>
      </c>
      <c r="B389" s="20"/>
      <c r="C389" s="20"/>
      <c r="G389">
        <v>389</v>
      </c>
      <c r="H389" t="str">
        <f t="shared" si="6"/>
        <v/>
      </c>
    </row>
    <row r="390" spans="1:8" ht="24.95" customHeight="1" x14ac:dyDescent="0.25">
      <c r="A390" s="20" t="str">
        <f>'Grad Raw Data'!I196</f>
        <v>Lucas</v>
      </c>
      <c r="B390" s="20" t="str">
        <f>'Grad Raw Data'!K196</f>
        <v/>
      </c>
      <c r="C390" s="20" t="str">
        <f>'Grad Raw Data'!H196</f>
        <v>Reis</v>
      </c>
      <c r="D390" s="44" t="str">
        <f>'Grad Raw Data'!D196</f>
        <v>LEFT</v>
      </c>
      <c r="E390" s="44">
        <f>'Grad Raw Data'!E196</f>
        <v>8</v>
      </c>
      <c r="G390">
        <v>390</v>
      </c>
      <c r="H390">
        <f t="shared" si="6"/>
        <v>196</v>
      </c>
    </row>
    <row r="391" spans="1:8" ht="24.95" customHeight="1" x14ac:dyDescent="0.25">
      <c r="A391" s="16">
        <f>'Grad Raw Data'!L196</f>
        <v>0</v>
      </c>
      <c r="B391" s="20"/>
      <c r="C391" s="20"/>
      <c r="G391">
        <v>391</v>
      </c>
      <c r="H391" t="str">
        <f t="shared" si="6"/>
        <v/>
      </c>
    </row>
    <row r="392" spans="1:8" ht="24.95" customHeight="1" x14ac:dyDescent="0.25">
      <c r="A392" s="20" t="str">
        <f>'Grad Raw Data'!I197</f>
        <v>Olivia</v>
      </c>
      <c r="B392" s="20" t="str">
        <f>'Grad Raw Data'!K197</f>
        <v/>
      </c>
      <c r="C392" s="20" t="str">
        <f>'Grad Raw Data'!H197</f>
        <v>Renda</v>
      </c>
      <c r="D392" s="44" t="str">
        <f>'Grad Raw Data'!D197</f>
        <v>LEFT</v>
      </c>
      <c r="E392" s="44">
        <f>'Grad Raw Data'!E197</f>
        <v>8</v>
      </c>
      <c r="G392">
        <v>392</v>
      </c>
      <c r="H392">
        <f t="shared" si="6"/>
        <v>197</v>
      </c>
    </row>
    <row r="393" spans="1:8" ht="24.95" customHeight="1" x14ac:dyDescent="0.25">
      <c r="A393" s="16">
        <f>'Grad Raw Data'!L197</f>
        <v>0</v>
      </c>
      <c r="B393" s="20"/>
      <c r="C393" s="20"/>
      <c r="G393">
        <v>393</v>
      </c>
      <c r="H393" t="str">
        <f t="shared" si="6"/>
        <v/>
      </c>
    </row>
    <row r="394" spans="1:8" ht="24.95" customHeight="1" x14ac:dyDescent="0.25">
      <c r="A394" s="20" t="str">
        <f>'Grad Raw Data'!I198</f>
        <v>Jessica</v>
      </c>
      <c r="B394" s="20" t="str">
        <f>'Grad Raw Data'!K198</f>
        <v/>
      </c>
      <c r="C394" s="20" t="str">
        <f>'Grad Raw Data'!H198</f>
        <v>Richter</v>
      </c>
      <c r="D394" s="44" t="str">
        <f>'Grad Raw Data'!D198</f>
        <v>LEFT</v>
      </c>
      <c r="E394" s="44">
        <f>'Grad Raw Data'!E198</f>
        <v>8</v>
      </c>
      <c r="G394">
        <v>394</v>
      </c>
      <c r="H394">
        <f t="shared" si="6"/>
        <v>198</v>
      </c>
    </row>
    <row r="395" spans="1:8" ht="24.95" customHeight="1" x14ac:dyDescent="0.25">
      <c r="A395" s="16" t="str">
        <f>'Grad Raw Data'!L198</f>
        <v>Rick-ter or /ˈrɪktər/</v>
      </c>
      <c r="B395" s="20"/>
      <c r="C395" s="20"/>
      <c r="G395">
        <v>395</v>
      </c>
      <c r="H395" t="str">
        <f t="shared" si="6"/>
        <v/>
      </c>
    </row>
    <row r="396" spans="1:8" ht="24.95" customHeight="1" x14ac:dyDescent="0.25">
      <c r="A396" s="20" t="str">
        <f>'Grad Raw Data'!I199</f>
        <v>Charlotte</v>
      </c>
      <c r="B396" s="20" t="str">
        <f>'Grad Raw Data'!K199</f>
        <v/>
      </c>
      <c r="C396" s="20" t="str">
        <f>'Grad Raw Data'!H199</f>
        <v>Robichaud</v>
      </c>
      <c r="D396" s="44" t="str">
        <f>'Grad Raw Data'!D199</f>
        <v>RIGHT</v>
      </c>
      <c r="E396" s="44">
        <f>'Grad Raw Data'!E199</f>
        <v>9</v>
      </c>
      <c r="G396">
        <v>396</v>
      </c>
      <c r="H396">
        <f t="shared" si="6"/>
        <v>199</v>
      </c>
    </row>
    <row r="397" spans="1:8" ht="24.95" customHeight="1" x14ac:dyDescent="0.25">
      <c r="A397" s="16" t="str">
        <f>'Grad Raw Data'!L199</f>
        <v>Shar-lit Row-bih-shawd</v>
      </c>
      <c r="B397" s="20"/>
      <c r="C397" s="20"/>
      <c r="G397">
        <v>397</v>
      </c>
      <c r="H397" t="str">
        <f t="shared" si="6"/>
        <v/>
      </c>
    </row>
    <row r="398" spans="1:8" ht="24.95" customHeight="1" x14ac:dyDescent="0.25">
      <c r="A398" s="20" t="str">
        <f>'Grad Raw Data'!I200</f>
        <v>Derek</v>
      </c>
      <c r="B398" s="20" t="str">
        <f>'Grad Raw Data'!K200</f>
        <v/>
      </c>
      <c r="C398" s="20" t="str">
        <f>'Grad Raw Data'!H200</f>
        <v>Robillard</v>
      </c>
      <c r="D398" s="44" t="str">
        <f>'Grad Raw Data'!D200</f>
        <v>RIGHT</v>
      </c>
      <c r="E398" s="44">
        <f>'Grad Raw Data'!E200</f>
        <v>9</v>
      </c>
      <c r="G398">
        <v>398</v>
      </c>
      <c r="H398">
        <f t="shared" si="6"/>
        <v>200</v>
      </c>
    </row>
    <row r="399" spans="1:8" ht="24.95" customHeight="1" x14ac:dyDescent="0.25">
      <c r="A399" s="16">
        <f>'Grad Raw Data'!L200</f>
        <v>0</v>
      </c>
      <c r="B399" s="20"/>
      <c r="C399" s="20"/>
      <c r="G399">
        <v>399</v>
      </c>
      <c r="H399" t="str">
        <f t="shared" si="6"/>
        <v/>
      </c>
    </row>
    <row r="400" spans="1:8" ht="24.95" customHeight="1" x14ac:dyDescent="0.25">
      <c r="A400" s="20" t="str">
        <f>'Grad Raw Data'!I201</f>
        <v>Isaac</v>
      </c>
      <c r="B400" s="20" t="str">
        <f>'Grad Raw Data'!K201</f>
        <v/>
      </c>
      <c r="C400" s="20" t="str">
        <f>'Grad Raw Data'!H201</f>
        <v>Robinson</v>
      </c>
      <c r="D400" s="44" t="str">
        <f>'Grad Raw Data'!D201</f>
        <v>RIGHT</v>
      </c>
      <c r="E400" s="44">
        <f>'Grad Raw Data'!E201</f>
        <v>9</v>
      </c>
      <c r="G400">
        <v>400</v>
      </c>
      <c r="H400">
        <f t="shared" si="6"/>
        <v>201</v>
      </c>
    </row>
    <row r="401" spans="1:8" ht="24.95" customHeight="1" x14ac:dyDescent="0.25">
      <c r="A401" s="16">
        <f>'Grad Raw Data'!L201</f>
        <v>0</v>
      </c>
      <c r="B401" s="20"/>
      <c r="C401" s="20"/>
      <c r="G401">
        <v>401</v>
      </c>
      <c r="H401" t="str">
        <f t="shared" si="6"/>
        <v/>
      </c>
    </row>
    <row r="402" spans="1:8" ht="24.95" customHeight="1" x14ac:dyDescent="0.25">
      <c r="A402" s="20" t="str">
        <f>'Grad Raw Data'!I202</f>
        <v>Teresa</v>
      </c>
      <c r="B402" s="20" t="str">
        <f>'Grad Raw Data'!K202</f>
        <v/>
      </c>
      <c r="C402" s="20" t="str">
        <f>'Grad Raw Data'!H202</f>
        <v>Rock</v>
      </c>
      <c r="D402" s="44" t="str">
        <f>'Grad Raw Data'!D202</f>
        <v>RIGHT</v>
      </c>
      <c r="E402" s="44">
        <f>'Grad Raw Data'!E202</f>
        <v>9</v>
      </c>
      <c r="G402">
        <v>402</v>
      </c>
      <c r="H402">
        <f t="shared" si="6"/>
        <v>202</v>
      </c>
    </row>
    <row r="403" spans="1:8" ht="24.95" customHeight="1" x14ac:dyDescent="0.25">
      <c r="A403" s="16">
        <f>'Grad Raw Data'!L202</f>
        <v>0</v>
      </c>
      <c r="B403" s="20"/>
      <c r="C403" s="20"/>
      <c r="G403">
        <v>403</v>
      </c>
      <c r="H403" t="str">
        <f t="shared" si="6"/>
        <v/>
      </c>
    </row>
    <row r="404" spans="1:8" ht="24.95" customHeight="1" x14ac:dyDescent="0.25">
      <c r="A404" s="20" t="str">
        <f>'Grad Raw Data'!I203</f>
        <v>James</v>
      </c>
      <c r="B404" s="20" t="str">
        <f>'Grad Raw Data'!K203</f>
        <v/>
      </c>
      <c r="C404" s="20" t="str">
        <f>'Grad Raw Data'!H203</f>
        <v>Rodrigues</v>
      </c>
      <c r="D404" s="44" t="str">
        <f>'Grad Raw Data'!D203</f>
        <v>RIGHT</v>
      </c>
      <c r="E404" s="44">
        <f>'Grad Raw Data'!E203</f>
        <v>9</v>
      </c>
      <c r="G404">
        <v>404</v>
      </c>
      <c r="H404">
        <f t="shared" si="6"/>
        <v>203</v>
      </c>
    </row>
    <row r="405" spans="1:8" ht="24.95" customHeight="1" x14ac:dyDescent="0.25">
      <c r="A405" s="16">
        <f>'Grad Raw Data'!L203</f>
        <v>0</v>
      </c>
      <c r="B405" s="20"/>
      <c r="C405" s="20"/>
      <c r="G405">
        <v>405</v>
      </c>
      <c r="H405" t="str">
        <f t="shared" si="6"/>
        <v/>
      </c>
    </row>
    <row r="406" spans="1:8" ht="24.95" customHeight="1" x14ac:dyDescent="0.25">
      <c r="A406" s="20" t="str">
        <f>'Grad Raw Data'!I204</f>
        <v>Luke</v>
      </c>
      <c r="B406" s="20" t="str">
        <f>'Grad Raw Data'!K204</f>
        <v/>
      </c>
      <c r="C406" s="20" t="str">
        <f>'Grad Raw Data'!H204</f>
        <v>Rogerson</v>
      </c>
      <c r="D406" s="44" t="str">
        <f>'Grad Raw Data'!D204</f>
        <v>RIGHT</v>
      </c>
      <c r="E406" s="44">
        <f>'Grad Raw Data'!E204</f>
        <v>9</v>
      </c>
      <c r="G406">
        <v>406</v>
      </c>
      <c r="H406">
        <f t="shared" si="6"/>
        <v>204</v>
      </c>
    </row>
    <row r="407" spans="1:8" ht="24.95" customHeight="1" x14ac:dyDescent="0.25">
      <c r="A407" s="16">
        <f>'Grad Raw Data'!L204</f>
        <v>0</v>
      </c>
      <c r="B407" s="20"/>
      <c r="C407" s="20"/>
      <c r="G407">
        <v>407</v>
      </c>
      <c r="H407" t="str">
        <f t="shared" si="6"/>
        <v/>
      </c>
    </row>
    <row r="408" spans="1:8" ht="24.95" customHeight="1" x14ac:dyDescent="0.25">
      <c r="A408" s="20" t="str">
        <f>'Grad Raw Data'!I205</f>
        <v>Javian</v>
      </c>
      <c r="B408" s="20" t="str">
        <f>'Grad Raw Data'!K205</f>
        <v/>
      </c>
      <c r="C408" s="20" t="str">
        <f>'Grad Raw Data'!H205</f>
        <v>Rojas</v>
      </c>
      <c r="D408" s="44" t="str">
        <f>'Grad Raw Data'!D205</f>
        <v>RIGHT</v>
      </c>
      <c r="E408" s="44">
        <f>'Grad Raw Data'!E205</f>
        <v>9</v>
      </c>
      <c r="G408">
        <v>408</v>
      </c>
      <c r="H408">
        <f t="shared" si="6"/>
        <v>205</v>
      </c>
    </row>
    <row r="409" spans="1:8" ht="24.95" customHeight="1" x14ac:dyDescent="0.25">
      <c r="A409" s="16" t="str">
        <f>'Grad Raw Data'!L205</f>
        <v>Jay-vi-en Ro-haws</v>
      </c>
      <c r="B409" s="20"/>
      <c r="C409" s="20"/>
      <c r="G409">
        <v>409</v>
      </c>
      <c r="H409" t="str">
        <f t="shared" si="6"/>
        <v/>
      </c>
    </row>
    <row r="410" spans="1:8" ht="24.95" customHeight="1" x14ac:dyDescent="0.25">
      <c r="A410" s="20" t="str">
        <f>'Grad Raw Data'!I206</f>
        <v>Ellie</v>
      </c>
      <c r="B410" s="20" t="str">
        <f>'Grad Raw Data'!K206</f>
        <v/>
      </c>
      <c r="C410" s="20" t="str">
        <f>'Grad Raw Data'!H206</f>
        <v>Russo</v>
      </c>
      <c r="D410" s="44" t="str">
        <f>'Grad Raw Data'!D206</f>
        <v>RIGHT</v>
      </c>
      <c r="E410" s="44">
        <f>'Grad Raw Data'!E206</f>
        <v>9</v>
      </c>
      <c r="G410">
        <v>410</v>
      </c>
      <c r="H410">
        <f t="shared" si="6"/>
        <v>206</v>
      </c>
    </row>
    <row r="411" spans="1:8" ht="24.95" customHeight="1" x14ac:dyDescent="0.25">
      <c r="A411" s="16">
        <f>'Grad Raw Data'!L206</f>
        <v>0</v>
      </c>
      <c r="B411" s="20"/>
      <c r="C411" s="20"/>
      <c r="G411">
        <v>411</v>
      </c>
      <c r="H411" t="str">
        <f t="shared" si="6"/>
        <v/>
      </c>
    </row>
    <row r="412" spans="1:8" ht="24.95" customHeight="1" x14ac:dyDescent="0.25">
      <c r="A412" s="20" t="str">
        <f>'Grad Raw Data'!I207</f>
        <v>Rejon</v>
      </c>
      <c r="B412" s="20" t="str">
        <f>'Grad Raw Data'!K207</f>
        <v/>
      </c>
      <c r="C412" s="20" t="str">
        <f>'Grad Raw Data'!H207</f>
        <v>Ryland</v>
      </c>
      <c r="D412" s="44" t="str">
        <f>'Grad Raw Data'!D207</f>
        <v>RIGHT</v>
      </c>
      <c r="E412" s="44">
        <f>'Grad Raw Data'!E207</f>
        <v>9</v>
      </c>
      <c r="G412">
        <v>412</v>
      </c>
      <c r="H412">
        <f t="shared" si="6"/>
        <v>207</v>
      </c>
    </row>
    <row r="413" spans="1:8" ht="24.95" customHeight="1" x14ac:dyDescent="0.25">
      <c r="A413" s="16" t="str">
        <f>'Grad Raw Data'!L207</f>
        <v>ray-john  R-eye-land</v>
      </c>
      <c r="B413" s="20"/>
      <c r="C413" s="20"/>
      <c r="G413">
        <v>413</v>
      </c>
      <c r="H413" t="str">
        <f t="shared" si="6"/>
        <v/>
      </c>
    </row>
    <row r="414" spans="1:8" ht="24.95" customHeight="1" x14ac:dyDescent="0.25">
      <c r="A414" s="20" t="str">
        <f>'Grad Raw Data'!I208</f>
        <v>Lorenzo</v>
      </c>
      <c r="B414" s="20" t="str">
        <f>'Grad Raw Data'!K208</f>
        <v/>
      </c>
      <c r="C414" s="20" t="str">
        <f>'Grad Raw Data'!H208</f>
        <v>Sardinha</v>
      </c>
      <c r="D414" s="44" t="str">
        <f>'Grad Raw Data'!D208</f>
        <v>RIGHT</v>
      </c>
      <c r="E414" s="44">
        <f>'Grad Raw Data'!E208</f>
        <v>9</v>
      </c>
      <c r="G414">
        <v>414</v>
      </c>
      <c r="H414">
        <f t="shared" si="6"/>
        <v>208</v>
      </c>
    </row>
    <row r="415" spans="1:8" ht="24.95" customHeight="1" x14ac:dyDescent="0.25">
      <c r="A415" s="16" t="str">
        <f>'Grad Raw Data'!L208</f>
        <v>loh-REN-zoh sar-DEEN-yah (the nh sounds like “ny”)</v>
      </c>
      <c r="B415" s="20"/>
      <c r="C415" s="20"/>
      <c r="G415">
        <v>415</v>
      </c>
      <c r="H415" t="str">
        <f t="shared" si="6"/>
        <v/>
      </c>
    </row>
    <row r="416" spans="1:8" ht="24.95" customHeight="1" x14ac:dyDescent="0.25">
      <c r="A416" s="20" t="str">
        <f>'Grad Raw Data'!I209</f>
        <v>Noah</v>
      </c>
      <c r="B416" s="20" t="str">
        <f>'Grad Raw Data'!K209</f>
        <v/>
      </c>
      <c r="C416" s="20" t="str">
        <f>'Grad Raw Data'!H209</f>
        <v>Sarre</v>
      </c>
      <c r="D416" s="44" t="str">
        <f>'Grad Raw Data'!D209</f>
        <v>RIGHT</v>
      </c>
      <c r="E416" s="44">
        <f>'Grad Raw Data'!E209</f>
        <v>9</v>
      </c>
      <c r="G416">
        <v>416</v>
      </c>
      <c r="H416">
        <f t="shared" si="6"/>
        <v>209</v>
      </c>
    </row>
    <row r="417" spans="1:8" ht="24.95" customHeight="1" x14ac:dyDescent="0.25">
      <c r="A417" s="16" t="str">
        <f>'Grad Raw Data'!L209</f>
        <v>Sarre (rhymes with car)</v>
      </c>
      <c r="B417" s="20"/>
      <c r="C417" s="20"/>
      <c r="G417">
        <v>417</v>
      </c>
      <c r="H417" t="str">
        <f t="shared" si="6"/>
        <v/>
      </c>
    </row>
    <row r="418" spans="1:8" ht="24.95" customHeight="1" x14ac:dyDescent="0.25">
      <c r="A418" s="20" t="str">
        <f>'Grad Raw Data'!I210</f>
        <v>Katherine</v>
      </c>
      <c r="B418" s="20" t="str">
        <f>'Grad Raw Data'!K210</f>
        <v/>
      </c>
      <c r="C418" s="20" t="str">
        <f>'Grad Raw Data'!H210</f>
        <v>Savio</v>
      </c>
      <c r="D418" s="44" t="str">
        <f>'Grad Raw Data'!D210</f>
        <v>RIGHT</v>
      </c>
      <c r="E418" s="44">
        <f>'Grad Raw Data'!E210</f>
        <v>9</v>
      </c>
      <c r="G418">
        <v>418</v>
      </c>
      <c r="H418">
        <f t="shared" si="6"/>
        <v>210</v>
      </c>
    </row>
    <row r="419" spans="1:8" ht="24.95" customHeight="1" x14ac:dyDescent="0.25">
      <c r="A419" s="16">
        <f>'Grad Raw Data'!L210</f>
        <v>0</v>
      </c>
      <c r="B419" s="20"/>
      <c r="C419" s="20"/>
      <c r="G419">
        <v>419</v>
      </c>
      <c r="H419" t="str">
        <f t="shared" si="6"/>
        <v/>
      </c>
    </row>
    <row r="420" spans="1:8" ht="24.95" customHeight="1" x14ac:dyDescent="0.25">
      <c r="A420" s="20" t="str">
        <f>'Grad Raw Data'!I211</f>
        <v>Megan</v>
      </c>
      <c r="B420" s="20" t="str">
        <f>'Grad Raw Data'!K211</f>
        <v/>
      </c>
      <c r="C420" s="20" t="str">
        <f>'Grad Raw Data'!H211</f>
        <v>Scales</v>
      </c>
      <c r="D420" s="44" t="str">
        <f>'Grad Raw Data'!D211</f>
        <v>LEFT</v>
      </c>
      <c r="E420" s="44">
        <f>'Grad Raw Data'!E211</f>
        <v>9</v>
      </c>
      <c r="G420">
        <v>420</v>
      </c>
      <c r="H420">
        <f t="shared" si="6"/>
        <v>211</v>
      </c>
    </row>
    <row r="421" spans="1:8" ht="24.95" customHeight="1" x14ac:dyDescent="0.25">
      <c r="A421" s="16">
        <f>'Grad Raw Data'!L211</f>
        <v>0</v>
      </c>
      <c r="B421" s="20"/>
      <c r="C421" s="20"/>
      <c r="G421">
        <v>421</v>
      </c>
      <c r="H421" t="str">
        <f t="shared" si="6"/>
        <v/>
      </c>
    </row>
    <row r="422" spans="1:8" ht="24.95" customHeight="1" x14ac:dyDescent="0.25">
      <c r="A422" s="20" t="str">
        <f>'Grad Raw Data'!I212</f>
        <v>Sophie</v>
      </c>
      <c r="B422" s="20" t="str">
        <f>'Grad Raw Data'!K212</f>
        <v/>
      </c>
      <c r="C422" s="20" t="str">
        <f>'Grad Raw Data'!H212</f>
        <v>Schrager</v>
      </c>
      <c r="D422" s="44" t="str">
        <f>'Grad Raw Data'!D212</f>
        <v>LEFT</v>
      </c>
      <c r="E422" s="44">
        <f>'Grad Raw Data'!E212</f>
        <v>9</v>
      </c>
      <c r="G422">
        <v>422</v>
      </c>
      <c r="H422">
        <f t="shared" si="6"/>
        <v>212</v>
      </c>
    </row>
    <row r="423" spans="1:8" ht="24.95" customHeight="1" x14ac:dyDescent="0.25">
      <c r="A423" s="16" t="str">
        <f>'Grad Raw Data'!L212</f>
        <v>Soh-fee Shray-ger</v>
      </c>
      <c r="B423" s="20"/>
      <c r="C423" s="20"/>
      <c r="G423">
        <v>423</v>
      </c>
      <c r="H423" t="str">
        <f t="shared" si="6"/>
        <v/>
      </c>
    </row>
    <row r="424" spans="1:8" ht="24.95" customHeight="1" x14ac:dyDescent="0.25">
      <c r="A424" s="20" t="str">
        <f>'Grad Raw Data'!I213</f>
        <v>Rylie</v>
      </c>
      <c r="B424" s="20" t="str">
        <f>'Grad Raw Data'!K213</f>
        <v/>
      </c>
      <c r="C424" s="20" t="str">
        <f>'Grad Raw Data'!H213</f>
        <v>Schultz</v>
      </c>
      <c r="D424" s="44" t="str">
        <f>'Grad Raw Data'!D213</f>
        <v>LEFT</v>
      </c>
      <c r="E424" s="44">
        <f>'Grad Raw Data'!E213</f>
        <v>9</v>
      </c>
      <c r="G424">
        <v>424</v>
      </c>
      <c r="H424">
        <f t="shared" si="6"/>
        <v>213</v>
      </c>
    </row>
    <row r="425" spans="1:8" ht="24.95" customHeight="1" x14ac:dyDescent="0.25">
      <c r="A425" s="16">
        <f>'Grad Raw Data'!L213</f>
        <v>0</v>
      </c>
      <c r="B425" s="20"/>
      <c r="C425" s="20"/>
      <c r="G425">
        <v>425</v>
      </c>
      <c r="H425" t="str">
        <f t="shared" si="6"/>
        <v/>
      </c>
    </row>
    <row r="426" spans="1:8" ht="24.95" customHeight="1" x14ac:dyDescent="0.25">
      <c r="A426" s="20" t="str">
        <f>'Grad Raw Data'!I214</f>
        <v>Madeline</v>
      </c>
      <c r="B426" s="20" t="str">
        <f>'Grad Raw Data'!K214</f>
        <v/>
      </c>
      <c r="C426" s="20" t="str">
        <f>'Grad Raw Data'!H214</f>
        <v>Scully</v>
      </c>
      <c r="D426" s="44" t="str">
        <f>'Grad Raw Data'!D214</f>
        <v>LEFT</v>
      </c>
      <c r="E426" s="44">
        <f>'Grad Raw Data'!E214</f>
        <v>9</v>
      </c>
      <c r="G426">
        <v>426</v>
      </c>
      <c r="H426">
        <f t="shared" si="6"/>
        <v>214</v>
      </c>
    </row>
    <row r="427" spans="1:8" ht="24.95" customHeight="1" x14ac:dyDescent="0.25">
      <c r="A427" s="16" t="str">
        <f>'Grad Raw Data'!L215</f>
        <v>Sachi (Sa-Chee) Selvakumar (Selva-koomar)</v>
      </c>
      <c r="B427" s="20"/>
      <c r="C427" s="20"/>
      <c r="G427">
        <v>427</v>
      </c>
      <c r="H427" t="str">
        <f t="shared" si="6"/>
        <v/>
      </c>
    </row>
    <row r="428" spans="1:8" ht="24.95" customHeight="1" x14ac:dyDescent="0.25">
      <c r="A428" s="20" t="str">
        <f>'Grad Raw Data'!I215</f>
        <v>Sachi</v>
      </c>
      <c r="B428" s="20" t="str">
        <f>'Grad Raw Data'!K215</f>
        <v/>
      </c>
      <c r="C428" s="20" t="str">
        <f>'Grad Raw Data'!H215</f>
        <v>Selvakumar</v>
      </c>
      <c r="D428" s="44" t="str">
        <f>'Grad Raw Data'!D215</f>
        <v>LEFT</v>
      </c>
      <c r="E428" s="44">
        <f>'Grad Raw Data'!E215</f>
        <v>9</v>
      </c>
      <c r="G428">
        <v>428</v>
      </c>
      <c r="H428">
        <f t="shared" si="6"/>
        <v>215</v>
      </c>
    </row>
    <row r="429" spans="1:8" ht="24.95" customHeight="1" x14ac:dyDescent="0.25">
      <c r="A429" s="16" t="str">
        <f>'Grad Raw Data'!L215</f>
        <v>Sachi (Sa-Chee) Selvakumar (Selva-koomar)</v>
      </c>
      <c r="B429" s="20"/>
      <c r="C429" s="20"/>
      <c r="G429">
        <v>429</v>
      </c>
      <c r="H429" t="str">
        <f t="shared" si="6"/>
        <v/>
      </c>
    </row>
    <row r="430" spans="1:8" ht="24.95" customHeight="1" x14ac:dyDescent="0.25">
      <c r="A430" s="20" t="str">
        <f>'Grad Raw Data'!I216</f>
        <v>Katie</v>
      </c>
      <c r="B430" s="20" t="str">
        <f>'Grad Raw Data'!K216</f>
        <v/>
      </c>
      <c r="C430" s="20" t="str">
        <f>'Grad Raw Data'!H216</f>
        <v>Severance</v>
      </c>
      <c r="D430" s="44" t="str">
        <f>'Grad Raw Data'!D216</f>
        <v>LEFT</v>
      </c>
      <c r="E430" s="44">
        <f>'Grad Raw Data'!E216</f>
        <v>9</v>
      </c>
      <c r="G430">
        <v>430</v>
      </c>
      <c r="H430">
        <f t="shared" si="6"/>
        <v>216</v>
      </c>
    </row>
    <row r="431" spans="1:8" ht="24.95" customHeight="1" x14ac:dyDescent="0.25">
      <c r="A431" s="16">
        <f>'Grad Raw Data'!L216</f>
        <v>0</v>
      </c>
      <c r="B431" s="20"/>
      <c r="C431" s="20"/>
      <c r="G431">
        <v>431</v>
      </c>
      <c r="H431" t="str">
        <f t="shared" si="6"/>
        <v/>
      </c>
    </row>
    <row r="432" spans="1:8" ht="24.95" customHeight="1" x14ac:dyDescent="0.25">
      <c r="A432" s="20" t="str">
        <f>'Grad Raw Data'!I217</f>
        <v>Annabelle</v>
      </c>
      <c r="B432" s="20" t="str">
        <f>'Grad Raw Data'!K217</f>
        <v/>
      </c>
      <c r="C432" s="20" t="str">
        <f>'Grad Raw Data'!H217</f>
        <v>Shanley</v>
      </c>
      <c r="D432" s="44" t="str">
        <f>'Grad Raw Data'!D217</f>
        <v>LEFT</v>
      </c>
      <c r="E432" s="44">
        <f>'Grad Raw Data'!E217</f>
        <v>9</v>
      </c>
      <c r="G432">
        <v>432</v>
      </c>
      <c r="H432">
        <f t="shared" si="6"/>
        <v>217</v>
      </c>
    </row>
    <row r="433" spans="1:8" ht="24.95" customHeight="1" x14ac:dyDescent="0.25">
      <c r="A433" s="16">
        <f>'Grad Raw Data'!L217</f>
        <v>0</v>
      </c>
      <c r="B433" s="20"/>
      <c r="C433" s="20"/>
      <c r="G433">
        <v>433</v>
      </c>
      <c r="H433" t="str">
        <f t="shared" si="6"/>
        <v/>
      </c>
    </row>
    <row r="434" spans="1:8" ht="24.95" customHeight="1" x14ac:dyDescent="0.25">
      <c r="A434" s="20" t="str">
        <f>'Grad Raw Data'!I218</f>
        <v>Emme</v>
      </c>
      <c r="B434" s="20" t="str">
        <f>'Grad Raw Data'!K218</f>
        <v/>
      </c>
      <c r="C434" s="20" t="str">
        <f>'Grad Raw Data'!H218</f>
        <v>Shediac</v>
      </c>
      <c r="D434" s="44" t="str">
        <f>'Grad Raw Data'!D218</f>
        <v>LEFT</v>
      </c>
      <c r="E434" s="44">
        <f>'Grad Raw Data'!E218</f>
        <v>9</v>
      </c>
      <c r="G434">
        <v>434</v>
      </c>
      <c r="H434">
        <f t="shared" si="6"/>
        <v>218</v>
      </c>
    </row>
    <row r="435" spans="1:8" ht="24.95" customHeight="1" x14ac:dyDescent="0.25">
      <c r="A435" s="16" t="str">
        <f>'Grad Raw Data'!L218</f>
        <v>Em-ee Shed-ee-ack</v>
      </c>
      <c r="B435" s="20"/>
      <c r="C435" s="20"/>
      <c r="G435">
        <v>435</v>
      </c>
      <c r="H435" t="str">
        <f t="shared" si="6"/>
        <v/>
      </c>
    </row>
    <row r="436" spans="1:8" ht="24.95" customHeight="1" x14ac:dyDescent="0.25">
      <c r="A436" s="20" t="str">
        <f>'Grad Raw Data'!I219</f>
        <v>Allison</v>
      </c>
      <c r="B436" s="20" t="str">
        <f>'Grad Raw Data'!K219</f>
        <v>Claire</v>
      </c>
      <c r="C436" s="20" t="str">
        <f>'Grad Raw Data'!H219</f>
        <v>Shindelman</v>
      </c>
      <c r="D436" s="44" t="str">
        <f>'Grad Raw Data'!D219</f>
        <v>LEFT</v>
      </c>
      <c r="E436" s="44">
        <f>'Grad Raw Data'!E219</f>
        <v>9</v>
      </c>
      <c r="G436">
        <v>436</v>
      </c>
      <c r="H436">
        <f t="shared" si="6"/>
        <v>219</v>
      </c>
    </row>
    <row r="437" spans="1:8" ht="24.95" customHeight="1" x14ac:dyDescent="0.25">
      <c r="A437" s="16">
        <f>'Grad Raw Data'!L219</f>
        <v>0</v>
      </c>
      <c r="B437" s="20"/>
      <c r="C437" s="20"/>
      <c r="G437">
        <v>437</v>
      </c>
      <c r="H437" t="str">
        <f t="shared" si="6"/>
        <v/>
      </c>
    </row>
    <row r="438" spans="1:8" ht="24.95" customHeight="1" x14ac:dyDescent="0.25">
      <c r="A438" s="20" t="str">
        <f>'Grad Raw Data'!I220</f>
        <v>John</v>
      </c>
      <c r="B438" s="20" t="str">
        <f>'Grad Raw Data'!K220</f>
        <v>Paul</v>
      </c>
      <c r="C438" s="20" t="str">
        <f>'Grad Raw Data'!H220</f>
        <v>Siciliano</v>
      </c>
      <c r="D438" s="44" t="str">
        <f>'Grad Raw Data'!D220</f>
        <v>LEFT</v>
      </c>
      <c r="E438" s="44">
        <f>'Grad Raw Data'!E220</f>
        <v>9</v>
      </c>
      <c r="G438">
        <v>438</v>
      </c>
      <c r="H438">
        <f t="shared" si="6"/>
        <v>220</v>
      </c>
    </row>
    <row r="439" spans="1:8" ht="24.95" customHeight="1" x14ac:dyDescent="0.25">
      <c r="A439" s="16" t="str">
        <f>'Grad Raw Data'!L220</f>
        <v xml:space="preserve">Sih silly ano </v>
      </c>
      <c r="B439" s="20"/>
      <c r="C439" s="20"/>
      <c r="G439">
        <v>439</v>
      </c>
      <c r="H439" t="str">
        <f t="shared" si="6"/>
        <v/>
      </c>
    </row>
    <row r="440" spans="1:8" ht="24.95" customHeight="1" x14ac:dyDescent="0.25">
      <c r="A440" s="20" t="str">
        <f>'Grad Raw Data'!I221</f>
        <v>Owen</v>
      </c>
      <c r="B440" s="20" t="str">
        <f>'Grad Raw Data'!K221</f>
        <v/>
      </c>
      <c r="C440" s="20" t="str">
        <f>'Grad Raw Data'!H221</f>
        <v>Sinclair</v>
      </c>
      <c r="D440" s="44" t="str">
        <f>'Grad Raw Data'!D221</f>
        <v>LEFT</v>
      </c>
      <c r="E440" s="44">
        <f>'Grad Raw Data'!E221</f>
        <v>9</v>
      </c>
      <c r="G440">
        <v>440</v>
      </c>
      <c r="H440">
        <f t="shared" si="6"/>
        <v>221</v>
      </c>
    </row>
    <row r="441" spans="1:8" ht="24.95" customHeight="1" x14ac:dyDescent="0.25">
      <c r="A441" s="16">
        <f>'Grad Raw Data'!L221</f>
        <v>0</v>
      </c>
      <c r="B441" s="20"/>
      <c r="C441" s="20"/>
      <c r="G441">
        <v>441</v>
      </c>
      <c r="H441" t="str">
        <f t="shared" si="6"/>
        <v/>
      </c>
    </row>
    <row r="442" spans="1:8" ht="24.95" customHeight="1" x14ac:dyDescent="0.25">
      <c r="A442" s="20" t="str">
        <f>'Grad Raw Data'!I222</f>
        <v>Sierra</v>
      </c>
      <c r="B442" s="20" t="str">
        <f>'Grad Raw Data'!K222</f>
        <v/>
      </c>
      <c r="C442" s="20" t="str">
        <f>'Grad Raw Data'!H222</f>
        <v>Skenderian</v>
      </c>
      <c r="D442" s="44" t="str">
        <f>'Grad Raw Data'!D222</f>
        <v>LEFT</v>
      </c>
      <c r="E442" s="44">
        <f>'Grad Raw Data'!E222</f>
        <v>9</v>
      </c>
      <c r="G442">
        <v>442</v>
      </c>
      <c r="H442">
        <f t="shared" si="6"/>
        <v>222</v>
      </c>
    </row>
    <row r="443" spans="1:8" ht="24.95" customHeight="1" x14ac:dyDescent="0.25">
      <c r="A443" s="16" t="str">
        <f>'Grad Raw Data'!L222</f>
        <v>Skin-dare-eee-n</v>
      </c>
      <c r="B443" s="20"/>
      <c r="C443" s="20"/>
      <c r="G443">
        <v>443</v>
      </c>
      <c r="H443" t="str">
        <f t="shared" si="6"/>
        <v/>
      </c>
    </row>
    <row r="444" spans="1:8" ht="24.95" customHeight="1" x14ac:dyDescent="0.25">
      <c r="A444" s="20" t="str">
        <f>'Grad Raw Data'!I223</f>
        <v>John</v>
      </c>
      <c r="B444" s="20" t="str">
        <f>'Grad Raw Data'!K223</f>
        <v/>
      </c>
      <c r="C444" s="20" t="str">
        <f>'Grad Raw Data'!H223</f>
        <v>Slinn</v>
      </c>
      <c r="D444" s="44" t="str">
        <f>'Grad Raw Data'!D223</f>
        <v>RIGHT</v>
      </c>
      <c r="E444" s="44">
        <f>'Grad Raw Data'!E223</f>
        <v>10</v>
      </c>
      <c r="G444">
        <v>444</v>
      </c>
      <c r="H444">
        <f t="shared" si="6"/>
        <v>223</v>
      </c>
    </row>
    <row r="445" spans="1:8" ht="24.95" customHeight="1" x14ac:dyDescent="0.25">
      <c r="A445" s="16" t="str">
        <f>'Grad Raw Data'!L223</f>
        <v>John Slinn</v>
      </c>
      <c r="B445" s="20"/>
      <c r="C445" s="20"/>
      <c r="G445">
        <v>445</v>
      </c>
      <c r="H445" t="str">
        <f t="shared" si="6"/>
        <v/>
      </c>
    </row>
    <row r="446" spans="1:8" ht="24.95" customHeight="1" x14ac:dyDescent="0.25">
      <c r="A446" s="20" t="str">
        <f>'Grad Raw Data'!I224</f>
        <v>Julia</v>
      </c>
      <c r="B446" s="20" t="str">
        <f>'Grad Raw Data'!K224</f>
        <v/>
      </c>
      <c r="C446" s="20" t="str">
        <f>'Grad Raw Data'!H224</f>
        <v>Smith</v>
      </c>
      <c r="D446" s="44" t="str">
        <f>'Grad Raw Data'!D224</f>
        <v>RIGHT</v>
      </c>
      <c r="E446" s="44">
        <f>'Grad Raw Data'!E224</f>
        <v>10</v>
      </c>
      <c r="G446">
        <v>446</v>
      </c>
      <c r="H446">
        <f t="shared" si="6"/>
        <v>224</v>
      </c>
    </row>
    <row r="447" spans="1:8" ht="24.95" customHeight="1" x14ac:dyDescent="0.25">
      <c r="A447" s="16">
        <f>'Grad Raw Data'!L224</f>
        <v>0</v>
      </c>
      <c r="B447" s="20"/>
      <c r="C447" s="20"/>
      <c r="G447">
        <v>447</v>
      </c>
      <c r="H447" t="str">
        <f t="shared" si="6"/>
        <v/>
      </c>
    </row>
    <row r="448" spans="1:8" ht="24.95" customHeight="1" x14ac:dyDescent="0.25">
      <c r="A448" s="20" t="str">
        <f>'Grad Raw Data'!I225</f>
        <v>Noah</v>
      </c>
      <c r="B448" s="20" t="str">
        <f>'Grad Raw Data'!K225</f>
        <v/>
      </c>
      <c r="C448" s="20" t="str">
        <f>'Grad Raw Data'!H225</f>
        <v>Snyder</v>
      </c>
      <c r="D448" s="44" t="str">
        <f>'Grad Raw Data'!D225</f>
        <v>RIGHT</v>
      </c>
      <c r="E448" s="44">
        <f>'Grad Raw Data'!E225</f>
        <v>10</v>
      </c>
      <c r="G448">
        <v>448</v>
      </c>
      <c r="H448">
        <f t="shared" si="6"/>
        <v>225</v>
      </c>
    </row>
    <row r="449" spans="1:8" ht="24.95" customHeight="1" x14ac:dyDescent="0.25">
      <c r="A449" s="16">
        <f>'Grad Raw Data'!L225</f>
        <v>0</v>
      </c>
      <c r="B449" s="20"/>
      <c r="C449" s="20"/>
      <c r="G449">
        <v>449</v>
      </c>
      <c r="H449" t="str">
        <f t="shared" si="6"/>
        <v/>
      </c>
    </row>
    <row r="450" spans="1:8" ht="24.95" customHeight="1" x14ac:dyDescent="0.25">
      <c r="A450" s="20" t="str">
        <f>'Grad Raw Data'!I226</f>
        <v>Aaron</v>
      </c>
      <c r="B450" s="20" t="str">
        <f>'Grad Raw Data'!K226</f>
        <v>Sylvan</v>
      </c>
      <c r="C450" s="20" t="str">
        <f>'Grad Raw Data'!H226</f>
        <v>Soto</v>
      </c>
      <c r="D450" s="44" t="str">
        <f>'Grad Raw Data'!D226</f>
        <v>RIGHT</v>
      </c>
      <c r="E450" s="44">
        <f>'Grad Raw Data'!E226</f>
        <v>10</v>
      </c>
      <c r="G450">
        <v>450</v>
      </c>
      <c r="H450">
        <f t="shared" si="6"/>
        <v>226</v>
      </c>
    </row>
    <row r="451" spans="1:8" ht="24.95" customHeight="1" x14ac:dyDescent="0.25">
      <c r="A451" s="16" t="str">
        <f>'Grad Raw Data'!L226</f>
        <v>For middle name: Sill-ven</v>
      </c>
      <c r="B451" s="20"/>
      <c r="C451" s="20"/>
      <c r="G451">
        <v>451</v>
      </c>
      <c r="H451" t="str">
        <f t="shared" ref="H451:H513" si="7">IF(MOD((G451+2)/1,2)=0,(G451/2+1),"")</f>
        <v/>
      </c>
    </row>
    <row r="452" spans="1:8" ht="24.95" customHeight="1" x14ac:dyDescent="0.25">
      <c r="A452" s="20" t="str">
        <f>'Grad Raw Data'!I227</f>
        <v>Andrew</v>
      </c>
      <c r="B452" s="20" t="str">
        <f>'Grad Raw Data'!K227</f>
        <v/>
      </c>
      <c r="C452" s="20" t="str">
        <f>'Grad Raw Data'!H227</f>
        <v>Spencer</v>
      </c>
      <c r="D452" s="44" t="str">
        <f>'Grad Raw Data'!D227</f>
        <v>RIGHT</v>
      </c>
      <c r="E452" s="44">
        <f>'Grad Raw Data'!E227</f>
        <v>10</v>
      </c>
      <c r="G452">
        <v>452</v>
      </c>
      <c r="H452">
        <f t="shared" si="7"/>
        <v>227</v>
      </c>
    </row>
    <row r="453" spans="1:8" ht="24.95" customHeight="1" x14ac:dyDescent="0.25">
      <c r="A453" s="16">
        <f>'Grad Raw Data'!L227</f>
        <v>0</v>
      </c>
      <c r="B453" s="20"/>
      <c r="C453" s="20"/>
      <c r="G453">
        <v>453</v>
      </c>
      <c r="H453" t="str">
        <f t="shared" si="7"/>
        <v/>
      </c>
    </row>
    <row r="454" spans="1:8" ht="24.95" customHeight="1" x14ac:dyDescent="0.25">
      <c r="A454" s="20" t="str">
        <f>'Grad Raw Data'!I228</f>
        <v>Elias</v>
      </c>
      <c r="B454" s="20" t="str">
        <f>'Grad Raw Data'!K228</f>
        <v/>
      </c>
      <c r="C454" s="20" t="str">
        <f>'Grad Raw Data'!H228</f>
        <v>Speros</v>
      </c>
      <c r="D454" s="44" t="str">
        <f>'Grad Raw Data'!D228</f>
        <v>RIGHT</v>
      </c>
      <c r="E454" s="44">
        <f>'Grad Raw Data'!E228</f>
        <v>10</v>
      </c>
      <c r="G454">
        <v>454</v>
      </c>
      <c r="H454">
        <f t="shared" si="7"/>
        <v>228</v>
      </c>
    </row>
    <row r="455" spans="1:8" ht="24.95" customHeight="1" x14ac:dyDescent="0.25">
      <c r="A455" s="16">
        <f>'Grad Raw Data'!L228</f>
        <v>0</v>
      </c>
      <c r="B455" s="20"/>
      <c r="C455" s="20"/>
      <c r="G455">
        <v>455</v>
      </c>
      <c r="H455" t="str">
        <f t="shared" si="7"/>
        <v/>
      </c>
    </row>
    <row r="456" spans="1:8" ht="24.95" customHeight="1" x14ac:dyDescent="0.25">
      <c r="A456" s="20" t="str">
        <f>'Grad Raw Data'!I229</f>
        <v>Ava</v>
      </c>
      <c r="B456" s="20" t="str">
        <f>'Grad Raw Data'!K229</f>
        <v/>
      </c>
      <c r="C456" s="20" t="str">
        <f>'Grad Raw Data'!H229</f>
        <v>Spinazzola</v>
      </c>
      <c r="D456" s="44" t="str">
        <f>'Grad Raw Data'!D229</f>
        <v>RIGHT</v>
      </c>
      <c r="E456" s="44">
        <f>'Grad Raw Data'!E229</f>
        <v>10</v>
      </c>
      <c r="G456">
        <v>456</v>
      </c>
      <c r="H456">
        <f t="shared" si="7"/>
        <v>229</v>
      </c>
    </row>
    <row r="457" spans="1:8" ht="24.95" customHeight="1" x14ac:dyDescent="0.25">
      <c r="A457" s="16">
        <f>'Grad Raw Data'!L229</f>
        <v>0</v>
      </c>
      <c r="B457" s="20"/>
      <c r="C457" s="20"/>
      <c r="G457">
        <v>457</v>
      </c>
      <c r="H457" t="str">
        <f t="shared" si="7"/>
        <v/>
      </c>
    </row>
    <row r="458" spans="1:8" ht="24.95" customHeight="1" x14ac:dyDescent="0.25">
      <c r="A458" s="20" t="str">
        <f>'Grad Raw Data'!I230</f>
        <v>Ava</v>
      </c>
      <c r="B458" s="20" t="str">
        <f>'Grad Raw Data'!K230</f>
        <v/>
      </c>
      <c r="C458" s="20" t="str">
        <f>'Grad Raw Data'!H230</f>
        <v>Staffier</v>
      </c>
      <c r="D458" s="44" t="str">
        <f>'Grad Raw Data'!D230</f>
        <v>RIGHT</v>
      </c>
      <c r="E458" s="44">
        <f>'Grad Raw Data'!E230</f>
        <v>10</v>
      </c>
      <c r="G458">
        <v>458</v>
      </c>
      <c r="H458">
        <f t="shared" si="7"/>
        <v>230</v>
      </c>
    </row>
    <row r="459" spans="1:8" ht="24.95" customHeight="1" x14ac:dyDescent="0.25">
      <c r="A459" s="16" t="str">
        <f>'Grad Raw Data'!L230</f>
        <v>Ay-va Staff-ee-r</v>
      </c>
      <c r="B459" s="20"/>
      <c r="C459" s="20"/>
      <c r="G459">
        <v>459</v>
      </c>
      <c r="H459" t="str">
        <f t="shared" si="7"/>
        <v/>
      </c>
    </row>
    <row r="460" spans="1:8" ht="24.95" customHeight="1" x14ac:dyDescent="0.25">
      <c r="A460" s="20" t="str">
        <f>'Grad Raw Data'!I231</f>
        <v>Charlie</v>
      </c>
      <c r="B460" s="20" t="str">
        <f>'Grad Raw Data'!K231</f>
        <v/>
      </c>
      <c r="C460" s="20" t="str">
        <f>'Grad Raw Data'!H231</f>
        <v>Studley</v>
      </c>
      <c r="D460" s="44" t="str">
        <f>'Grad Raw Data'!D231</f>
        <v>RIGHT</v>
      </c>
      <c r="E460" s="44">
        <f>'Grad Raw Data'!E231</f>
        <v>10</v>
      </c>
      <c r="G460">
        <v>460</v>
      </c>
      <c r="H460">
        <f t="shared" si="7"/>
        <v>231</v>
      </c>
    </row>
    <row r="461" spans="1:8" ht="24.95" customHeight="1" x14ac:dyDescent="0.25">
      <c r="A461" s="16">
        <f>'Grad Raw Data'!L231</f>
        <v>0</v>
      </c>
      <c r="B461" s="20"/>
      <c r="C461" s="20"/>
      <c r="G461">
        <v>461</v>
      </c>
      <c r="H461" t="str">
        <f t="shared" si="7"/>
        <v/>
      </c>
    </row>
    <row r="462" spans="1:8" ht="24.95" customHeight="1" x14ac:dyDescent="0.25">
      <c r="A462" s="20" t="str">
        <f>'Grad Raw Data'!I232</f>
        <v>Nolan</v>
      </c>
      <c r="B462" s="20" t="str">
        <f>'Grad Raw Data'!K232</f>
        <v/>
      </c>
      <c r="C462" s="20" t="str">
        <f>'Grad Raw Data'!H232</f>
        <v>Sullivan</v>
      </c>
      <c r="D462" s="44" t="str">
        <f>'Grad Raw Data'!D232</f>
        <v>RIGHT</v>
      </c>
      <c r="E462" s="44">
        <f>'Grad Raw Data'!E232</f>
        <v>10</v>
      </c>
      <c r="G462">
        <v>462</v>
      </c>
      <c r="H462">
        <f t="shared" si="7"/>
        <v>232</v>
      </c>
    </row>
    <row r="463" spans="1:8" ht="24.95" customHeight="1" x14ac:dyDescent="0.25">
      <c r="A463" s="16" t="str">
        <f>'Grad Raw Data'!L232</f>
        <v>Nolan Sullivan</v>
      </c>
      <c r="B463" s="20"/>
      <c r="C463" s="20"/>
      <c r="G463">
        <v>463</v>
      </c>
      <c r="H463" t="str">
        <f t="shared" si="7"/>
        <v/>
      </c>
    </row>
    <row r="464" spans="1:8" ht="24.95" customHeight="1" x14ac:dyDescent="0.25">
      <c r="A464" s="20" t="str">
        <f>'Grad Raw Data'!I233</f>
        <v>Sabrina</v>
      </c>
      <c r="B464" s="20" t="str">
        <f>'Grad Raw Data'!K233</f>
        <v/>
      </c>
      <c r="C464" s="20" t="str">
        <f>'Grad Raw Data'!H233</f>
        <v>Sweat</v>
      </c>
      <c r="D464" s="44" t="str">
        <f>'Grad Raw Data'!D233</f>
        <v>RIGHT</v>
      </c>
      <c r="E464" s="44">
        <f>'Grad Raw Data'!E233</f>
        <v>10</v>
      </c>
      <c r="G464">
        <v>464</v>
      </c>
      <c r="H464">
        <f t="shared" si="7"/>
        <v>233</v>
      </c>
    </row>
    <row r="465" spans="1:8" ht="24.95" customHeight="1" x14ac:dyDescent="0.25">
      <c r="A465" s="16">
        <f>'Grad Raw Data'!L233</f>
        <v>0</v>
      </c>
      <c r="B465" s="20"/>
      <c r="C465" s="20"/>
      <c r="G465">
        <v>465</v>
      </c>
      <c r="H465" t="str">
        <f t="shared" si="7"/>
        <v/>
      </c>
    </row>
    <row r="466" spans="1:8" ht="24.95" customHeight="1" x14ac:dyDescent="0.25">
      <c r="A466" s="20" t="str">
        <f>'Grad Raw Data'!I234</f>
        <v>Brooklynne</v>
      </c>
      <c r="B466" s="20" t="str">
        <f>'Grad Raw Data'!K234</f>
        <v/>
      </c>
      <c r="C466" s="20" t="str">
        <f>'Grad Raw Data'!H234</f>
        <v>Tartarini</v>
      </c>
      <c r="D466" s="44" t="str">
        <f>'Grad Raw Data'!D234</f>
        <v>RIGHT</v>
      </c>
      <c r="E466" s="44">
        <f>'Grad Raw Data'!E234</f>
        <v>10</v>
      </c>
      <c r="G466">
        <v>466</v>
      </c>
      <c r="H466">
        <f t="shared" si="7"/>
        <v>234</v>
      </c>
    </row>
    <row r="467" spans="1:8" ht="24.95" customHeight="1" x14ac:dyDescent="0.25">
      <c r="A467" s="16">
        <f>'Grad Raw Data'!L234</f>
        <v>0</v>
      </c>
      <c r="B467" s="20"/>
      <c r="C467" s="20"/>
      <c r="G467">
        <v>467</v>
      </c>
      <c r="H467" t="str">
        <f t="shared" si="7"/>
        <v/>
      </c>
    </row>
    <row r="468" spans="1:8" ht="24.95" customHeight="1" x14ac:dyDescent="0.25">
      <c r="A468" s="20" t="str">
        <f>'Grad Raw Data'!I235</f>
        <v>Nina</v>
      </c>
      <c r="B468" s="20" t="str">
        <f>'Grad Raw Data'!K235</f>
        <v/>
      </c>
      <c r="C468" s="20" t="str">
        <f>'Grad Raw Data'!H235</f>
        <v>Taubman</v>
      </c>
      <c r="D468" s="44" t="str">
        <f>'Grad Raw Data'!D235</f>
        <v>LEFT</v>
      </c>
      <c r="E468" s="44">
        <f>'Grad Raw Data'!E235</f>
        <v>10</v>
      </c>
      <c r="G468">
        <v>468</v>
      </c>
      <c r="H468">
        <f t="shared" si="7"/>
        <v>235</v>
      </c>
    </row>
    <row r="469" spans="1:8" ht="24.95" customHeight="1" x14ac:dyDescent="0.25">
      <c r="A469" s="16" t="str">
        <f>'Grad Raw Data'!L235</f>
        <v>Ta-ow-b-man</v>
      </c>
      <c r="B469" s="20"/>
      <c r="C469" s="20"/>
      <c r="G469">
        <v>469</v>
      </c>
      <c r="H469" t="str">
        <f t="shared" si="7"/>
        <v/>
      </c>
    </row>
    <row r="470" spans="1:8" ht="24.95" customHeight="1" x14ac:dyDescent="0.25">
      <c r="A470" s="20" t="str">
        <f>'Grad Raw Data'!I236</f>
        <v>Natalie</v>
      </c>
      <c r="B470" s="20" t="str">
        <f>'Grad Raw Data'!K236</f>
        <v/>
      </c>
      <c r="C470" s="20" t="str">
        <f>'Grad Raw Data'!H236</f>
        <v>Tawadros</v>
      </c>
      <c r="D470" s="44" t="str">
        <f>'Grad Raw Data'!D236</f>
        <v>LEFT</v>
      </c>
      <c r="E470" s="44">
        <f>'Grad Raw Data'!E236</f>
        <v>10</v>
      </c>
      <c r="G470">
        <v>470</v>
      </c>
      <c r="H470">
        <f t="shared" si="7"/>
        <v>236</v>
      </c>
    </row>
    <row r="471" spans="1:8" ht="24.95" customHeight="1" x14ac:dyDescent="0.25">
      <c r="A471" s="16" t="str">
        <f>'Grad Raw Data'!L236</f>
        <v>na-tah-lee ta-wa-dros</v>
      </c>
      <c r="B471" s="20"/>
      <c r="C471" s="20"/>
      <c r="G471">
        <v>471</v>
      </c>
      <c r="H471" t="str">
        <f t="shared" si="7"/>
        <v/>
      </c>
    </row>
    <row r="472" spans="1:8" ht="24.95" customHeight="1" x14ac:dyDescent="0.25">
      <c r="A472" s="20" t="str">
        <f>'Grad Raw Data'!I237</f>
        <v>Samantha</v>
      </c>
      <c r="B472" s="20" t="str">
        <f>'Grad Raw Data'!K237</f>
        <v/>
      </c>
      <c r="C472" s="20" t="str">
        <f>'Grad Raw Data'!H237</f>
        <v>Toomey</v>
      </c>
      <c r="D472" s="44" t="str">
        <f>'Grad Raw Data'!D237</f>
        <v>LEFT</v>
      </c>
      <c r="E472" s="44">
        <f>'Grad Raw Data'!E237</f>
        <v>10</v>
      </c>
      <c r="G472">
        <v>472</v>
      </c>
      <c r="H472">
        <f t="shared" si="7"/>
        <v>237</v>
      </c>
    </row>
    <row r="473" spans="1:8" ht="24.95" customHeight="1" x14ac:dyDescent="0.25">
      <c r="A473" s="16" t="str">
        <f>'Grad Raw Data'!L237</f>
        <v xml:space="preserve">Samantha Toomey </v>
      </c>
      <c r="B473" s="20"/>
      <c r="C473" s="20"/>
      <c r="G473">
        <v>473</v>
      </c>
      <c r="H473" t="str">
        <f t="shared" si="7"/>
        <v/>
      </c>
    </row>
    <row r="474" spans="1:8" ht="24.95" customHeight="1" x14ac:dyDescent="0.25">
      <c r="A474" s="20" t="str">
        <f>'Grad Raw Data'!I238</f>
        <v>Alyson</v>
      </c>
      <c r="B474" s="20" t="str">
        <f>'Grad Raw Data'!K238</f>
        <v/>
      </c>
      <c r="C474" s="20" t="str">
        <f>'Grad Raw Data'!H238</f>
        <v>Torrens</v>
      </c>
      <c r="D474" s="44" t="str">
        <f>'Grad Raw Data'!D238</f>
        <v>LEFT</v>
      </c>
      <c r="E474" s="44">
        <f>'Grad Raw Data'!E238</f>
        <v>10</v>
      </c>
      <c r="G474">
        <v>474</v>
      </c>
      <c r="H474">
        <f t="shared" si="7"/>
        <v>238</v>
      </c>
    </row>
    <row r="475" spans="1:8" ht="24.95" customHeight="1" x14ac:dyDescent="0.25">
      <c r="A475" s="16">
        <f>'Grad Raw Data'!L238</f>
        <v>0</v>
      </c>
      <c r="B475" s="20"/>
      <c r="C475" s="20"/>
      <c r="G475">
        <v>475</v>
      </c>
      <c r="H475" t="str">
        <f t="shared" si="7"/>
        <v/>
      </c>
    </row>
    <row r="476" spans="1:8" ht="24.95" customHeight="1" x14ac:dyDescent="0.25">
      <c r="A476" s="20" t="str">
        <f>'Grad Raw Data'!I239</f>
        <v>Franklin</v>
      </c>
      <c r="B476" s="20" t="str">
        <f>'Grad Raw Data'!K239</f>
        <v/>
      </c>
      <c r="C476" s="20" t="str">
        <f>'Grad Raw Data'!H239</f>
        <v>Travassos</v>
      </c>
      <c r="D476" s="44" t="str">
        <f>'Grad Raw Data'!D239</f>
        <v>LEFT</v>
      </c>
      <c r="E476" s="44">
        <f>'Grad Raw Data'!E239</f>
        <v>10</v>
      </c>
      <c r="G476">
        <v>476</v>
      </c>
      <c r="H476">
        <f t="shared" si="7"/>
        <v>239</v>
      </c>
    </row>
    <row r="477" spans="1:8" ht="24.95" customHeight="1" x14ac:dyDescent="0.25">
      <c r="A477" s="16" t="str">
        <f>'Grad Raw Data'!L239</f>
        <v>Tra va sos</v>
      </c>
      <c r="B477" s="20"/>
      <c r="C477" s="20"/>
      <c r="G477">
        <v>477</v>
      </c>
      <c r="H477" t="str">
        <f t="shared" si="7"/>
        <v/>
      </c>
    </row>
    <row r="478" spans="1:8" ht="24.95" customHeight="1" x14ac:dyDescent="0.25">
      <c r="A478" s="20" t="str">
        <f>'Grad Raw Data'!I240</f>
        <v>Meredith</v>
      </c>
      <c r="B478" s="20" t="str">
        <f>'Grad Raw Data'!K240</f>
        <v>Lynne</v>
      </c>
      <c r="C478" s="20" t="str">
        <f>'Grad Raw Data'!H240</f>
        <v>Upton</v>
      </c>
      <c r="D478" s="44" t="str">
        <f>'Grad Raw Data'!D240</f>
        <v>LEFT</v>
      </c>
      <c r="E478" s="44">
        <f>'Grad Raw Data'!E240</f>
        <v>10</v>
      </c>
      <c r="G478">
        <v>478</v>
      </c>
      <c r="H478">
        <f t="shared" si="7"/>
        <v>240</v>
      </c>
    </row>
    <row r="479" spans="1:8" ht="24.95" customHeight="1" x14ac:dyDescent="0.25">
      <c r="A479" s="16" t="str">
        <f>'Grad Raw Data'!L240</f>
        <v>Mare-uh-dith UP-Tin</v>
      </c>
      <c r="B479" s="20"/>
      <c r="C479" s="20"/>
      <c r="G479">
        <v>479</v>
      </c>
      <c r="H479" t="str">
        <f t="shared" si="7"/>
        <v/>
      </c>
    </row>
    <row r="480" spans="1:8" ht="24.95" customHeight="1" x14ac:dyDescent="0.25">
      <c r="A480" s="20" t="str">
        <f>'Grad Raw Data'!I241</f>
        <v>Andrew</v>
      </c>
      <c r="B480" s="20" t="str">
        <f>'Grad Raw Data'!K241</f>
        <v>Jacob</v>
      </c>
      <c r="C480" s="20" t="str">
        <f>'Grad Raw Data'!H241</f>
        <v>Valentin</v>
      </c>
      <c r="D480" s="44" t="str">
        <f>'Grad Raw Data'!D241</f>
        <v>LEFT</v>
      </c>
      <c r="E480" s="44">
        <f>'Grad Raw Data'!E241</f>
        <v>10</v>
      </c>
      <c r="G480">
        <v>480</v>
      </c>
      <c r="H480">
        <f t="shared" si="7"/>
        <v>241</v>
      </c>
    </row>
    <row r="481" spans="1:8" ht="24.95" customHeight="1" x14ac:dyDescent="0.25">
      <c r="A481" s="16">
        <f>'Grad Raw Data'!L242</f>
        <v>0</v>
      </c>
      <c r="B481" s="20"/>
      <c r="C481" s="20"/>
      <c r="G481">
        <v>481</v>
      </c>
      <c r="H481" t="str">
        <f t="shared" si="7"/>
        <v/>
      </c>
    </row>
    <row r="482" spans="1:8" ht="24.95" customHeight="1" x14ac:dyDescent="0.25">
      <c r="A482" s="20" t="str">
        <f>'Grad Raw Data'!I242</f>
        <v>Colby</v>
      </c>
      <c r="B482" s="20">
        <f>'Grad Raw Data'!K242</f>
        <v>0</v>
      </c>
      <c r="C482" s="20" t="str">
        <f>'Grad Raw Data'!H242</f>
        <v>Van Horn</v>
      </c>
      <c r="D482" s="44" t="str">
        <f>'Grad Raw Data'!D242</f>
        <v>LEFT</v>
      </c>
      <c r="E482" s="44">
        <f>'Grad Raw Data'!E242</f>
        <v>10</v>
      </c>
      <c r="G482">
        <v>482</v>
      </c>
      <c r="H482">
        <f t="shared" si="7"/>
        <v>242</v>
      </c>
    </row>
    <row r="483" spans="1:8" ht="24.95" customHeight="1" x14ac:dyDescent="0.25">
      <c r="A483" s="16">
        <f>'Grad Raw Data'!L243</f>
        <v>0</v>
      </c>
      <c r="B483" s="20"/>
      <c r="C483" s="20"/>
      <c r="G483">
        <v>483</v>
      </c>
      <c r="H483" t="str">
        <f t="shared" si="7"/>
        <v/>
      </c>
    </row>
    <row r="484" spans="1:8" ht="24.95" customHeight="1" x14ac:dyDescent="0.25">
      <c r="A484" s="20" t="str">
        <f>'Grad Raw Data'!I243</f>
        <v>Katherine</v>
      </c>
      <c r="B484" s="20" t="str">
        <f>'Grad Raw Data'!K243</f>
        <v>Anne</v>
      </c>
      <c r="C484" s="20" t="str">
        <f>'Grad Raw Data'!H243</f>
        <v>Van Magness</v>
      </c>
      <c r="D484" s="44" t="str">
        <f>'Grad Raw Data'!D243</f>
        <v>LEFT</v>
      </c>
      <c r="E484" s="44">
        <f>'Grad Raw Data'!E243</f>
        <v>10</v>
      </c>
      <c r="G484">
        <v>484</v>
      </c>
      <c r="H484">
        <f t="shared" si="7"/>
        <v>243</v>
      </c>
    </row>
    <row r="485" spans="1:8" ht="24.95" customHeight="1" x14ac:dyDescent="0.25">
      <c r="A485" s="16">
        <f>'Grad Raw Data'!L244</f>
        <v>0</v>
      </c>
      <c r="B485" s="20"/>
      <c r="C485" s="20"/>
      <c r="G485">
        <v>485</v>
      </c>
      <c r="H485" t="str">
        <f t="shared" si="7"/>
        <v/>
      </c>
    </row>
    <row r="486" spans="1:8" ht="24.95" customHeight="1" x14ac:dyDescent="0.25">
      <c r="A486" s="20" t="str">
        <f>'Grad Raw Data'!I244</f>
        <v>Justin</v>
      </c>
      <c r="B486" s="20" t="str">
        <f>'Grad Raw Data'!K244</f>
        <v>Thomas</v>
      </c>
      <c r="C486" s="20" t="str">
        <f>'Grad Raw Data'!H244</f>
        <v>Ventura</v>
      </c>
      <c r="D486" s="44" t="str">
        <f>'Grad Raw Data'!D244</f>
        <v>LEFT</v>
      </c>
      <c r="E486" s="44">
        <f>'Grad Raw Data'!E244</f>
        <v>10</v>
      </c>
      <c r="G486">
        <v>486</v>
      </c>
      <c r="H486">
        <f t="shared" si="7"/>
        <v>244</v>
      </c>
    </row>
    <row r="487" spans="1:8" ht="24.95" customHeight="1" x14ac:dyDescent="0.25">
      <c r="A487" s="16">
        <f>'Grad Raw Data'!L244</f>
        <v>0</v>
      </c>
      <c r="B487" s="20"/>
      <c r="C487" s="20"/>
      <c r="G487">
        <v>487</v>
      </c>
      <c r="H487" t="str">
        <f t="shared" si="7"/>
        <v/>
      </c>
    </row>
    <row r="488" spans="1:8" ht="24.95" customHeight="1" x14ac:dyDescent="0.25">
      <c r="A488" s="20" t="str">
        <f>'Grad Raw Data'!I245</f>
        <v>Dario</v>
      </c>
      <c r="B488" s="20" t="str">
        <f>'Grad Raw Data'!K245</f>
        <v/>
      </c>
      <c r="C488" s="20" t="str">
        <f>'Grad Raw Data'!H245</f>
        <v>Viliott</v>
      </c>
      <c r="D488" s="44" t="str">
        <f>'Grad Raw Data'!D245</f>
        <v>LEFT</v>
      </c>
      <c r="E488" s="44">
        <f>'Grad Raw Data'!E245</f>
        <v>10</v>
      </c>
      <c r="G488">
        <v>488</v>
      </c>
      <c r="H488">
        <f t="shared" si="7"/>
        <v>245</v>
      </c>
    </row>
    <row r="489" spans="1:8" ht="24.95" customHeight="1" x14ac:dyDescent="0.25">
      <c r="A489" s="16" t="str">
        <f>'Grad Raw Data'!L245</f>
        <v>Dario Vil-e-ott</v>
      </c>
      <c r="B489" s="20"/>
      <c r="C489" s="20"/>
      <c r="G489">
        <v>489</v>
      </c>
      <c r="H489" t="str">
        <f t="shared" si="7"/>
        <v/>
      </c>
    </row>
    <row r="490" spans="1:8" ht="24.95" customHeight="1" x14ac:dyDescent="0.25">
      <c r="A490" s="20" t="str">
        <f>'Grad Raw Data'!I246</f>
        <v>Nathan</v>
      </c>
      <c r="B490" s="20" t="str">
        <f>'Grad Raw Data'!K246</f>
        <v/>
      </c>
      <c r="C490" s="20" t="str">
        <f>'Grad Raw Data'!H246</f>
        <v>Vitarisi</v>
      </c>
      <c r="D490" s="44" t="str">
        <f>'Grad Raw Data'!D246</f>
        <v>LEFT</v>
      </c>
      <c r="E490" s="44">
        <f>'Grad Raw Data'!E246</f>
        <v>10</v>
      </c>
      <c r="G490">
        <v>490</v>
      </c>
      <c r="H490">
        <f t="shared" si="7"/>
        <v>246</v>
      </c>
    </row>
    <row r="491" spans="1:8" ht="24.95" customHeight="1" x14ac:dyDescent="0.25">
      <c r="A491" s="16" t="str">
        <f>'Grad Raw Data'!L246</f>
        <v>Vit-er-eesee</v>
      </c>
      <c r="B491" s="20"/>
      <c r="C491" s="20"/>
      <c r="G491">
        <v>491</v>
      </c>
      <c r="H491" t="str">
        <f t="shared" si="7"/>
        <v/>
      </c>
    </row>
    <row r="492" spans="1:8" ht="24.95" customHeight="1" x14ac:dyDescent="0.25">
      <c r="A492" s="20" t="str">
        <f>'Grad Raw Data'!I247</f>
        <v>Jacob</v>
      </c>
      <c r="B492" s="20" t="str">
        <f>'Grad Raw Data'!K247</f>
        <v>Michael</v>
      </c>
      <c r="C492" s="20" t="str">
        <f>'Grad Raw Data'!H247</f>
        <v>Ward</v>
      </c>
      <c r="D492" s="44" t="str">
        <f>'Grad Raw Data'!D247</f>
        <v>RIGHT</v>
      </c>
      <c r="E492" s="44">
        <f>'Grad Raw Data'!E247</f>
        <v>11</v>
      </c>
      <c r="G492">
        <v>492</v>
      </c>
      <c r="H492">
        <f t="shared" si="7"/>
        <v>247</v>
      </c>
    </row>
    <row r="493" spans="1:8" ht="24.95" customHeight="1" x14ac:dyDescent="0.25">
      <c r="A493" s="16">
        <f>'Grad Raw Data'!L247</f>
        <v>0</v>
      </c>
      <c r="B493" s="20"/>
      <c r="C493" s="20"/>
      <c r="G493">
        <v>493</v>
      </c>
      <c r="H493" t="str">
        <f t="shared" si="7"/>
        <v/>
      </c>
    </row>
    <row r="494" spans="1:8" ht="24.95" customHeight="1" x14ac:dyDescent="0.25">
      <c r="A494" s="20" t="str">
        <f>'Grad Raw Data'!I248</f>
        <v>Kyle</v>
      </c>
      <c r="B494" s="20" t="str">
        <f>'Grad Raw Data'!K248</f>
        <v/>
      </c>
      <c r="C494" s="20" t="str">
        <f>'Grad Raw Data'!H248</f>
        <v>Weaver</v>
      </c>
      <c r="D494" s="44" t="str">
        <f>'Grad Raw Data'!D248</f>
        <v>RIGHT</v>
      </c>
      <c r="E494" s="44">
        <f>'Grad Raw Data'!E248</f>
        <v>11</v>
      </c>
      <c r="G494">
        <v>494</v>
      </c>
      <c r="H494">
        <f t="shared" si="7"/>
        <v>248</v>
      </c>
    </row>
    <row r="495" spans="1:8" ht="24.95" customHeight="1" x14ac:dyDescent="0.25">
      <c r="A495" s="16">
        <f>'Grad Raw Data'!L248</f>
        <v>0</v>
      </c>
      <c r="B495" s="20"/>
      <c r="C495" s="20"/>
      <c r="G495">
        <v>495</v>
      </c>
      <c r="H495" t="str">
        <f t="shared" si="7"/>
        <v/>
      </c>
    </row>
    <row r="496" spans="1:8" ht="24.95" customHeight="1" x14ac:dyDescent="0.25">
      <c r="A496" s="20" t="str">
        <f>'Grad Raw Data'!I249</f>
        <v>Tess</v>
      </c>
      <c r="B496" s="20" t="str">
        <f>'Grad Raw Data'!K249</f>
        <v/>
      </c>
      <c r="C496" s="20" t="str">
        <f>'Grad Raw Data'!H249</f>
        <v>Weaver</v>
      </c>
      <c r="D496" s="44" t="str">
        <f>'Grad Raw Data'!D249</f>
        <v>RIGHT</v>
      </c>
      <c r="E496" s="44">
        <f>'Grad Raw Data'!E249</f>
        <v>11</v>
      </c>
      <c r="G496">
        <v>496</v>
      </c>
      <c r="H496">
        <f t="shared" si="7"/>
        <v>249</v>
      </c>
    </row>
    <row r="497" spans="1:8" ht="24.95" customHeight="1" x14ac:dyDescent="0.25">
      <c r="A497" s="16">
        <f>'Grad Raw Data'!L249</f>
        <v>0</v>
      </c>
      <c r="B497" s="20"/>
      <c r="C497" s="20"/>
      <c r="G497">
        <v>497</v>
      </c>
      <c r="H497" t="str">
        <f t="shared" si="7"/>
        <v/>
      </c>
    </row>
    <row r="498" spans="1:8" ht="24.95" customHeight="1" x14ac:dyDescent="0.25">
      <c r="A498" s="20" t="str">
        <f>'Grad Raw Data'!I250</f>
        <v>Leah</v>
      </c>
      <c r="B498" s="20" t="str">
        <f>'Grad Raw Data'!K250</f>
        <v/>
      </c>
      <c r="C498" s="20" t="str">
        <f>'Grad Raw Data'!H250</f>
        <v>Weber</v>
      </c>
      <c r="D498" s="44" t="str">
        <f>'Grad Raw Data'!D250</f>
        <v>RIGHT</v>
      </c>
      <c r="E498" s="44">
        <f>'Grad Raw Data'!E250</f>
        <v>11</v>
      </c>
      <c r="G498">
        <v>498</v>
      </c>
      <c r="H498">
        <f t="shared" si="7"/>
        <v>250</v>
      </c>
    </row>
    <row r="499" spans="1:8" ht="24.95" customHeight="1" x14ac:dyDescent="0.25">
      <c r="A499" s="16">
        <f>'Grad Raw Data'!L250</f>
        <v>0</v>
      </c>
      <c r="B499" s="20"/>
      <c r="C499" s="20"/>
      <c r="G499">
        <v>499</v>
      </c>
      <c r="H499" t="str">
        <f t="shared" si="7"/>
        <v/>
      </c>
    </row>
    <row r="500" spans="1:8" ht="24.95" customHeight="1" x14ac:dyDescent="0.25">
      <c r="A500" s="20" t="str">
        <f>'Grad Raw Data'!I251</f>
        <v>Emma</v>
      </c>
      <c r="B500" s="20" t="str">
        <f>'Grad Raw Data'!K251</f>
        <v/>
      </c>
      <c r="C500" s="20" t="str">
        <f>'Grad Raw Data'!H251</f>
        <v>White</v>
      </c>
      <c r="D500" s="44" t="str">
        <f>'Grad Raw Data'!D251</f>
        <v>RIGHT</v>
      </c>
      <c r="E500" s="44">
        <f>'Grad Raw Data'!E251</f>
        <v>11</v>
      </c>
      <c r="G500">
        <v>500</v>
      </c>
      <c r="H500">
        <f t="shared" si="7"/>
        <v>251</v>
      </c>
    </row>
    <row r="501" spans="1:8" ht="24.95" customHeight="1" x14ac:dyDescent="0.25">
      <c r="A501" s="16">
        <f>'Grad Raw Data'!L251</f>
        <v>0</v>
      </c>
      <c r="B501" s="20"/>
      <c r="C501" s="20"/>
      <c r="G501">
        <v>501</v>
      </c>
      <c r="H501" t="str">
        <f t="shared" si="7"/>
        <v/>
      </c>
    </row>
    <row r="502" spans="1:8" ht="24.95" customHeight="1" x14ac:dyDescent="0.25">
      <c r="A502" s="20" t="str">
        <f>'Grad Raw Data'!I252</f>
        <v>John</v>
      </c>
      <c r="B502" s="20" t="str">
        <f>'Grad Raw Data'!K252</f>
        <v/>
      </c>
      <c r="C502" s="20" t="str">
        <f>'Grad Raw Data'!H252</f>
        <v>Wiggins</v>
      </c>
      <c r="D502" s="44" t="str">
        <f>'Grad Raw Data'!D252</f>
        <v>RIGHT</v>
      </c>
      <c r="E502" s="44">
        <f>'Grad Raw Data'!E252</f>
        <v>11</v>
      </c>
      <c r="G502">
        <v>502</v>
      </c>
      <c r="H502">
        <f t="shared" si="7"/>
        <v>252</v>
      </c>
    </row>
    <row r="503" spans="1:8" ht="24.95" customHeight="1" x14ac:dyDescent="0.25">
      <c r="A503" s="16">
        <f>'Grad Raw Data'!L252</f>
        <v>0</v>
      </c>
      <c r="B503" s="20"/>
      <c r="C503" s="20"/>
      <c r="G503">
        <v>503</v>
      </c>
      <c r="H503" t="str">
        <f t="shared" si="7"/>
        <v/>
      </c>
    </row>
    <row r="504" spans="1:8" ht="24.95" customHeight="1" x14ac:dyDescent="0.25">
      <c r="A504" s="20" t="str">
        <f>'Grad Raw Data'!I253</f>
        <v>Angela</v>
      </c>
      <c r="B504" s="20" t="str">
        <f>'Grad Raw Data'!K253</f>
        <v/>
      </c>
      <c r="C504" s="20" t="str">
        <f>'Grad Raw Data'!H253</f>
        <v>Wilder</v>
      </c>
      <c r="D504" s="44" t="str">
        <f>'Grad Raw Data'!D253</f>
        <v>RIGHT</v>
      </c>
      <c r="E504" s="44">
        <f>'Grad Raw Data'!E253</f>
        <v>11</v>
      </c>
      <c r="G504">
        <v>504</v>
      </c>
      <c r="H504">
        <f t="shared" si="7"/>
        <v>253</v>
      </c>
    </row>
    <row r="505" spans="1:8" ht="24.95" customHeight="1" x14ac:dyDescent="0.25">
      <c r="A505" s="16">
        <f>'Grad Raw Data'!L253</f>
        <v>0</v>
      </c>
      <c r="B505" s="20"/>
      <c r="C505" s="20"/>
      <c r="G505">
        <v>505</v>
      </c>
      <c r="H505" t="str">
        <f t="shared" si="7"/>
        <v/>
      </c>
    </row>
    <row r="506" spans="1:8" ht="24.95" customHeight="1" x14ac:dyDescent="0.25">
      <c r="A506" s="20" t="e">
        <f>'Grad Raw Data'!I254</f>
        <v>#N/A</v>
      </c>
      <c r="B506" s="20" t="e">
        <f>'Grad Raw Data'!K254</f>
        <v>#N/A</v>
      </c>
      <c r="C506" s="20" t="e">
        <f>'Grad Raw Data'!H254</f>
        <v>#N/A</v>
      </c>
      <c r="D506" s="44" t="str">
        <f>'Grad Raw Data'!D254</f>
        <v>RIGHT</v>
      </c>
      <c r="E506" s="44">
        <f>'Grad Raw Data'!E254</f>
        <v>11</v>
      </c>
      <c r="G506">
        <v>506</v>
      </c>
      <c r="H506">
        <f t="shared" si="7"/>
        <v>254</v>
      </c>
    </row>
    <row r="507" spans="1:8" ht="24.95" customHeight="1" x14ac:dyDescent="0.25">
      <c r="A507" s="16" t="e">
        <f>'Grad Raw Data'!L254</f>
        <v>#N/A</v>
      </c>
      <c r="B507" s="20"/>
      <c r="C507" s="20"/>
      <c r="G507">
        <v>507</v>
      </c>
      <c r="H507" t="str">
        <f t="shared" si="7"/>
        <v/>
      </c>
    </row>
    <row r="508" spans="1:8" ht="24.95" customHeight="1" x14ac:dyDescent="0.25">
      <c r="A508" s="20" t="e">
        <f>'Grad Raw Data'!I255</f>
        <v>#N/A</v>
      </c>
      <c r="B508" s="20" t="e">
        <f>'Grad Raw Data'!K255</f>
        <v>#N/A</v>
      </c>
      <c r="C508" s="20" t="e">
        <f>'Grad Raw Data'!H255</f>
        <v>#N/A</v>
      </c>
      <c r="D508" s="44" t="str">
        <f>'Grad Raw Data'!D255</f>
        <v>RIGHT</v>
      </c>
      <c r="E508" s="44">
        <f>'Grad Raw Data'!E255</f>
        <v>11</v>
      </c>
      <c r="G508">
        <v>508</v>
      </c>
      <c r="H508">
        <f t="shared" si="7"/>
        <v>255</v>
      </c>
    </row>
    <row r="509" spans="1:8" ht="24.95" customHeight="1" x14ac:dyDescent="0.25">
      <c r="A509" s="16" t="e">
        <f>'Grad Raw Data'!L255</f>
        <v>#N/A</v>
      </c>
      <c r="B509" s="20"/>
      <c r="C509" s="20"/>
      <c r="G509">
        <v>509</v>
      </c>
      <c r="H509" t="str">
        <f t="shared" si="7"/>
        <v/>
      </c>
    </row>
    <row r="510" spans="1:8" ht="24.95" customHeight="1" x14ac:dyDescent="0.25">
      <c r="A510" s="20" t="e">
        <f>'Grad Raw Data'!I256</f>
        <v>#N/A</v>
      </c>
      <c r="B510" s="20" t="e">
        <f>'Grad Raw Data'!K256</f>
        <v>#N/A</v>
      </c>
      <c r="C510" s="20" t="e">
        <f>'Grad Raw Data'!H256</f>
        <v>#N/A</v>
      </c>
      <c r="D510" s="44" t="str">
        <f>'Grad Raw Data'!D256</f>
        <v>RIGHT</v>
      </c>
      <c r="E510" s="44">
        <f>'Grad Raw Data'!E256</f>
        <v>11</v>
      </c>
      <c r="G510">
        <v>510</v>
      </c>
      <c r="H510">
        <f t="shared" si="7"/>
        <v>256</v>
      </c>
    </row>
    <row r="511" spans="1:8" ht="24.95" customHeight="1" x14ac:dyDescent="0.25">
      <c r="A511" s="16" t="e">
        <f>'Grad Raw Data'!L256</f>
        <v>#N/A</v>
      </c>
      <c r="B511" s="20"/>
      <c r="C511" s="20"/>
      <c r="G511">
        <v>511</v>
      </c>
      <c r="H511" t="str">
        <f t="shared" si="7"/>
        <v/>
      </c>
    </row>
    <row r="512" spans="1:8" ht="24.95" customHeight="1" x14ac:dyDescent="0.25">
      <c r="A512" s="20" t="e">
        <f>'Grad Raw Data'!I257</f>
        <v>#N/A</v>
      </c>
      <c r="B512" s="20" t="e">
        <f>'Grad Raw Data'!K257</f>
        <v>#N/A</v>
      </c>
      <c r="C512" s="20" t="e">
        <f>'Grad Raw Data'!H257</f>
        <v>#N/A</v>
      </c>
      <c r="D512" s="44" t="str">
        <f>'Grad Raw Data'!D257</f>
        <v>RIGHT</v>
      </c>
      <c r="E512" s="44">
        <f>'Grad Raw Data'!E257</f>
        <v>11</v>
      </c>
      <c r="G512">
        <v>512</v>
      </c>
      <c r="H512">
        <f t="shared" si="7"/>
        <v>257</v>
      </c>
    </row>
    <row r="513" spans="1:8" ht="24.95" customHeight="1" x14ac:dyDescent="0.25">
      <c r="A513" s="16" t="e">
        <f>'Grad Raw Data'!L257</f>
        <v>#N/A</v>
      </c>
      <c r="B513" s="20"/>
      <c r="C513" s="20"/>
      <c r="G513">
        <v>513</v>
      </c>
      <c r="H513" t="str">
        <f t="shared" si="7"/>
        <v/>
      </c>
    </row>
    <row r="514" spans="1:8" ht="18.75" x14ac:dyDescent="0.25">
      <c r="A514" s="20" t="e">
        <f>'Grad Raw Data'!I258</f>
        <v>#N/A</v>
      </c>
      <c r="B514" s="20" t="e">
        <f>'Grad Raw Data'!K257</f>
        <v>#N/A</v>
      </c>
      <c r="C514" s="20" t="e">
        <f>'Grad Raw Data'!H258</f>
        <v>#N/A</v>
      </c>
      <c r="D514" s="44" t="str">
        <f>'Grad Raw Data'!D258</f>
        <v>RIGHT</v>
      </c>
      <c r="E514" s="44">
        <f>'Grad Raw Data'!E259</f>
        <v>11</v>
      </c>
    </row>
    <row r="515" spans="1:8" ht="18.75" x14ac:dyDescent="0.25">
      <c r="A515" s="16" t="e">
        <f>'Grad Raw Data'!L258</f>
        <v>#N/A</v>
      </c>
      <c r="B515" s="20"/>
      <c r="C515" s="20"/>
    </row>
    <row r="516" spans="1:8" ht="18.75" x14ac:dyDescent="0.25">
      <c r="A516" s="20" t="str">
        <f>'Grad Raw Data'!I259</f>
        <v>Aidan</v>
      </c>
      <c r="B516" s="20" t="str">
        <f>'Grad Raw Data'!K259</f>
        <v>Auddie</v>
      </c>
      <c r="C516" s="20" t="str">
        <f>'Grad Raw Data'!H259</f>
        <v>Williams</v>
      </c>
      <c r="D516" s="44" t="str">
        <f>'Grad Raw Data'!D261</f>
        <v>LEFT</v>
      </c>
      <c r="E516" s="44">
        <f>'Grad Raw Data'!E261</f>
        <v>11</v>
      </c>
    </row>
    <row r="517" spans="1:8" ht="18.75" x14ac:dyDescent="0.25">
      <c r="A517" s="16" t="str">
        <f>'Grad Raw Data'!L259</f>
        <v>Auddie(Awd-ie)</v>
      </c>
      <c r="B517" s="20"/>
      <c r="C517" s="20"/>
    </row>
    <row r="518" spans="1:8" ht="18.75" x14ac:dyDescent="0.25">
      <c r="A518" s="20" t="str">
        <f>'Grad Raw Data'!I260</f>
        <v>Jamari</v>
      </c>
      <c r="B518" s="20"/>
      <c r="C518" s="20" t="str">
        <f>'Grad Raw Data'!H260</f>
        <v>Wright</v>
      </c>
      <c r="D518" s="44" t="str">
        <f>'Grad Raw Data'!D263</f>
        <v>LEFT</v>
      </c>
      <c r="E518" s="44">
        <f>'Grad Raw Data'!E263</f>
        <v>11</v>
      </c>
    </row>
    <row r="519" spans="1:8" ht="18.75" x14ac:dyDescent="0.25">
      <c r="A519" s="16">
        <f>'Grad Raw Data'!L260</f>
        <v>0</v>
      </c>
      <c r="B519" s="20"/>
      <c r="C519" s="20"/>
    </row>
    <row r="520" spans="1:8" ht="18.75" x14ac:dyDescent="0.25">
      <c r="A520" s="20" t="str">
        <f>'Grad Raw Data'!I261</f>
        <v>Jared</v>
      </c>
      <c r="B520" s="50"/>
      <c r="C520" s="20" t="str">
        <f>'Grad Raw Data'!H261</f>
        <v>Wright</v>
      </c>
      <c r="D520" s="44" t="str">
        <f>'Grad Raw Data'!D265</f>
        <v>LEFT</v>
      </c>
      <c r="E520" s="44">
        <f>'Grad Raw Data'!E265</f>
        <v>11</v>
      </c>
    </row>
    <row r="521" spans="1:8" ht="18.75" x14ac:dyDescent="0.25">
      <c r="A521" s="16">
        <f>'Grad Raw Data'!L261</f>
        <v>0</v>
      </c>
      <c r="B521" s="50"/>
      <c r="C521" s="20"/>
    </row>
    <row r="522" spans="1:8" ht="18.75" x14ac:dyDescent="0.25">
      <c r="A522" s="20" t="str">
        <f>'Grad Raw Data'!I262</f>
        <v>Quinn</v>
      </c>
      <c r="B522" s="50"/>
      <c r="C522" s="20" t="str">
        <f>'Grad Raw Data'!H262</f>
        <v>Yandle</v>
      </c>
      <c r="D522" s="44" t="str">
        <f>'Grad Raw Data'!D267</f>
        <v>LEFT</v>
      </c>
      <c r="E522" s="44">
        <f>'Grad Raw Data'!E267</f>
        <v>11</v>
      </c>
    </row>
    <row r="523" spans="1:8" ht="18.75" x14ac:dyDescent="0.25">
      <c r="A523" s="16">
        <f>'Grad Raw Data'!L262</f>
        <v>0</v>
      </c>
      <c r="B523" s="50"/>
      <c r="C523" s="20"/>
    </row>
    <row r="524" spans="1:8" ht="18.75" x14ac:dyDescent="0.25">
      <c r="A524" s="20" t="str">
        <f>'Grad Raw Data'!I263</f>
        <v>John</v>
      </c>
      <c r="B524" s="50"/>
      <c r="C524" s="20" t="str">
        <f>'Grad Raw Data'!H263</f>
        <v>Zani</v>
      </c>
      <c r="D524" s="44" t="str">
        <f>'Grad Raw Data'!D269</f>
        <v>LEFT</v>
      </c>
      <c r="E524" s="44">
        <f>'Grad Raw Data'!E269</f>
        <v>11</v>
      </c>
    </row>
    <row r="525" spans="1:8" ht="18.75" x14ac:dyDescent="0.25">
      <c r="A525" s="16" t="str">
        <f>'Grad Raw Data'!L263</f>
        <v>John ZAH-nee</v>
      </c>
      <c r="B525" s="50"/>
      <c r="C525" s="20"/>
    </row>
    <row r="526" spans="1:8" ht="18.75" x14ac:dyDescent="0.25">
      <c r="A526" s="20" t="str">
        <f>'Grad Raw Data'!I264</f>
        <v>Jiayu</v>
      </c>
      <c r="B526" s="20"/>
      <c r="C526" s="20" t="str">
        <f>'Grad Raw Data'!H264</f>
        <v>Zheng</v>
      </c>
      <c r="D526" s="44" t="str">
        <f>'Grad Raw Data'!D272</f>
        <v>LEFT</v>
      </c>
      <c r="E526" s="44">
        <f>'Grad Raw Data'!E272</f>
        <v>12</v>
      </c>
    </row>
    <row r="527" spans="1:8" ht="18.75" x14ac:dyDescent="0.25">
      <c r="A527" s="16" t="str">
        <f>'Grad Raw Data'!L264</f>
        <v>jah-yoo Jung</v>
      </c>
      <c r="B527" s="50"/>
      <c r="C527" s="20"/>
    </row>
    <row r="528" spans="1:8" ht="18.75" x14ac:dyDescent="0.25">
      <c r="A528" s="51" t="s">
        <v>475</v>
      </c>
      <c r="B528" s="50"/>
      <c r="C528" s="20"/>
    </row>
  </sheetData>
  <pageMargins left="1.25" right="0.2" top="0.75" bottom="0.75" header="0.3" footer="0.3"/>
  <pageSetup orientation="portrait" r:id="rId1"/>
  <headerFooter alignWithMargins="0"/>
  <rowBreaks count="22" manualBreakCount="22">
    <brk id="11" max="5" man="1"/>
    <brk id="35" max="5" man="1"/>
    <brk id="59" max="5" man="1"/>
    <brk id="83" max="5" man="1"/>
    <brk id="107" max="5" man="1"/>
    <brk id="131" max="5" man="1"/>
    <brk id="155" max="5" man="1"/>
    <brk id="179" max="5" man="1"/>
    <brk id="203" max="5" man="1"/>
    <brk id="227" max="5" man="1"/>
    <brk id="251" max="5" man="1"/>
    <brk id="275" max="5" man="1"/>
    <brk id="299" max="5" man="1"/>
    <brk id="323" max="5" man="1"/>
    <brk id="347" max="5" man="1"/>
    <brk id="371" max="5" man="1"/>
    <brk id="395" max="5" man="1"/>
    <brk id="419" max="5" man="1"/>
    <brk id="443" max="5" man="1"/>
    <brk id="467" max="16383" man="1"/>
    <brk id="491" max="16383" man="1"/>
    <brk id="51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584"/>
  <sheetViews>
    <sheetView topLeftCell="A466" workbookViewId="0">
      <selection activeCell="C527" sqref="C527"/>
    </sheetView>
  </sheetViews>
  <sheetFormatPr defaultRowHeight="15" x14ac:dyDescent="0.2"/>
  <cols>
    <col min="1" max="1" width="18" style="17" customWidth="1"/>
    <col min="2" max="2" width="26" style="17" customWidth="1"/>
    <col min="3" max="3" width="23.7109375" style="17" customWidth="1"/>
    <col min="4" max="4" width="15.42578125" style="17" customWidth="1"/>
    <col min="5" max="5" width="10.140625" style="17" customWidth="1"/>
    <col min="6" max="6" width="9.28515625" style="17" customWidth="1"/>
  </cols>
  <sheetData>
    <row r="1" spans="1:6" s="18" customFormat="1" ht="24.95" customHeight="1" x14ac:dyDescent="0.25">
      <c r="A1" s="19" t="s">
        <v>73</v>
      </c>
      <c r="B1" s="19" t="s">
        <v>29</v>
      </c>
      <c r="C1" s="19" t="s">
        <v>74</v>
      </c>
      <c r="D1" s="19"/>
      <c r="E1" s="19" t="s">
        <v>75</v>
      </c>
      <c r="F1" s="19" t="s">
        <v>76</v>
      </c>
    </row>
    <row r="2" spans="1:6" ht="24.95" customHeight="1" x14ac:dyDescent="0.25">
      <c r="A2" s="20" t="str">
        <f>'Grad Raw Data'!I2</f>
        <v>Amelia</v>
      </c>
      <c r="B2" s="20" t="str">
        <f>'Grad Raw Data'!K2</f>
        <v>Jane</v>
      </c>
      <c r="C2" s="20" t="str">
        <f>'Grad Raw Data'!H2</f>
        <v>Borawski</v>
      </c>
      <c r="D2" s="20"/>
      <c r="E2" s="20" t="str">
        <f>'Grad Raw Data'!D2</f>
        <v>STAGE</v>
      </c>
      <c r="F2" s="20" t="str">
        <f>'Grad Raw Data'!E2</f>
        <v>STAGE</v>
      </c>
    </row>
    <row r="3" spans="1:6" ht="24.95" customHeight="1" x14ac:dyDescent="0.25">
      <c r="A3" s="20"/>
      <c r="B3" s="20"/>
      <c r="C3" s="20"/>
      <c r="D3" s="20"/>
      <c r="E3" s="20"/>
      <c r="F3" s="20"/>
    </row>
    <row r="4" spans="1:6" ht="24.95" customHeight="1" x14ac:dyDescent="0.25">
      <c r="A4" s="20" t="str">
        <f>'Grad Raw Data'!I3</f>
        <v>-</v>
      </c>
      <c r="B4" s="20" t="str">
        <f>'Grad Raw Data'!K4</f>
        <v/>
      </c>
      <c r="C4" s="20" t="str">
        <f>'Grad Raw Data'!H3</f>
        <v>-</v>
      </c>
      <c r="D4" s="20"/>
      <c r="E4" s="20" t="str">
        <f>'Grad Raw Data'!D4</f>
        <v>STAGE</v>
      </c>
      <c r="F4" s="20" t="str">
        <f>'Grad Raw Data'!E4</f>
        <v>STAGE</v>
      </c>
    </row>
    <row r="5" spans="1:6" ht="24.95" customHeight="1" x14ac:dyDescent="0.25">
      <c r="A5" s="20"/>
      <c r="B5" s="20"/>
      <c r="C5" s="20"/>
      <c r="D5" s="20"/>
      <c r="E5" s="20"/>
      <c r="F5" s="20"/>
    </row>
    <row r="6" spans="1:6" ht="24.95" customHeight="1" x14ac:dyDescent="0.25">
      <c r="A6" s="20" t="str">
        <f>'Grad Raw Data'!I4</f>
        <v>Indigo</v>
      </c>
      <c r="B6" s="20" t="str">
        <f>'Grad Raw Data'!K4</f>
        <v/>
      </c>
      <c r="C6" s="20" t="str">
        <f>'Grad Raw Data'!H4</f>
        <v>Boyko</v>
      </c>
      <c r="D6" s="20"/>
      <c r="E6" s="20" t="str">
        <f>'Grad Raw Data'!D4</f>
        <v>STAGE</v>
      </c>
      <c r="F6" s="20" t="str">
        <f>'Grad Raw Data'!E4</f>
        <v>STAGE</v>
      </c>
    </row>
    <row r="7" spans="1:6" ht="24.95" customHeight="1" x14ac:dyDescent="0.25">
      <c r="A7" s="20"/>
      <c r="B7" s="20"/>
      <c r="C7" s="20"/>
      <c r="D7" s="20"/>
      <c r="E7" s="20"/>
      <c r="F7" s="20"/>
    </row>
    <row r="8" spans="1:6" ht="24.95" customHeight="1" x14ac:dyDescent="0.25">
      <c r="A8" s="20" t="str">
        <f>'Grad Raw Data'!I5</f>
        <v>Jason</v>
      </c>
      <c r="B8" s="20" t="str">
        <f>'Grad Raw Data'!K5</f>
        <v/>
      </c>
      <c r="C8" s="20" t="str">
        <f>'Grad Raw Data'!H5</f>
        <v>Walsh</v>
      </c>
      <c r="D8" s="20"/>
      <c r="E8" s="20" t="str">
        <f>'Grad Raw Data'!D5</f>
        <v>STAGE</v>
      </c>
      <c r="F8" s="20" t="str">
        <f>'Grad Raw Data'!E5</f>
        <v>STAGE</v>
      </c>
    </row>
    <row r="9" spans="1:6" ht="24.95" customHeight="1" x14ac:dyDescent="0.25">
      <c r="A9" s="20"/>
      <c r="B9" s="20"/>
      <c r="C9" s="20"/>
      <c r="D9" s="20"/>
      <c r="E9" s="20"/>
      <c r="F9" s="20"/>
    </row>
    <row r="10" spans="1:6" ht="24.95" customHeight="1" x14ac:dyDescent="0.25">
      <c r="A10" s="20" t="str">
        <f>'Grad Raw Data'!I6</f>
        <v>Jessica</v>
      </c>
      <c r="B10" s="20" t="str">
        <f>'Grad Raw Data'!K6</f>
        <v/>
      </c>
      <c r="C10" s="20" t="str">
        <f>'Grad Raw Data'!H6</f>
        <v>Wong</v>
      </c>
      <c r="D10" s="20"/>
      <c r="E10" s="20" t="str">
        <f>'Grad Raw Data'!D6</f>
        <v>STAGE</v>
      </c>
      <c r="F10" s="20" t="str">
        <f>'Grad Raw Data'!E6</f>
        <v>STAGE</v>
      </c>
    </row>
    <row r="11" spans="1:6" ht="24.95" customHeight="1" x14ac:dyDescent="0.25">
      <c r="A11" s="20"/>
      <c r="B11" s="20"/>
      <c r="C11" s="20"/>
      <c r="D11" s="20"/>
      <c r="E11" s="20"/>
      <c r="F11" s="20"/>
    </row>
    <row r="12" spans="1:6" ht="24.95" customHeight="1" x14ac:dyDescent="0.25">
      <c r="A12" s="20" t="str">
        <f>'Grad Raw Data'!I7</f>
        <v>Clara</v>
      </c>
      <c r="B12" s="20" t="str">
        <f>'Grad Raw Data'!K7</f>
        <v/>
      </c>
      <c r="C12" s="20" t="str">
        <f>'Grad Raw Data'!H7</f>
        <v>Healy</v>
      </c>
      <c r="D12" s="20"/>
      <c r="E12" s="20" t="str">
        <f>'Grad Raw Data'!D7</f>
        <v>RIGHT</v>
      </c>
      <c r="F12" s="20">
        <f>'Grad Raw Data'!E7</f>
        <v>1</v>
      </c>
    </row>
    <row r="13" spans="1:6" ht="24.95" customHeight="1" x14ac:dyDescent="0.25">
      <c r="A13" s="20"/>
      <c r="B13" s="20"/>
      <c r="C13" s="20"/>
      <c r="D13" s="20"/>
      <c r="E13" s="20"/>
      <c r="F13" s="20"/>
    </row>
    <row r="14" spans="1:6" ht="24.95" customHeight="1" x14ac:dyDescent="0.25">
      <c r="A14" s="20" t="str">
        <f>'Grad Raw Data'!I8</f>
        <v>Samuel</v>
      </c>
      <c r="B14" s="20" t="str">
        <f>'Grad Raw Data'!K8</f>
        <v/>
      </c>
      <c r="C14" s="20" t="str">
        <f>'Grad Raw Data'!H8</f>
        <v>Hillery</v>
      </c>
      <c r="D14" s="20"/>
      <c r="E14" s="20" t="str">
        <f>'Grad Raw Data'!D8</f>
        <v>RIGHT</v>
      </c>
      <c r="F14" s="20">
        <f>'Grad Raw Data'!E8</f>
        <v>1</v>
      </c>
    </row>
    <row r="15" spans="1:6" ht="24.95" customHeight="1" x14ac:dyDescent="0.25">
      <c r="A15" s="20"/>
      <c r="B15" s="20"/>
      <c r="C15" s="20"/>
      <c r="D15" s="20"/>
      <c r="E15" s="20"/>
      <c r="F15" s="20"/>
    </row>
    <row r="16" spans="1:6" ht="24.95" customHeight="1" x14ac:dyDescent="0.25">
      <c r="A16" s="20" t="str">
        <f>'Grad Raw Data'!I9</f>
        <v>Piper</v>
      </c>
      <c r="B16" s="20" t="str">
        <f>'Grad Raw Data'!K9</f>
        <v/>
      </c>
      <c r="C16" s="20" t="str">
        <f>'Grad Raw Data'!H9</f>
        <v>Martin</v>
      </c>
      <c r="D16" s="20"/>
      <c r="E16" s="20" t="str">
        <f>'Grad Raw Data'!D9</f>
        <v>RIGHT</v>
      </c>
      <c r="F16" s="20">
        <f>'Grad Raw Data'!E9</f>
        <v>1</v>
      </c>
    </row>
    <row r="17" spans="1:6" ht="24.95" customHeight="1" x14ac:dyDescent="0.25">
      <c r="A17" s="20"/>
      <c r="B17" s="20"/>
      <c r="C17" s="20"/>
      <c r="D17" s="20"/>
      <c r="E17" s="20"/>
      <c r="F17" s="20"/>
    </row>
    <row r="18" spans="1:6" ht="24.95" customHeight="1" x14ac:dyDescent="0.25">
      <c r="A18" s="20" t="str">
        <f>'Grad Raw Data'!I10</f>
        <v>Aidan</v>
      </c>
      <c r="B18" s="20" t="str">
        <f>'Grad Raw Data'!K10</f>
        <v/>
      </c>
      <c r="C18" s="20" t="str">
        <f>'Grad Raw Data'!H10</f>
        <v>Mullin</v>
      </c>
      <c r="D18" s="20"/>
      <c r="E18" s="20" t="str">
        <f>'Grad Raw Data'!D10</f>
        <v>RIGHT</v>
      </c>
      <c r="F18" s="20">
        <f>'Grad Raw Data'!E10</f>
        <v>1</v>
      </c>
    </row>
    <row r="19" spans="1:6" ht="24.95" customHeight="1" x14ac:dyDescent="0.25">
      <c r="A19" s="20"/>
      <c r="B19" s="20"/>
      <c r="C19" s="20"/>
      <c r="D19" s="20"/>
      <c r="E19" s="20"/>
      <c r="F19" s="20"/>
    </row>
    <row r="20" spans="1:6" ht="24.95" customHeight="1" x14ac:dyDescent="0.25">
      <c r="A20" s="20" t="str">
        <f>'Grad Raw Data'!I11</f>
        <v>Emma</v>
      </c>
      <c r="B20" s="20" t="str">
        <f>'Grad Raw Data'!K11</f>
        <v>Elizabeth</v>
      </c>
      <c r="C20" s="20" t="str">
        <f>'Grad Raw Data'!H11</f>
        <v>Nelson</v>
      </c>
      <c r="D20" s="20"/>
      <c r="E20" s="20" t="str">
        <f>'Grad Raw Data'!D11</f>
        <v>RIGHT</v>
      </c>
      <c r="F20" s="20">
        <f>'Grad Raw Data'!E11</f>
        <v>1</v>
      </c>
    </row>
    <row r="21" spans="1:6" ht="24.95" customHeight="1" x14ac:dyDescent="0.25">
      <c r="A21" s="20"/>
      <c r="B21" s="20"/>
      <c r="C21" s="20"/>
      <c r="D21" s="20"/>
      <c r="E21" s="20"/>
      <c r="F21" s="20"/>
    </row>
    <row r="22" spans="1:6" ht="24.95" customHeight="1" x14ac:dyDescent="0.25">
      <c r="A22" s="20" t="str">
        <f>'Grad Raw Data'!I12</f>
        <v>Thomas</v>
      </c>
      <c r="B22" s="20" t="str">
        <f>'Grad Raw Data'!K12</f>
        <v/>
      </c>
      <c r="C22" s="20" t="str">
        <f>'Grad Raw Data'!H12</f>
        <v>Stathoulopoulos</v>
      </c>
      <c r="D22" s="20"/>
      <c r="E22" s="20" t="str">
        <f>'Grad Raw Data'!D12</f>
        <v>RIGHT</v>
      </c>
      <c r="F22" s="20">
        <f>'Grad Raw Data'!E12</f>
        <v>1</v>
      </c>
    </row>
    <row r="23" spans="1:6" ht="24.95" customHeight="1" x14ac:dyDescent="0.25">
      <c r="A23" s="20"/>
      <c r="B23" s="20"/>
      <c r="C23" s="20"/>
      <c r="D23" s="20"/>
      <c r="E23" s="20"/>
      <c r="F23" s="20"/>
    </row>
    <row r="24" spans="1:6" ht="24.95" customHeight="1" x14ac:dyDescent="0.25">
      <c r="A24" s="20" t="str">
        <f>'Grad Raw Data'!I13</f>
        <v>Cara</v>
      </c>
      <c r="B24" s="20" t="str">
        <f>'Grad Raw Data'!K13</f>
        <v/>
      </c>
      <c r="C24" s="20" t="str">
        <f>'Grad Raw Data'!H13</f>
        <v>Vitarisi</v>
      </c>
      <c r="D24" s="20"/>
      <c r="E24" s="20" t="str">
        <f>'Grad Raw Data'!D13</f>
        <v>RIGHT</v>
      </c>
      <c r="F24" s="20">
        <f>'Grad Raw Data'!E13</f>
        <v>1</v>
      </c>
    </row>
    <row r="25" spans="1:6" ht="24.95" customHeight="1" x14ac:dyDescent="0.25">
      <c r="A25" s="20"/>
      <c r="B25" s="20"/>
      <c r="C25" s="20"/>
      <c r="D25" s="20"/>
      <c r="E25" s="20"/>
      <c r="F25" s="20"/>
    </row>
    <row r="26" spans="1:6" ht="24.95" customHeight="1" x14ac:dyDescent="0.25">
      <c r="A26" s="20" t="str">
        <f>'Grad Raw Data'!I14</f>
        <v>Jillian</v>
      </c>
      <c r="B26" s="20" t="str">
        <f>'Grad Raw Data'!K14</f>
        <v>Kate</v>
      </c>
      <c r="C26" s="20" t="str">
        <f>'Grad Raw Data'!H14</f>
        <v>Abate</v>
      </c>
      <c r="D26" s="20"/>
      <c r="E26" s="20" t="str">
        <f>'Grad Raw Data'!D14</f>
        <v>RIGHT</v>
      </c>
      <c r="F26" s="20">
        <f>'Grad Raw Data'!E14</f>
        <v>1</v>
      </c>
    </row>
    <row r="27" spans="1:6" ht="24.95" customHeight="1" x14ac:dyDescent="0.25">
      <c r="A27" s="20"/>
      <c r="B27" s="20"/>
      <c r="C27" s="20"/>
      <c r="D27" s="20"/>
      <c r="E27" s="20"/>
      <c r="F27" s="20"/>
    </row>
    <row r="28" spans="1:6" ht="24.95" customHeight="1" x14ac:dyDescent="0.25">
      <c r="A28" s="20" t="str">
        <f>'Grad Raw Data'!I15</f>
        <v>Logan</v>
      </c>
      <c r="B28" s="20" t="str">
        <f>'Grad Raw Data'!K15</f>
        <v>Ford</v>
      </c>
      <c r="C28" s="20" t="str">
        <f>'Grad Raw Data'!H15</f>
        <v>Abrams</v>
      </c>
      <c r="D28" s="20"/>
      <c r="E28" s="20" t="str">
        <f>'Grad Raw Data'!D15</f>
        <v>RIGHT</v>
      </c>
      <c r="F28" s="20">
        <f>'Grad Raw Data'!E15</f>
        <v>1</v>
      </c>
    </row>
    <row r="29" spans="1:6" ht="24.95" customHeight="1" x14ac:dyDescent="0.25">
      <c r="A29" s="16"/>
      <c r="B29" s="20"/>
      <c r="C29" s="20"/>
      <c r="D29" s="20"/>
      <c r="E29" s="20"/>
      <c r="F29" s="20"/>
    </row>
    <row r="30" spans="1:6" ht="24.95" customHeight="1" x14ac:dyDescent="0.25">
      <c r="A30" s="20" t="str">
        <f>'Grad Raw Data'!I16</f>
        <v>Raniya</v>
      </c>
      <c r="B30" s="20" t="str">
        <f>'Grad Raw Data'!K16</f>
        <v/>
      </c>
      <c r="C30" s="20" t="str">
        <f>'Grad Raw Data'!H16</f>
        <v>Abubakar</v>
      </c>
      <c r="D30" s="20"/>
      <c r="E30" s="20" t="str">
        <f>'Grad Raw Data'!D16</f>
        <v>RIGHT</v>
      </c>
      <c r="F30" s="20">
        <f>'Grad Raw Data'!E16</f>
        <v>1</v>
      </c>
    </row>
    <row r="31" spans="1:6" ht="24.95" customHeight="1" x14ac:dyDescent="0.25">
      <c r="A31" s="16"/>
      <c r="B31" s="20"/>
      <c r="C31" s="20"/>
      <c r="D31" s="20"/>
      <c r="E31" s="20"/>
      <c r="F31" s="20"/>
    </row>
    <row r="32" spans="1:6" ht="24.95" customHeight="1" x14ac:dyDescent="0.25">
      <c r="A32" s="20" t="str">
        <f>'Grad Raw Data'!I17</f>
        <v>Luis</v>
      </c>
      <c r="B32" s="20" t="str">
        <f>'Grad Raw Data'!K17</f>
        <v xml:space="preserve"> </v>
      </c>
      <c r="C32" s="20" t="str">
        <f>'Grad Raw Data'!H17</f>
        <v>Aburto Campos</v>
      </c>
      <c r="D32" s="20"/>
      <c r="E32" s="20" t="str">
        <f>'Grad Raw Data'!D17</f>
        <v>RIGHT</v>
      </c>
      <c r="F32" s="20">
        <f>'Grad Raw Data'!E17</f>
        <v>1</v>
      </c>
    </row>
    <row r="33" spans="1:6" ht="24.95" customHeight="1" x14ac:dyDescent="0.25">
      <c r="A33" s="20"/>
      <c r="B33" s="20"/>
      <c r="C33" s="20"/>
      <c r="D33" s="20"/>
      <c r="E33" s="20"/>
      <c r="F33" s="20"/>
    </row>
    <row r="34" spans="1:6" ht="24.95" customHeight="1" x14ac:dyDescent="0.25">
      <c r="A34" s="20" t="str">
        <f>'Grad Raw Data'!I18</f>
        <v>Devyn</v>
      </c>
      <c r="B34" s="20" t="str">
        <f>'Grad Raw Data'!K19</f>
        <v/>
      </c>
      <c r="C34" s="20" t="str">
        <f>'Grad Raw Data'!H18</f>
        <v>Ahlert</v>
      </c>
      <c r="D34" s="20"/>
      <c r="E34" s="20" t="str">
        <f>'Grad Raw Data'!D18</f>
        <v>RIGHT</v>
      </c>
      <c r="F34" s="20">
        <f>'Grad Raw Data'!E18</f>
        <v>1</v>
      </c>
    </row>
    <row r="35" spans="1:6" ht="24.95" customHeight="1" x14ac:dyDescent="0.25">
      <c r="A35" s="20"/>
      <c r="B35" s="20"/>
      <c r="C35" s="20"/>
      <c r="D35" s="20"/>
      <c r="E35" s="20"/>
      <c r="F35" s="20"/>
    </row>
    <row r="36" spans="1:6" ht="24.95" customHeight="1" x14ac:dyDescent="0.25">
      <c r="A36" s="20" t="str">
        <f>'Grad Raw Data'!I19</f>
        <v>Alexander</v>
      </c>
      <c r="B36" s="20" t="str">
        <f>'Grad Raw Data'!K19</f>
        <v/>
      </c>
      <c r="C36" s="20" t="str">
        <f>'Grad Raw Data'!H19</f>
        <v>Aiello</v>
      </c>
      <c r="D36" s="20"/>
      <c r="E36" s="20" t="str">
        <f>'Grad Raw Data'!D19</f>
        <v>LEFT</v>
      </c>
      <c r="F36" s="20">
        <f>'Grad Raw Data'!E19</f>
        <v>1</v>
      </c>
    </row>
    <row r="37" spans="1:6" ht="24.95" customHeight="1" x14ac:dyDescent="0.25">
      <c r="A37" s="20"/>
      <c r="B37" s="20"/>
      <c r="C37" s="20"/>
      <c r="D37" s="20"/>
      <c r="E37" s="20"/>
      <c r="F37" s="20"/>
    </row>
    <row r="38" spans="1:6" ht="24.95" customHeight="1" x14ac:dyDescent="0.25">
      <c r="A38" s="20" t="str">
        <f>'Grad Raw Data'!I20</f>
        <v>Reese</v>
      </c>
      <c r="B38" s="20" t="str">
        <f>'Grad Raw Data'!K20</f>
        <v/>
      </c>
      <c r="C38" s="20" t="str">
        <f>'Grad Raw Data'!H20</f>
        <v>Allen</v>
      </c>
      <c r="D38" s="20"/>
      <c r="E38" s="20" t="str">
        <f>'Grad Raw Data'!D20</f>
        <v>LEFT</v>
      </c>
      <c r="F38" s="20">
        <f>'Grad Raw Data'!E20</f>
        <v>1</v>
      </c>
    </row>
    <row r="39" spans="1:6" ht="24.95" customHeight="1" x14ac:dyDescent="0.25">
      <c r="A39" s="20"/>
      <c r="B39" s="20"/>
      <c r="C39" s="20"/>
      <c r="D39" s="20"/>
      <c r="E39" s="20"/>
      <c r="F39" s="20"/>
    </row>
    <row r="40" spans="1:6" ht="24.95" customHeight="1" x14ac:dyDescent="0.25">
      <c r="A40" s="20" t="str">
        <f>'Grad Raw Data'!I21</f>
        <v>Fabricio</v>
      </c>
      <c r="B40" s="20" t="str">
        <f>'Grad Raw Data'!K21</f>
        <v/>
      </c>
      <c r="C40" s="20" t="str">
        <f>'Grad Raw Data'!H21</f>
        <v>Amado</v>
      </c>
      <c r="D40" s="20"/>
      <c r="E40" s="20" t="str">
        <f>'Grad Raw Data'!D21</f>
        <v>LEFT</v>
      </c>
      <c r="F40" s="20">
        <f>'Grad Raw Data'!E21</f>
        <v>1</v>
      </c>
    </row>
    <row r="41" spans="1:6" ht="24.95" customHeight="1" x14ac:dyDescent="0.25">
      <c r="A41" s="20"/>
      <c r="B41" s="20"/>
      <c r="C41" s="20"/>
      <c r="D41" s="20"/>
      <c r="E41" s="20"/>
      <c r="F41" s="20"/>
    </row>
    <row r="42" spans="1:6" ht="24.95" customHeight="1" x14ac:dyDescent="0.25">
      <c r="A42" s="20" t="str">
        <f>'Grad Raw Data'!I22</f>
        <v>Joseph</v>
      </c>
      <c r="B42" s="20" t="str">
        <f>'Grad Raw Data'!K22</f>
        <v/>
      </c>
      <c r="C42" s="20" t="str">
        <f>'Grad Raw Data'!H22</f>
        <v>Amirault</v>
      </c>
      <c r="D42" s="20"/>
      <c r="E42" s="20" t="str">
        <f>'Grad Raw Data'!D22</f>
        <v>LEFT</v>
      </c>
      <c r="F42" s="20">
        <f>'Grad Raw Data'!E22</f>
        <v>1</v>
      </c>
    </row>
    <row r="43" spans="1:6" ht="24.95" customHeight="1" x14ac:dyDescent="0.25">
      <c r="A43" s="20"/>
      <c r="B43" s="20"/>
      <c r="C43" s="20"/>
      <c r="D43" s="20"/>
      <c r="E43" s="20"/>
      <c r="F43" s="20"/>
    </row>
    <row r="44" spans="1:6" ht="24.95" customHeight="1" x14ac:dyDescent="0.25">
      <c r="A44" s="20" t="str">
        <f>'Grad Raw Data'!I23</f>
        <v>Brady</v>
      </c>
      <c r="B44" s="20" t="str">
        <f>'Grad Raw Data'!K23</f>
        <v/>
      </c>
      <c r="C44" s="20" t="str">
        <f>'Grad Raw Data'!H23</f>
        <v>Anderson</v>
      </c>
      <c r="D44" s="20"/>
      <c r="E44" s="20" t="str">
        <f>'Grad Raw Data'!D23</f>
        <v>LEFT</v>
      </c>
      <c r="F44" s="20">
        <f>'Grad Raw Data'!E23</f>
        <v>1</v>
      </c>
    </row>
    <row r="45" spans="1:6" ht="24.95" customHeight="1" x14ac:dyDescent="0.25">
      <c r="A45" s="20"/>
      <c r="B45" s="20"/>
      <c r="C45" s="20"/>
      <c r="D45" s="20"/>
      <c r="E45" s="20"/>
      <c r="F45" s="20"/>
    </row>
    <row r="46" spans="1:6" ht="24.95" customHeight="1" x14ac:dyDescent="0.25">
      <c r="A46" s="20" t="str">
        <f>'Grad Raw Data'!I24</f>
        <v>Barrington</v>
      </c>
      <c r="B46" s="20" t="str">
        <f>'Grad Raw Data'!K24</f>
        <v/>
      </c>
      <c r="C46" s="20" t="str">
        <f>'Grad Raw Data'!H24</f>
        <v>Anderson</v>
      </c>
      <c r="D46" s="20"/>
      <c r="E46" s="20" t="str">
        <f>'Grad Raw Data'!D24</f>
        <v>LEFT</v>
      </c>
      <c r="F46" s="20">
        <f>'Grad Raw Data'!E24</f>
        <v>1</v>
      </c>
    </row>
    <row r="47" spans="1:6" ht="24.95" customHeight="1" x14ac:dyDescent="0.25">
      <c r="A47" s="20"/>
      <c r="B47" s="20"/>
      <c r="C47" s="20"/>
      <c r="D47" s="20"/>
      <c r="E47" s="20"/>
      <c r="F47" s="20"/>
    </row>
    <row r="48" spans="1:6" ht="24.95" customHeight="1" x14ac:dyDescent="0.25">
      <c r="A48" s="20" t="str">
        <f>'Grad Raw Data'!I25</f>
        <v>Isabella</v>
      </c>
      <c r="B48" s="20" t="str">
        <f>'Grad Raw Data'!K25</f>
        <v/>
      </c>
      <c r="C48" s="20" t="str">
        <f>'Grad Raw Data'!H25</f>
        <v>Aquino</v>
      </c>
      <c r="D48" s="20"/>
      <c r="E48" s="20" t="str">
        <f>'Grad Raw Data'!D25</f>
        <v>LEFT</v>
      </c>
      <c r="F48" s="20">
        <f>'Grad Raw Data'!E25</f>
        <v>1</v>
      </c>
    </row>
    <row r="49" spans="1:6" ht="24.95" customHeight="1" x14ac:dyDescent="0.25">
      <c r="A49" s="20"/>
      <c r="B49" s="20"/>
      <c r="C49" s="20"/>
      <c r="D49" s="20"/>
      <c r="E49" s="20"/>
      <c r="F49" s="20"/>
    </row>
    <row r="50" spans="1:6" ht="24.95" customHeight="1" x14ac:dyDescent="0.25">
      <c r="A50" s="20" t="str">
        <f>'Grad Raw Data'!I26</f>
        <v>Lucas</v>
      </c>
      <c r="B50" s="20" t="str">
        <f>'Grad Raw Data'!K26</f>
        <v/>
      </c>
      <c r="C50" s="20" t="str">
        <f>'Grad Raw Data'!H26</f>
        <v>Aquino</v>
      </c>
      <c r="D50" s="20"/>
      <c r="E50" s="20" t="str">
        <f>'Grad Raw Data'!D26</f>
        <v>LEFT</v>
      </c>
      <c r="F50" s="20">
        <f>'Grad Raw Data'!E26</f>
        <v>1</v>
      </c>
    </row>
    <row r="51" spans="1:6" ht="24.95" customHeight="1" x14ac:dyDescent="0.25">
      <c r="A51" s="20"/>
      <c r="B51" s="20"/>
      <c r="C51" s="20"/>
      <c r="D51" s="20"/>
      <c r="E51" s="20"/>
      <c r="F51" s="20"/>
    </row>
    <row r="52" spans="1:6" ht="24.95" customHeight="1" x14ac:dyDescent="0.25">
      <c r="A52" s="20" t="str">
        <f>'Grad Raw Data'!I27</f>
        <v>Tiago</v>
      </c>
      <c r="B52" s="20" t="str">
        <f>'Grad Raw Data'!K27</f>
        <v/>
      </c>
      <c r="C52" s="20" t="str">
        <f>'Grad Raw Data'!H27</f>
        <v>Araujo</v>
      </c>
      <c r="D52" s="20"/>
      <c r="E52" s="20" t="str">
        <f>'Grad Raw Data'!D27</f>
        <v>LEFT</v>
      </c>
      <c r="F52" s="20">
        <f>'Grad Raw Data'!E27</f>
        <v>1</v>
      </c>
    </row>
    <row r="53" spans="1:6" ht="24.95" customHeight="1" x14ac:dyDescent="0.25">
      <c r="A53" s="20"/>
      <c r="B53" s="20"/>
      <c r="C53" s="20"/>
      <c r="D53" s="20"/>
      <c r="E53" s="20"/>
      <c r="F53" s="20"/>
    </row>
    <row r="54" spans="1:6" ht="24.95" customHeight="1" x14ac:dyDescent="0.25">
      <c r="A54" s="20" t="str">
        <f>'Grad Raw Data'!I28</f>
        <v>Chloe</v>
      </c>
      <c r="B54" s="20" t="str">
        <f>'Grad Raw Data'!K28</f>
        <v/>
      </c>
      <c r="C54" s="20" t="str">
        <f>'Grad Raw Data'!H28</f>
        <v>Aretusi</v>
      </c>
      <c r="D54" s="20"/>
      <c r="E54" s="20" t="str">
        <f>'Grad Raw Data'!D28</f>
        <v>LEFT</v>
      </c>
      <c r="F54" s="20">
        <f>'Grad Raw Data'!E28</f>
        <v>1</v>
      </c>
    </row>
    <row r="55" spans="1:6" ht="24.95" customHeight="1" x14ac:dyDescent="0.25">
      <c r="A55" s="20"/>
      <c r="B55" s="20"/>
      <c r="C55" s="20"/>
      <c r="D55" s="20"/>
      <c r="E55" s="20"/>
      <c r="F55" s="20"/>
    </row>
    <row r="56" spans="1:6" ht="24.95" customHeight="1" x14ac:dyDescent="0.25">
      <c r="A56" s="20" t="str">
        <f>'Grad Raw Data'!I29</f>
        <v>Evan</v>
      </c>
      <c r="B56" s="20" t="str">
        <f>'Grad Raw Data'!K29</f>
        <v/>
      </c>
      <c r="C56" s="20" t="str">
        <f>'Grad Raw Data'!H29</f>
        <v>Audley</v>
      </c>
      <c r="D56" s="20"/>
      <c r="E56" s="20" t="str">
        <f>'Grad Raw Data'!D29</f>
        <v>LEFT</v>
      </c>
      <c r="F56" s="20">
        <f>'Grad Raw Data'!E29</f>
        <v>1</v>
      </c>
    </row>
    <row r="57" spans="1:6" ht="24.95" customHeight="1" x14ac:dyDescent="0.25">
      <c r="A57" s="20"/>
      <c r="B57" s="20"/>
      <c r="C57" s="20"/>
      <c r="D57" s="20"/>
      <c r="E57" s="20"/>
      <c r="F57" s="20"/>
    </row>
    <row r="58" spans="1:6" ht="24.95" customHeight="1" x14ac:dyDescent="0.25">
      <c r="A58" s="20" t="str">
        <f>'Grad Raw Data'!I30</f>
        <v>Natalie</v>
      </c>
      <c r="B58" s="20" t="str">
        <f>'Grad Raw Data'!K30</f>
        <v/>
      </c>
      <c r="C58" s="20" t="str">
        <f>'Grad Raw Data'!H30</f>
        <v>Austin</v>
      </c>
      <c r="D58" s="20"/>
      <c r="E58" s="20" t="str">
        <f>'Grad Raw Data'!D30</f>
        <v>LEFT</v>
      </c>
      <c r="F58" s="20">
        <f>'Grad Raw Data'!E30</f>
        <v>1</v>
      </c>
    </row>
    <row r="59" spans="1:6" ht="24.95" customHeight="1" x14ac:dyDescent="0.25">
      <c r="A59" s="20"/>
      <c r="B59" s="20"/>
      <c r="C59" s="20"/>
      <c r="D59" s="20"/>
      <c r="E59" s="20"/>
      <c r="F59" s="20"/>
    </row>
    <row r="60" spans="1:6" ht="24.95" customHeight="1" x14ac:dyDescent="0.25">
      <c r="A60" s="20" t="str">
        <f>'Grad Raw Data'!I31</f>
        <v>Vivian</v>
      </c>
      <c r="B60" s="20" t="str">
        <f>'Grad Raw Data'!K31</f>
        <v/>
      </c>
      <c r="C60" s="20" t="str">
        <f>'Grad Raw Data'!H31</f>
        <v>Balas</v>
      </c>
      <c r="D60" s="20"/>
      <c r="E60" s="20" t="str">
        <f>'Grad Raw Data'!D31</f>
        <v>RIGHT</v>
      </c>
      <c r="F60" s="20">
        <f>'Grad Raw Data'!E31</f>
        <v>2</v>
      </c>
    </row>
    <row r="61" spans="1:6" ht="24.95" customHeight="1" x14ac:dyDescent="0.25">
      <c r="A61" s="20"/>
      <c r="B61" s="20"/>
      <c r="C61" s="20"/>
      <c r="D61" s="20"/>
      <c r="E61" s="20"/>
      <c r="F61" s="20"/>
    </row>
    <row r="62" spans="1:6" ht="24.95" customHeight="1" x14ac:dyDescent="0.25">
      <c r="A62" s="20" t="str">
        <f>'Grad Raw Data'!I32</f>
        <v>Kaua</v>
      </c>
      <c r="B62" s="20" t="str">
        <f>'Grad Raw Data'!K32</f>
        <v/>
      </c>
      <c r="C62" s="20" t="str">
        <f>'Grad Raw Data'!H32</f>
        <v>Batista</v>
      </c>
      <c r="D62" s="20"/>
      <c r="E62" s="20" t="str">
        <f>'Grad Raw Data'!D32</f>
        <v>RIGHT</v>
      </c>
      <c r="F62" s="20">
        <f>'Grad Raw Data'!E32</f>
        <v>2</v>
      </c>
    </row>
    <row r="63" spans="1:6" ht="24.95" customHeight="1" x14ac:dyDescent="0.25">
      <c r="A63" s="20"/>
      <c r="B63" s="20"/>
      <c r="C63" s="20"/>
      <c r="D63" s="20"/>
      <c r="E63" s="20"/>
      <c r="F63" s="20"/>
    </row>
    <row r="64" spans="1:6" ht="24.95" customHeight="1" x14ac:dyDescent="0.25">
      <c r="A64" s="20" t="str">
        <f>'Grad Raw Data'!I33</f>
        <v>Carson</v>
      </c>
      <c r="B64" s="20" t="str">
        <f>'Grad Raw Data'!K33</f>
        <v/>
      </c>
      <c r="C64" s="20" t="str">
        <f>'Grad Raw Data'!H33</f>
        <v>Beaulieu</v>
      </c>
      <c r="D64" s="20"/>
      <c r="E64" s="20" t="str">
        <f>'Grad Raw Data'!D33</f>
        <v>RIGHT</v>
      </c>
      <c r="F64" s="20">
        <f>'Grad Raw Data'!E33</f>
        <v>2</v>
      </c>
    </row>
    <row r="65" spans="1:6" ht="24.95" customHeight="1" x14ac:dyDescent="0.25">
      <c r="A65" s="20"/>
      <c r="B65" s="20"/>
      <c r="C65" s="20"/>
      <c r="D65" s="20"/>
      <c r="E65" s="20"/>
      <c r="F65" s="20"/>
    </row>
    <row r="66" spans="1:6" ht="24.95" customHeight="1" x14ac:dyDescent="0.25">
      <c r="A66" s="20" t="str">
        <f>'Grad Raw Data'!I34</f>
        <v>Jahnai</v>
      </c>
      <c r="B66" s="20" t="str">
        <f>'Grad Raw Data'!K34</f>
        <v/>
      </c>
      <c r="C66" s="20" t="str">
        <f>'Grad Raw Data'!H34</f>
        <v>Belfon</v>
      </c>
      <c r="D66" s="20"/>
      <c r="E66" s="20" t="str">
        <f>'Grad Raw Data'!D34</f>
        <v>RIGHT</v>
      </c>
      <c r="F66" s="20">
        <f>'Grad Raw Data'!E34</f>
        <v>2</v>
      </c>
    </row>
    <row r="67" spans="1:6" ht="24.95" customHeight="1" x14ac:dyDescent="0.25">
      <c r="A67" s="20"/>
      <c r="B67" s="20"/>
      <c r="C67" s="20"/>
      <c r="D67" s="20"/>
      <c r="E67" s="20"/>
      <c r="F67" s="20"/>
    </row>
    <row r="68" spans="1:6" ht="24.95" customHeight="1" x14ac:dyDescent="0.25">
      <c r="A68" s="20" t="str">
        <f>'Grad Raw Data'!I35</f>
        <v>Amelia</v>
      </c>
      <c r="B68" s="20" t="str">
        <f>'Grad Raw Data'!K35</f>
        <v/>
      </c>
      <c r="C68" s="20" t="str">
        <f>'Grad Raw Data'!H35</f>
        <v>Benedict</v>
      </c>
      <c r="D68" s="20"/>
      <c r="E68" s="20" t="str">
        <f>'Grad Raw Data'!D35</f>
        <v>RIGHT</v>
      </c>
      <c r="F68" s="20">
        <f>'Grad Raw Data'!E35</f>
        <v>2</v>
      </c>
    </row>
    <row r="69" spans="1:6" ht="24.95" customHeight="1" x14ac:dyDescent="0.25">
      <c r="A69" s="20"/>
      <c r="B69" s="20"/>
      <c r="C69" s="20"/>
      <c r="D69" s="20"/>
      <c r="E69" s="20"/>
      <c r="F69" s="20"/>
    </row>
    <row r="70" spans="1:6" ht="24.95" customHeight="1" x14ac:dyDescent="0.25">
      <c r="A70" s="20" t="str">
        <f>'Grad Raw Data'!I36</f>
        <v>Jamison</v>
      </c>
      <c r="B70" s="20" t="str">
        <f>'Grad Raw Data'!K36</f>
        <v/>
      </c>
      <c r="C70" s="20" t="str">
        <f>'Grad Raw Data'!H36</f>
        <v>Bentley</v>
      </c>
      <c r="D70" s="20"/>
      <c r="E70" s="20" t="str">
        <f>'Grad Raw Data'!D36</f>
        <v>RIGHT</v>
      </c>
      <c r="F70" s="20">
        <f>'Grad Raw Data'!E36</f>
        <v>2</v>
      </c>
    </row>
    <row r="71" spans="1:6" ht="24.95" customHeight="1" x14ac:dyDescent="0.25">
      <c r="A71" s="20"/>
      <c r="B71" s="20"/>
      <c r="C71" s="20"/>
      <c r="D71" s="20"/>
      <c r="E71" s="20"/>
      <c r="F71" s="20"/>
    </row>
    <row r="72" spans="1:6" ht="24.95" customHeight="1" x14ac:dyDescent="0.25">
      <c r="A72" s="20" t="str">
        <f>'Grad Raw Data'!I37</f>
        <v>Dhanya</v>
      </c>
      <c r="B72" s="20" t="str">
        <f>'Grad Raw Data'!K37</f>
        <v/>
      </c>
      <c r="C72" s="20" t="str">
        <f>'Grad Raw Data'!H37</f>
        <v>Bhola</v>
      </c>
      <c r="D72" s="20"/>
      <c r="E72" s="20" t="str">
        <f>'Grad Raw Data'!D37</f>
        <v>RIGHT</v>
      </c>
      <c r="F72" s="20">
        <f>'Grad Raw Data'!E37</f>
        <v>2</v>
      </c>
    </row>
    <row r="73" spans="1:6" ht="24.95" customHeight="1" x14ac:dyDescent="0.25">
      <c r="A73" s="20"/>
      <c r="B73" s="20"/>
      <c r="C73" s="20"/>
      <c r="D73" s="20"/>
      <c r="E73" s="20"/>
      <c r="F73" s="20"/>
    </row>
    <row r="74" spans="1:6" ht="24.95" customHeight="1" x14ac:dyDescent="0.25">
      <c r="A74" s="20" t="str">
        <f>'Grad Raw Data'!I38</f>
        <v>Elizabeth</v>
      </c>
      <c r="B74" s="20" t="str">
        <f>'Grad Raw Data'!K38</f>
        <v/>
      </c>
      <c r="C74" s="20" t="str">
        <f>'Grad Raw Data'!H38</f>
        <v>Boucher</v>
      </c>
      <c r="D74" s="20"/>
      <c r="E74" s="20" t="str">
        <f>'Grad Raw Data'!D38</f>
        <v>RIGHT</v>
      </c>
      <c r="F74" s="20">
        <f>'Grad Raw Data'!E38</f>
        <v>2</v>
      </c>
    </row>
    <row r="75" spans="1:6" ht="24.95" customHeight="1" x14ac:dyDescent="0.25">
      <c r="A75" s="20"/>
      <c r="B75" s="20"/>
      <c r="C75" s="20"/>
      <c r="D75" s="20"/>
      <c r="E75" s="20"/>
      <c r="F75" s="20"/>
    </row>
    <row r="76" spans="1:6" ht="24.95" customHeight="1" x14ac:dyDescent="0.25">
      <c r="A76" s="20" t="str">
        <f>'Grad Raw Data'!I39</f>
        <v>Danielle</v>
      </c>
      <c r="B76" s="20" t="str">
        <f>'Grad Raw Data'!K39</f>
        <v/>
      </c>
      <c r="C76" s="20" t="str">
        <f>'Grad Raw Data'!H39</f>
        <v>Bowers</v>
      </c>
      <c r="D76" s="20"/>
      <c r="E76" s="20" t="str">
        <f>'Grad Raw Data'!D39</f>
        <v>RIGHT</v>
      </c>
      <c r="F76" s="20">
        <f>'Grad Raw Data'!E39</f>
        <v>2</v>
      </c>
    </row>
    <row r="77" spans="1:6" ht="24.95" customHeight="1" x14ac:dyDescent="0.25">
      <c r="A77" s="20"/>
      <c r="B77" s="20"/>
      <c r="C77" s="20"/>
      <c r="D77" s="20"/>
      <c r="E77" s="20"/>
      <c r="F77" s="20"/>
    </row>
    <row r="78" spans="1:6" ht="24.95" customHeight="1" x14ac:dyDescent="0.25">
      <c r="A78" s="20" t="str">
        <f>'Grad Raw Data'!I40</f>
        <v>Lucas</v>
      </c>
      <c r="B78" s="20" t="str">
        <f>'Grad Raw Data'!K40</f>
        <v/>
      </c>
      <c r="C78" s="20" t="str">
        <f>'Grad Raw Data'!H40</f>
        <v>Bowlin</v>
      </c>
      <c r="D78" s="20"/>
      <c r="E78" s="20" t="str">
        <f>'Grad Raw Data'!D40</f>
        <v>RIGHT</v>
      </c>
      <c r="F78" s="20">
        <f>'Grad Raw Data'!E40</f>
        <v>2</v>
      </c>
    </row>
    <row r="79" spans="1:6" ht="24.95" customHeight="1" x14ac:dyDescent="0.25">
      <c r="A79" s="20"/>
      <c r="B79" s="20"/>
      <c r="C79" s="20"/>
      <c r="D79" s="20"/>
      <c r="E79" s="20"/>
      <c r="F79" s="20"/>
    </row>
    <row r="80" spans="1:6" ht="24.95" customHeight="1" x14ac:dyDescent="0.25">
      <c r="A80" s="20" t="str">
        <f>'Grad Raw Data'!I41</f>
        <v>Kaleb</v>
      </c>
      <c r="B80" s="20" t="str">
        <f>'Grad Raw Data'!K41</f>
        <v/>
      </c>
      <c r="C80" s="20" t="str">
        <f>'Grad Raw Data'!H41</f>
        <v>Brady</v>
      </c>
      <c r="D80" s="20"/>
      <c r="E80" s="20" t="str">
        <f>'Grad Raw Data'!D41</f>
        <v>RIGHT</v>
      </c>
      <c r="F80" s="20">
        <f>'Grad Raw Data'!E41</f>
        <v>2</v>
      </c>
    </row>
    <row r="81" spans="1:6" ht="24.95" customHeight="1" x14ac:dyDescent="0.25">
      <c r="A81" s="20"/>
      <c r="B81" s="20"/>
      <c r="C81" s="20"/>
      <c r="D81" s="20"/>
      <c r="E81" s="20"/>
      <c r="F81" s="20"/>
    </row>
    <row r="82" spans="1:6" ht="24.95" customHeight="1" x14ac:dyDescent="0.25">
      <c r="A82" s="20" t="str">
        <f>'Grad Raw Data'!I42</f>
        <v>A.J.</v>
      </c>
      <c r="B82" s="20" t="str">
        <f>'Grad Raw Data'!K42</f>
        <v/>
      </c>
      <c r="C82" s="20" t="str">
        <f>'Grad Raw Data'!H42</f>
        <v>Bramante</v>
      </c>
      <c r="D82" s="20"/>
      <c r="E82" s="20" t="str">
        <f>'Grad Raw Data'!D42</f>
        <v>RIGHT</v>
      </c>
      <c r="F82" s="20">
        <f>'Grad Raw Data'!E42</f>
        <v>2</v>
      </c>
    </row>
    <row r="83" spans="1:6" ht="24.95" customHeight="1" x14ac:dyDescent="0.25">
      <c r="A83" s="20"/>
      <c r="B83" s="20"/>
      <c r="C83" s="20"/>
      <c r="D83" s="20"/>
      <c r="E83" s="20"/>
      <c r="F83" s="20"/>
    </row>
    <row r="84" spans="1:6" ht="24.95" customHeight="1" x14ac:dyDescent="0.25">
      <c r="A84" s="20" t="str">
        <f>'Grad Raw Data'!I43</f>
        <v>Ashley</v>
      </c>
      <c r="B84" s="20" t="str">
        <f>'Grad Raw Data'!K43</f>
        <v/>
      </c>
      <c r="C84" s="20" t="str">
        <f>'Grad Raw Data'!H43</f>
        <v>Brown</v>
      </c>
      <c r="D84" s="20"/>
      <c r="E84" s="20" t="str">
        <f>'Grad Raw Data'!D43</f>
        <v>LEFT</v>
      </c>
      <c r="F84" s="20">
        <f>'Grad Raw Data'!E43</f>
        <v>2</v>
      </c>
    </row>
    <row r="85" spans="1:6" ht="24.95" customHeight="1" x14ac:dyDescent="0.25">
      <c r="A85" s="21"/>
      <c r="B85" s="20"/>
      <c r="C85" s="20"/>
      <c r="D85" s="20"/>
      <c r="E85" s="20"/>
      <c r="F85" s="20"/>
    </row>
    <row r="86" spans="1:6" ht="24.95" customHeight="1" x14ac:dyDescent="0.25">
      <c r="A86" s="20" t="str">
        <f>'Grad Raw Data'!I44</f>
        <v>Elijah</v>
      </c>
      <c r="B86" s="20" t="str">
        <f>'Grad Raw Data'!K44</f>
        <v/>
      </c>
      <c r="C86" s="20" t="str">
        <f>'Grad Raw Data'!H44</f>
        <v>Brown</v>
      </c>
      <c r="D86" s="20"/>
      <c r="E86" s="20" t="str">
        <f>'Grad Raw Data'!D44</f>
        <v>LEFT</v>
      </c>
      <c r="F86" s="20">
        <f>'Grad Raw Data'!E44</f>
        <v>2</v>
      </c>
    </row>
    <row r="87" spans="1:6" ht="24.95" customHeight="1" x14ac:dyDescent="0.25">
      <c r="A87" s="20"/>
      <c r="B87" s="20"/>
      <c r="C87" s="20"/>
      <c r="D87" s="20"/>
      <c r="E87" s="20"/>
      <c r="F87" s="20"/>
    </row>
    <row r="88" spans="1:6" ht="24.95" customHeight="1" x14ac:dyDescent="0.25">
      <c r="A88" s="20" t="str">
        <f>'Grad Raw Data'!I45</f>
        <v>Braeden</v>
      </c>
      <c r="B88" s="20" t="str">
        <f>'Grad Raw Data'!K45</f>
        <v/>
      </c>
      <c r="C88" s="20" t="str">
        <f>'Grad Raw Data'!H45</f>
        <v>Callan</v>
      </c>
      <c r="D88" s="20"/>
      <c r="E88" s="20" t="str">
        <f>'Grad Raw Data'!D45</f>
        <v>LEFT</v>
      </c>
      <c r="F88" s="20">
        <f>'Grad Raw Data'!E45</f>
        <v>2</v>
      </c>
    </row>
    <row r="89" spans="1:6" ht="24.95" customHeight="1" x14ac:dyDescent="0.25">
      <c r="A89" s="20"/>
      <c r="B89" s="20"/>
      <c r="C89" s="20"/>
      <c r="D89" s="20"/>
      <c r="E89" s="20"/>
      <c r="F89" s="20"/>
    </row>
    <row r="90" spans="1:6" ht="24.95" customHeight="1" x14ac:dyDescent="0.25">
      <c r="A90" s="20" t="str">
        <f>'Grad Raw Data'!I46</f>
        <v>Nilton</v>
      </c>
      <c r="B90" s="20" t="str">
        <f>'Grad Raw Data'!K46</f>
        <v/>
      </c>
      <c r="C90" s="20" t="str">
        <f>'Grad Raw Data'!H46</f>
        <v>Campos</v>
      </c>
      <c r="D90" s="20"/>
      <c r="E90" s="20" t="str">
        <f>'Grad Raw Data'!D46</f>
        <v>LEFT</v>
      </c>
      <c r="F90" s="20">
        <f>'Grad Raw Data'!E46</f>
        <v>2</v>
      </c>
    </row>
    <row r="91" spans="1:6" ht="24.95" customHeight="1" x14ac:dyDescent="0.25">
      <c r="A91" s="20"/>
      <c r="B91" s="20"/>
      <c r="C91" s="20"/>
      <c r="D91" s="20"/>
      <c r="E91" s="20"/>
      <c r="F91" s="20"/>
    </row>
    <row r="92" spans="1:6" ht="24.95" customHeight="1" x14ac:dyDescent="0.25">
      <c r="A92" s="20" t="str">
        <f>'Grad Raw Data'!I47</f>
        <v>Ethan</v>
      </c>
      <c r="B92" s="20" t="str">
        <f>'Grad Raw Data'!K47</f>
        <v/>
      </c>
      <c r="C92" s="20" t="str">
        <f>'Grad Raw Data'!H47</f>
        <v>Cannon</v>
      </c>
      <c r="D92" s="20"/>
      <c r="E92" s="20" t="str">
        <f>'Grad Raw Data'!D47</f>
        <v>LEFT</v>
      </c>
      <c r="F92" s="20">
        <f>'Grad Raw Data'!E47</f>
        <v>2</v>
      </c>
    </row>
    <row r="93" spans="1:6" ht="24.95" customHeight="1" x14ac:dyDescent="0.25">
      <c r="A93" s="20"/>
      <c r="B93" s="20"/>
      <c r="C93" s="20"/>
      <c r="D93" s="20"/>
      <c r="E93" s="20"/>
      <c r="F93" s="20"/>
    </row>
    <row r="94" spans="1:6" ht="24.95" customHeight="1" x14ac:dyDescent="0.25">
      <c r="A94" s="20" t="str">
        <f>'Grad Raw Data'!I48</f>
        <v>Lucas</v>
      </c>
      <c r="B94" s="20" t="str">
        <f>'Grad Raw Data'!K48</f>
        <v/>
      </c>
      <c r="C94" s="20" t="str">
        <f>'Grad Raw Data'!H48</f>
        <v>Carcione</v>
      </c>
      <c r="D94" s="20"/>
      <c r="E94" s="20" t="str">
        <f>'Grad Raw Data'!D48</f>
        <v>LEFT</v>
      </c>
      <c r="F94" s="20">
        <f>'Grad Raw Data'!E48</f>
        <v>2</v>
      </c>
    </row>
    <row r="95" spans="1:6" ht="24.95" customHeight="1" x14ac:dyDescent="0.25">
      <c r="A95" s="20"/>
      <c r="B95" s="20"/>
      <c r="C95" s="20"/>
      <c r="D95" s="20"/>
      <c r="E95" s="20"/>
      <c r="F95" s="20"/>
    </row>
    <row r="96" spans="1:6" ht="24.95" customHeight="1" x14ac:dyDescent="0.25">
      <c r="A96" s="20" t="str">
        <f>'Grad Raw Data'!I49</f>
        <v>Nicholas</v>
      </c>
      <c r="B96" s="20" t="str">
        <f>'Grad Raw Data'!K49</f>
        <v>Joseph</v>
      </c>
      <c r="C96" s="20" t="str">
        <f>'Grad Raw Data'!H49</f>
        <v>Casarano</v>
      </c>
      <c r="D96" s="20"/>
      <c r="E96" s="20" t="str">
        <f>'Grad Raw Data'!D49</f>
        <v>LEFT</v>
      </c>
      <c r="F96" s="20">
        <f>'Grad Raw Data'!E49</f>
        <v>2</v>
      </c>
    </row>
    <row r="97" spans="1:6" ht="24.95" customHeight="1" x14ac:dyDescent="0.25">
      <c r="A97" s="20"/>
      <c r="B97" s="20"/>
      <c r="C97" s="20"/>
      <c r="D97" s="20"/>
      <c r="E97" s="20"/>
      <c r="F97" s="20"/>
    </row>
    <row r="98" spans="1:6" ht="24.95" customHeight="1" x14ac:dyDescent="0.25">
      <c r="A98" s="20" t="str">
        <f>'Grad Raw Data'!I50</f>
        <v>Maggie</v>
      </c>
      <c r="B98" s="20" t="str">
        <f>'Grad Raw Data'!K50</f>
        <v/>
      </c>
      <c r="C98" s="20" t="str">
        <f>'Grad Raw Data'!H50</f>
        <v>Champlin-Scharff</v>
      </c>
      <c r="D98" s="20"/>
      <c r="E98" s="20" t="str">
        <f>'Grad Raw Data'!D50</f>
        <v>LEFT</v>
      </c>
      <c r="F98" s="20">
        <f>'Grad Raw Data'!E50</f>
        <v>2</v>
      </c>
    </row>
    <row r="99" spans="1:6" ht="24.95" customHeight="1" x14ac:dyDescent="0.25">
      <c r="A99" s="20"/>
      <c r="B99" s="20"/>
      <c r="C99" s="20"/>
      <c r="D99" s="20"/>
      <c r="E99" s="20"/>
      <c r="F99" s="20"/>
    </row>
    <row r="100" spans="1:6" ht="24.95" customHeight="1" x14ac:dyDescent="0.25">
      <c r="A100" s="20" t="str">
        <f>'Grad Raw Data'!I51</f>
        <v>Elsa</v>
      </c>
      <c r="B100" s="20" t="str">
        <f>'Grad Raw Data'!K51</f>
        <v/>
      </c>
      <c r="C100" s="20" t="str">
        <f>'Grad Raw Data'!H51</f>
        <v>Chow</v>
      </c>
      <c r="D100" s="20"/>
      <c r="E100" s="20" t="str">
        <f>'Grad Raw Data'!D51</f>
        <v>LEFT</v>
      </c>
      <c r="F100" s="20">
        <f>'Grad Raw Data'!E51</f>
        <v>2</v>
      </c>
    </row>
    <row r="101" spans="1:6" ht="24.95" customHeight="1" x14ac:dyDescent="0.25">
      <c r="A101" s="20"/>
      <c r="B101" s="20"/>
      <c r="C101" s="20"/>
      <c r="D101" s="20"/>
      <c r="E101" s="20"/>
      <c r="F101" s="20"/>
    </row>
    <row r="102" spans="1:6" ht="24.95" customHeight="1" x14ac:dyDescent="0.25">
      <c r="A102" s="20" t="str">
        <f>'Grad Raw Data'!I52</f>
        <v>Will</v>
      </c>
      <c r="B102" s="20" t="str">
        <f>'Grad Raw Data'!K52</f>
        <v/>
      </c>
      <c r="C102" s="20" t="str">
        <f>'Grad Raw Data'!H52</f>
        <v>Chute</v>
      </c>
      <c r="D102" s="20"/>
      <c r="E102" s="20" t="str">
        <f>'Grad Raw Data'!D52</f>
        <v>LEFT</v>
      </c>
      <c r="F102" s="20">
        <f>'Grad Raw Data'!E52</f>
        <v>2</v>
      </c>
    </row>
    <row r="103" spans="1:6" ht="24.95" customHeight="1" x14ac:dyDescent="0.25">
      <c r="A103" s="20"/>
      <c r="B103" s="20"/>
      <c r="C103" s="20"/>
      <c r="D103" s="20"/>
      <c r="E103" s="20"/>
      <c r="F103" s="20"/>
    </row>
    <row r="104" spans="1:6" ht="24.95" customHeight="1" x14ac:dyDescent="0.25">
      <c r="A104" s="20" t="str">
        <f>'Grad Raw Data'!I53</f>
        <v>Max</v>
      </c>
      <c r="B104" s="20" t="str">
        <f>'Grad Raw Data'!K53</f>
        <v/>
      </c>
      <c r="C104" s="20" t="str">
        <f>'Grad Raw Data'!H53</f>
        <v>Cinelli</v>
      </c>
      <c r="D104" s="20"/>
      <c r="E104" s="20" t="str">
        <f>'Grad Raw Data'!D53</f>
        <v>LEFT</v>
      </c>
      <c r="F104" s="20">
        <f>'Grad Raw Data'!E53</f>
        <v>2</v>
      </c>
    </row>
    <row r="105" spans="1:6" ht="24.95" customHeight="1" x14ac:dyDescent="0.25">
      <c r="A105" s="20"/>
      <c r="B105" s="20"/>
      <c r="C105" s="20"/>
      <c r="D105" s="20"/>
      <c r="E105" s="20"/>
      <c r="F105" s="20"/>
    </row>
    <row r="106" spans="1:6" ht="24.95" customHeight="1" x14ac:dyDescent="0.25">
      <c r="A106" s="20" t="str">
        <f>'Grad Raw Data'!I54</f>
        <v>Olivia</v>
      </c>
      <c r="B106" s="20" t="str">
        <f>'Grad Raw Data'!K54</f>
        <v>Marie</v>
      </c>
      <c r="C106" s="20" t="str">
        <f>'Grad Raw Data'!H54</f>
        <v>Cirrone</v>
      </c>
      <c r="D106" s="20"/>
      <c r="E106" s="20" t="str">
        <f>'Grad Raw Data'!D54</f>
        <v>LEFT</v>
      </c>
      <c r="F106" s="20">
        <f>'Grad Raw Data'!E54</f>
        <v>2</v>
      </c>
    </row>
    <row r="107" spans="1:6" ht="24.95" customHeight="1" x14ac:dyDescent="0.25">
      <c r="A107" s="20"/>
      <c r="B107" s="20"/>
      <c r="C107" s="20"/>
      <c r="D107" s="20"/>
      <c r="E107" s="20"/>
      <c r="F107" s="20"/>
    </row>
    <row r="108" spans="1:6" ht="24.95" customHeight="1" x14ac:dyDescent="0.25">
      <c r="A108" s="20" t="str">
        <f>'Grad Raw Data'!I55</f>
        <v>Chadley</v>
      </c>
      <c r="B108" s="20" t="str">
        <f>'Grad Raw Data'!K55</f>
        <v/>
      </c>
      <c r="C108" s="20" t="str">
        <f>'Grad Raw Data'!H55</f>
        <v>Civil</v>
      </c>
      <c r="D108" s="20"/>
      <c r="E108" s="20" t="str">
        <f>'Grad Raw Data'!D55</f>
        <v>RIGHT</v>
      </c>
      <c r="F108" s="20">
        <f>'Grad Raw Data'!E55</f>
        <v>3</v>
      </c>
    </row>
    <row r="109" spans="1:6" ht="24.95" customHeight="1" x14ac:dyDescent="0.25">
      <c r="A109" s="20"/>
      <c r="B109" s="20"/>
      <c r="C109" s="20"/>
      <c r="D109" s="20"/>
      <c r="E109" s="20"/>
      <c r="F109" s="20"/>
    </row>
    <row r="110" spans="1:6" ht="24.95" customHeight="1" x14ac:dyDescent="0.25">
      <c r="A110" s="20" t="str">
        <f>'Grad Raw Data'!I56</f>
        <v>Sam</v>
      </c>
      <c r="B110" s="20" t="str">
        <f>'Grad Raw Data'!K56</f>
        <v/>
      </c>
      <c r="C110" s="20" t="str">
        <f>'Grad Raw Data'!H56</f>
        <v>Clark</v>
      </c>
      <c r="D110" s="20"/>
      <c r="E110" s="20" t="str">
        <f>'Grad Raw Data'!D56</f>
        <v>RIGHT</v>
      </c>
      <c r="F110" s="20">
        <f>'Grad Raw Data'!E56</f>
        <v>3</v>
      </c>
    </row>
    <row r="111" spans="1:6" ht="24.95" customHeight="1" x14ac:dyDescent="0.25">
      <c r="A111" s="20"/>
      <c r="B111" s="20"/>
      <c r="C111" s="20"/>
      <c r="D111" s="20"/>
      <c r="E111" s="20"/>
      <c r="F111" s="20"/>
    </row>
    <row r="112" spans="1:6" ht="24.95" customHeight="1" x14ac:dyDescent="0.25">
      <c r="A112" s="20" t="str">
        <f>'Grad Raw Data'!I57</f>
        <v>Thomas</v>
      </c>
      <c r="B112" s="20" t="str">
        <f>'Grad Raw Data'!K57</f>
        <v/>
      </c>
      <c r="C112" s="20" t="str">
        <f>'Grad Raw Data'!H57</f>
        <v>Cockrell</v>
      </c>
      <c r="D112" s="20"/>
      <c r="E112" s="20" t="str">
        <f>'Grad Raw Data'!D57</f>
        <v>RIGHT</v>
      </c>
      <c r="F112" s="20">
        <f>'Grad Raw Data'!E57</f>
        <v>3</v>
      </c>
    </row>
    <row r="113" spans="1:6" ht="24.95" customHeight="1" x14ac:dyDescent="0.25">
      <c r="A113" s="20"/>
      <c r="B113" s="20"/>
      <c r="C113" s="20"/>
      <c r="D113" s="20"/>
      <c r="E113" s="20"/>
      <c r="F113" s="20"/>
    </row>
    <row r="114" spans="1:6" ht="24.95" customHeight="1" x14ac:dyDescent="0.25">
      <c r="A114" s="20" t="str">
        <f>'Grad Raw Data'!I58</f>
        <v>Brady</v>
      </c>
      <c r="B114" s="20" t="str">
        <f>'Grad Raw Data'!K58</f>
        <v/>
      </c>
      <c r="C114" s="20" t="str">
        <f>'Grad Raw Data'!H58</f>
        <v>Comenos</v>
      </c>
      <c r="D114" s="20"/>
      <c r="E114" s="20" t="str">
        <f>'Grad Raw Data'!D58</f>
        <v>RIGHT</v>
      </c>
      <c r="F114" s="20">
        <f>'Grad Raw Data'!E58</f>
        <v>3</v>
      </c>
    </row>
    <row r="115" spans="1:6" ht="24.95" customHeight="1" x14ac:dyDescent="0.25">
      <c r="A115" s="20"/>
      <c r="B115" s="20"/>
      <c r="C115" s="20"/>
      <c r="D115" s="20"/>
      <c r="E115" s="20"/>
      <c r="F115" s="20"/>
    </row>
    <row r="116" spans="1:6" ht="24.95" customHeight="1" x14ac:dyDescent="0.25">
      <c r="A116" s="20" t="str">
        <f>'Grad Raw Data'!I59</f>
        <v>Landen</v>
      </c>
      <c r="B116" s="20" t="str">
        <f>'Grad Raw Data'!K59</f>
        <v/>
      </c>
      <c r="C116" s="20" t="str">
        <f>'Grad Raw Data'!H59</f>
        <v>Connelly</v>
      </c>
      <c r="D116" s="20"/>
      <c r="E116" s="20" t="str">
        <f>'Grad Raw Data'!D59</f>
        <v>RIGHT</v>
      </c>
      <c r="F116" s="20">
        <f>'Grad Raw Data'!E59</f>
        <v>3</v>
      </c>
    </row>
    <row r="117" spans="1:6" ht="24.95" customHeight="1" x14ac:dyDescent="0.25">
      <c r="A117" s="20"/>
      <c r="B117" s="20"/>
      <c r="C117" s="20"/>
      <c r="D117" s="20"/>
      <c r="E117" s="20"/>
      <c r="F117" s="20"/>
    </row>
    <row r="118" spans="1:6" ht="24.95" customHeight="1" x14ac:dyDescent="0.25">
      <c r="A118" s="20" t="str">
        <f>'Grad Raw Data'!I60</f>
        <v>Tim</v>
      </c>
      <c r="B118" s="20" t="str">
        <f>'Grad Raw Data'!K60</f>
        <v/>
      </c>
      <c r="C118" s="20" t="str">
        <f>'Grad Raw Data'!H60</f>
        <v>Connolly</v>
      </c>
      <c r="D118" s="20"/>
      <c r="E118" s="20" t="str">
        <f>'Grad Raw Data'!D60</f>
        <v>RIGHT</v>
      </c>
      <c r="F118" s="20">
        <f>'Grad Raw Data'!E60</f>
        <v>3</v>
      </c>
    </row>
    <row r="119" spans="1:6" ht="24.95" customHeight="1" x14ac:dyDescent="0.25">
      <c r="A119" s="20"/>
      <c r="B119" s="20"/>
      <c r="C119" s="20"/>
      <c r="D119" s="20"/>
      <c r="E119" s="20"/>
      <c r="F119" s="20"/>
    </row>
    <row r="120" spans="1:6" ht="24.95" customHeight="1" x14ac:dyDescent="0.25">
      <c r="A120" s="20" t="str">
        <f>'Grad Raw Data'!I61</f>
        <v>Derek</v>
      </c>
      <c r="B120" s="20" t="str">
        <f>'Grad Raw Data'!K61</f>
        <v/>
      </c>
      <c r="C120" s="20" t="str">
        <f>'Grad Raw Data'!H61</f>
        <v>Connor</v>
      </c>
      <c r="D120" s="20"/>
      <c r="E120" s="20" t="str">
        <f>'Grad Raw Data'!D61</f>
        <v>RIGHT</v>
      </c>
      <c r="F120" s="20">
        <f>'Grad Raw Data'!E61</f>
        <v>3</v>
      </c>
    </row>
    <row r="121" spans="1:6" ht="24.95" customHeight="1" x14ac:dyDescent="0.25">
      <c r="A121" s="20"/>
      <c r="B121" s="20"/>
      <c r="C121" s="20"/>
      <c r="D121" s="20"/>
      <c r="E121" s="20"/>
      <c r="F121" s="20"/>
    </row>
    <row r="122" spans="1:6" ht="24.95" customHeight="1" x14ac:dyDescent="0.25">
      <c r="A122" s="20" t="str">
        <f>'Grad Raw Data'!I62</f>
        <v>Kayla</v>
      </c>
      <c r="B122" s="20" t="str">
        <f>'Grad Raw Data'!K62</f>
        <v/>
      </c>
      <c r="C122" s="20" t="str">
        <f>'Grad Raw Data'!H62</f>
        <v>Cox</v>
      </c>
      <c r="D122" s="20"/>
      <c r="E122" s="20" t="str">
        <f>'Grad Raw Data'!D62</f>
        <v>RIGHT</v>
      </c>
      <c r="F122" s="20">
        <f>'Grad Raw Data'!E62</f>
        <v>3</v>
      </c>
    </row>
    <row r="123" spans="1:6" ht="24.95" customHeight="1" x14ac:dyDescent="0.25">
      <c r="A123" s="20"/>
      <c r="B123" s="20"/>
      <c r="C123" s="20"/>
      <c r="D123" s="20"/>
      <c r="E123" s="20"/>
      <c r="F123" s="20"/>
    </row>
    <row r="124" spans="1:6" ht="24.95" customHeight="1" x14ac:dyDescent="0.25">
      <c r="A124" s="20" t="str">
        <f>'Grad Raw Data'!I63</f>
        <v>John</v>
      </c>
      <c r="B124" s="20" t="str">
        <f>'Grad Raw Data'!K63</f>
        <v/>
      </c>
      <c r="C124" s="20" t="str">
        <f>'Grad Raw Data'!H63</f>
        <v>Coyne</v>
      </c>
      <c r="D124" s="20"/>
      <c r="E124" s="20" t="str">
        <f>'Grad Raw Data'!D63</f>
        <v>RIGHT</v>
      </c>
      <c r="F124" s="20">
        <f>'Grad Raw Data'!E63</f>
        <v>3</v>
      </c>
    </row>
    <row r="125" spans="1:6" ht="24.95" customHeight="1" x14ac:dyDescent="0.25">
      <c r="A125" s="20"/>
      <c r="B125" s="20"/>
      <c r="C125" s="20"/>
      <c r="D125" s="20"/>
      <c r="E125" s="20"/>
      <c r="F125" s="20"/>
    </row>
    <row r="126" spans="1:6" ht="24.95" customHeight="1" x14ac:dyDescent="0.25">
      <c r="A126" s="20" t="str">
        <f>'Grad Raw Data'!I64</f>
        <v>Lily</v>
      </c>
      <c r="B126" s="20" t="str">
        <f>'Grad Raw Data'!K64</f>
        <v/>
      </c>
      <c r="C126" s="20" t="str">
        <f>'Grad Raw Data'!H64</f>
        <v>Crosby</v>
      </c>
      <c r="D126" s="20"/>
      <c r="E126" s="20" t="str">
        <f>'Grad Raw Data'!D64</f>
        <v>RIGHT</v>
      </c>
      <c r="F126" s="20">
        <f>'Grad Raw Data'!E64</f>
        <v>3</v>
      </c>
    </row>
    <row r="127" spans="1:6" ht="24.95" customHeight="1" x14ac:dyDescent="0.25">
      <c r="A127" s="20"/>
      <c r="B127" s="20"/>
      <c r="C127" s="20"/>
      <c r="D127" s="20"/>
      <c r="E127" s="20"/>
      <c r="F127" s="20"/>
    </row>
    <row r="128" spans="1:6" ht="24.95" customHeight="1" x14ac:dyDescent="0.25">
      <c r="A128" s="20" t="str">
        <f>'Grad Raw Data'!I65</f>
        <v>Molly</v>
      </c>
      <c r="B128" s="20" t="str">
        <f>'Grad Raw Data'!K65</f>
        <v/>
      </c>
      <c r="C128" s="20" t="str">
        <f>'Grad Raw Data'!H65</f>
        <v>Crowley</v>
      </c>
      <c r="D128" s="20"/>
      <c r="E128" s="20" t="str">
        <f>'Grad Raw Data'!D65</f>
        <v>RIGHT</v>
      </c>
      <c r="F128" s="20">
        <f>'Grad Raw Data'!E65</f>
        <v>3</v>
      </c>
    </row>
    <row r="129" spans="1:6" ht="24.95" customHeight="1" x14ac:dyDescent="0.25">
      <c r="A129" s="20"/>
      <c r="B129" s="20"/>
      <c r="C129" s="20"/>
      <c r="D129" s="20"/>
      <c r="E129" s="20"/>
      <c r="F129" s="20"/>
    </row>
    <row r="130" spans="1:6" ht="24.95" customHeight="1" x14ac:dyDescent="0.25">
      <c r="A130" s="20" t="str">
        <f>'Grad Raw Data'!I66</f>
        <v>Shea</v>
      </c>
      <c r="B130" s="20" t="str">
        <f>'Grad Raw Data'!K66</f>
        <v/>
      </c>
      <c r="C130" s="20" t="str">
        <f>'Grad Raw Data'!H66</f>
        <v>Cullen</v>
      </c>
      <c r="D130" s="20"/>
      <c r="E130" s="20" t="str">
        <f>'Grad Raw Data'!D66</f>
        <v>RIGHT</v>
      </c>
      <c r="F130" s="20">
        <f>'Grad Raw Data'!E66</f>
        <v>3</v>
      </c>
    </row>
    <row r="131" spans="1:6" ht="24.95" customHeight="1" x14ac:dyDescent="0.25">
      <c r="A131" s="20"/>
      <c r="B131" s="20"/>
      <c r="C131" s="20"/>
      <c r="D131" s="20"/>
      <c r="E131" s="20"/>
      <c r="F131" s="20"/>
    </row>
    <row r="132" spans="1:6" ht="24.95" customHeight="1" x14ac:dyDescent="0.25">
      <c r="A132" s="20" t="str">
        <f>'Grad Raw Data'!I67</f>
        <v>Jacklyn</v>
      </c>
      <c r="B132" s="20" t="str">
        <f>'Grad Raw Data'!K67</f>
        <v/>
      </c>
      <c r="C132" s="20" t="str">
        <f>'Grad Raw Data'!H67</f>
        <v>Cusolito</v>
      </c>
      <c r="D132" s="20"/>
      <c r="E132" s="20" t="str">
        <f>'Grad Raw Data'!D67</f>
        <v>LEFT</v>
      </c>
      <c r="F132" s="20">
        <f>'Grad Raw Data'!E67</f>
        <v>3</v>
      </c>
    </row>
    <row r="133" spans="1:6" ht="24.95" customHeight="1" x14ac:dyDescent="0.25">
      <c r="A133" s="20"/>
      <c r="B133" s="20"/>
      <c r="C133" s="20"/>
      <c r="D133" s="20"/>
      <c r="E133" s="20"/>
      <c r="F133" s="20"/>
    </row>
    <row r="134" spans="1:6" ht="24.95" customHeight="1" x14ac:dyDescent="0.25">
      <c r="A134" s="20" t="str">
        <f>'Grad Raw Data'!I68</f>
        <v>Paige</v>
      </c>
      <c r="B134" s="20" t="str">
        <f>'Grad Raw Data'!K68</f>
        <v/>
      </c>
      <c r="C134" s="20" t="str">
        <f>'Grad Raw Data'!H68</f>
        <v>Cusolito</v>
      </c>
      <c r="D134" s="20"/>
      <c r="E134" s="20" t="str">
        <f>'Grad Raw Data'!D68</f>
        <v>LEFT</v>
      </c>
      <c r="F134" s="20">
        <f>'Grad Raw Data'!E68</f>
        <v>3</v>
      </c>
    </row>
    <row r="135" spans="1:6" ht="24.95" customHeight="1" x14ac:dyDescent="0.25">
      <c r="A135" s="20"/>
      <c r="B135" s="20"/>
      <c r="C135" s="20"/>
      <c r="D135" s="20"/>
      <c r="E135" s="20"/>
      <c r="F135" s="20"/>
    </row>
    <row r="136" spans="1:6" ht="24.95" customHeight="1" x14ac:dyDescent="0.25">
      <c r="A136" s="20" t="str">
        <f>'Grad Raw Data'!I69</f>
        <v>Walick</v>
      </c>
      <c r="B136" s="20">
        <f>'Grad Raw Data'!K69</f>
        <v>0</v>
      </c>
      <c r="C136" s="20" t="str">
        <f>'Grad Raw Data'!H69</f>
        <v>Da Silva</v>
      </c>
      <c r="D136" s="20"/>
      <c r="E136" s="20" t="str">
        <f>'Grad Raw Data'!D69</f>
        <v>LEFT</v>
      </c>
      <c r="F136" s="20">
        <f>'Grad Raw Data'!E69</f>
        <v>3</v>
      </c>
    </row>
    <row r="137" spans="1:6" ht="24.95" customHeight="1" x14ac:dyDescent="0.25">
      <c r="A137" s="20"/>
      <c r="B137" s="20"/>
      <c r="C137" s="20"/>
      <c r="D137" s="20"/>
      <c r="E137" s="20"/>
      <c r="F137" s="20"/>
    </row>
    <row r="138" spans="1:6" ht="24.95" customHeight="1" x14ac:dyDescent="0.25">
      <c r="A138" s="20" t="str">
        <f>'Grad Raw Data'!I70</f>
        <v>Cooper</v>
      </c>
      <c r="B138" s="20" t="str">
        <f>'Grad Raw Data'!K70</f>
        <v>Joseph</v>
      </c>
      <c r="C138" s="20" t="str">
        <f>'Grad Raw Data'!H70</f>
        <v>Dean</v>
      </c>
      <c r="D138" s="20"/>
      <c r="E138" s="20" t="str">
        <f>'Grad Raw Data'!D70</f>
        <v>LEFT</v>
      </c>
      <c r="F138" s="20">
        <f>'Grad Raw Data'!E70</f>
        <v>3</v>
      </c>
    </row>
    <row r="139" spans="1:6" ht="24.95" customHeight="1" x14ac:dyDescent="0.25">
      <c r="A139" s="20"/>
      <c r="B139" s="20"/>
      <c r="C139" s="20"/>
      <c r="D139" s="20"/>
      <c r="E139" s="20"/>
      <c r="F139" s="20"/>
    </row>
    <row r="140" spans="1:6" ht="24.95" customHeight="1" x14ac:dyDescent="0.25">
      <c r="A140" s="20" t="str">
        <f>'Grad Raw Data'!I71</f>
        <v>Happiness</v>
      </c>
      <c r="B140" s="20" t="str">
        <f>'Grad Raw Data'!K71</f>
        <v>Osarugue</v>
      </c>
      <c r="C140" s="20" t="str">
        <f>'Grad Raw Data'!H71</f>
        <v>Deji</v>
      </c>
      <c r="D140" s="20"/>
      <c r="E140" s="20" t="str">
        <f>'Grad Raw Data'!D71</f>
        <v>LEFT</v>
      </c>
      <c r="F140" s="20">
        <f>'Grad Raw Data'!E71</f>
        <v>3</v>
      </c>
    </row>
    <row r="141" spans="1:6" ht="24.95" customHeight="1" x14ac:dyDescent="0.25">
      <c r="A141" s="20"/>
      <c r="B141" s="20"/>
      <c r="C141" s="20"/>
      <c r="D141" s="20"/>
      <c r="E141" s="20"/>
      <c r="F141" s="20"/>
    </row>
    <row r="142" spans="1:6" ht="24.95" customHeight="1" x14ac:dyDescent="0.25">
      <c r="A142" s="20" t="str">
        <f>'Grad Raw Data'!I72</f>
        <v>Jack</v>
      </c>
      <c r="B142" s="20" t="str">
        <f>'Grad Raw Data'!K72</f>
        <v/>
      </c>
      <c r="C142" s="20" t="str">
        <f>'Grad Raw Data'!H72</f>
        <v>Denmark</v>
      </c>
      <c r="D142" s="20"/>
      <c r="E142" s="20" t="str">
        <f>'Grad Raw Data'!D72</f>
        <v>LEFT</v>
      </c>
      <c r="F142" s="20">
        <f>'Grad Raw Data'!E72</f>
        <v>3</v>
      </c>
    </row>
    <row r="143" spans="1:6" ht="24.95" customHeight="1" x14ac:dyDescent="0.25">
      <c r="A143" s="20"/>
      <c r="B143" s="20"/>
      <c r="C143" s="20"/>
      <c r="D143" s="20"/>
      <c r="E143" s="20"/>
      <c r="F143" s="20"/>
    </row>
    <row r="144" spans="1:6" ht="24.95" customHeight="1" x14ac:dyDescent="0.25">
      <c r="A144" s="20" t="str">
        <f>'Grad Raw Data'!I73</f>
        <v>Julie</v>
      </c>
      <c r="B144" s="20" t="str">
        <f>'Grad Raw Data'!K73</f>
        <v/>
      </c>
      <c r="C144" s="20" t="str">
        <f>'Grad Raw Data'!H73</f>
        <v>DiDonato</v>
      </c>
      <c r="D144" s="20"/>
      <c r="E144" s="20" t="str">
        <f>'Grad Raw Data'!D73</f>
        <v>LEFT</v>
      </c>
      <c r="F144" s="20">
        <f>'Grad Raw Data'!E73</f>
        <v>3</v>
      </c>
    </row>
    <row r="145" spans="1:6" ht="24.95" customHeight="1" x14ac:dyDescent="0.25">
      <c r="A145" s="20"/>
      <c r="B145" s="20"/>
      <c r="C145" s="20"/>
      <c r="D145" s="20"/>
      <c r="E145" s="20"/>
      <c r="F145" s="20"/>
    </row>
    <row r="146" spans="1:6" ht="24.95" customHeight="1" x14ac:dyDescent="0.25">
      <c r="A146" s="20" t="str">
        <f>'Grad Raw Data'!I74</f>
        <v>Antonio</v>
      </c>
      <c r="B146" s="20" t="str">
        <f>'Grad Raw Data'!K74</f>
        <v>Joseph</v>
      </c>
      <c r="C146" s="20" t="str">
        <f>'Grad Raw Data'!H74</f>
        <v>DiSerio</v>
      </c>
      <c r="D146" s="20"/>
      <c r="E146" s="20" t="str">
        <f>'Grad Raw Data'!D74</f>
        <v>LEFT</v>
      </c>
      <c r="F146" s="20">
        <f>'Grad Raw Data'!E74</f>
        <v>3</v>
      </c>
    </row>
    <row r="147" spans="1:6" ht="24.95" customHeight="1" x14ac:dyDescent="0.25">
      <c r="A147" s="20"/>
      <c r="B147" s="20"/>
      <c r="C147" s="20"/>
      <c r="D147" s="20"/>
      <c r="E147" s="20"/>
      <c r="F147" s="20"/>
    </row>
    <row r="148" spans="1:6" ht="24.95" customHeight="1" x14ac:dyDescent="0.25">
      <c r="A148" s="20" t="str">
        <f>'Grad Raw Data'!I75</f>
        <v>Dante</v>
      </c>
      <c r="B148" s="20" t="str">
        <f>'Grad Raw Data'!K75</f>
        <v/>
      </c>
      <c r="C148" s="20" t="str">
        <f>'Grad Raw Data'!H75</f>
        <v>DiSerio</v>
      </c>
      <c r="D148" s="20"/>
      <c r="E148" s="20" t="str">
        <f>'Grad Raw Data'!D75</f>
        <v>LEFT</v>
      </c>
      <c r="F148" s="20">
        <f>'Grad Raw Data'!E75</f>
        <v>3</v>
      </c>
    </row>
    <row r="149" spans="1:6" ht="24.95" customHeight="1" x14ac:dyDescent="0.25">
      <c r="A149" s="20"/>
      <c r="B149" s="20"/>
      <c r="C149" s="20"/>
      <c r="D149" s="20"/>
      <c r="E149" s="20"/>
      <c r="F149" s="20"/>
    </row>
    <row r="150" spans="1:6" ht="24.95" customHeight="1" x14ac:dyDescent="0.25">
      <c r="A150" s="20" t="str">
        <f>'Grad Raw Data'!I76</f>
        <v>Caitlin</v>
      </c>
      <c r="B150" s="20" t="str">
        <f>'Grad Raw Data'!K76</f>
        <v>Anne</v>
      </c>
      <c r="C150" s="20" t="str">
        <f>'Grad Raw Data'!H76</f>
        <v>Donaghey</v>
      </c>
      <c r="D150" s="20"/>
      <c r="E150" s="20" t="str">
        <f>'Grad Raw Data'!D76</f>
        <v>LEFT</v>
      </c>
      <c r="F150" s="20">
        <f>'Grad Raw Data'!E76</f>
        <v>3</v>
      </c>
    </row>
    <row r="151" spans="1:6" ht="24.95" customHeight="1" x14ac:dyDescent="0.25">
      <c r="A151" s="20"/>
      <c r="B151" s="20"/>
      <c r="C151" s="20"/>
      <c r="D151" s="20"/>
      <c r="E151" s="20"/>
      <c r="F151" s="20"/>
    </row>
    <row r="152" spans="1:6" ht="24.95" customHeight="1" x14ac:dyDescent="0.25">
      <c r="A152" s="20" t="str">
        <f>'Grad Raw Data'!I77</f>
        <v>Quinn</v>
      </c>
      <c r="B152" s="20" t="str">
        <f>'Grad Raw Data'!K77</f>
        <v>Kendall</v>
      </c>
      <c r="C152" s="20" t="str">
        <f>'Grad Raw Data'!H77</f>
        <v>Donahue</v>
      </c>
      <c r="D152" s="20"/>
      <c r="E152" s="20" t="str">
        <f>'Grad Raw Data'!D77</f>
        <v>LEFT</v>
      </c>
      <c r="F152" s="20">
        <f>'Grad Raw Data'!E77</f>
        <v>3</v>
      </c>
    </row>
    <row r="153" spans="1:6" ht="24.95" customHeight="1" x14ac:dyDescent="0.25">
      <c r="A153" s="20"/>
      <c r="B153" s="20"/>
      <c r="C153" s="20"/>
      <c r="D153" s="20"/>
      <c r="E153" s="20"/>
      <c r="F153" s="20"/>
    </row>
    <row r="154" spans="1:6" ht="24.95" customHeight="1" x14ac:dyDescent="0.25">
      <c r="A154" s="20" t="str">
        <f>'Grad Raw Data'!I78</f>
        <v>Alana</v>
      </c>
      <c r="B154" s="20" t="str">
        <f>'Grad Raw Data'!K78</f>
        <v>Mei-Lin Yamaki</v>
      </c>
      <c r="C154" s="20" t="str">
        <f>'Grad Raw Data'!H78</f>
        <v>Doroquez</v>
      </c>
      <c r="D154" s="20"/>
      <c r="E154" s="20" t="str">
        <f>'Grad Raw Data'!D78</f>
        <v>LEFT</v>
      </c>
      <c r="F154" s="20">
        <f>'Grad Raw Data'!E78</f>
        <v>3</v>
      </c>
    </row>
    <row r="155" spans="1:6" ht="24.95" customHeight="1" x14ac:dyDescent="0.25">
      <c r="A155" s="20"/>
      <c r="B155" s="20"/>
      <c r="C155" s="20"/>
      <c r="D155" s="20"/>
      <c r="E155" s="20"/>
      <c r="F155" s="20"/>
    </row>
    <row r="156" spans="1:6" ht="24.95" customHeight="1" x14ac:dyDescent="0.25">
      <c r="A156" s="20" t="str">
        <f>'Grad Raw Data'!I79</f>
        <v>Cassidy</v>
      </c>
      <c r="B156" s="20" t="str">
        <f>'Grad Raw Data'!K79</f>
        <v/>
      </c>
      <c r="C156" s="20" t="str">
        <f>'Grad Raw Data'!H79</f>
        <v>Duca</v>
      </c>
      <c r="D156" s="20"/>
      <c r="E156" s="20" t="str">
        <f>'Grad Raw Data'!D79</f>
        <v>RIGHT</v>
      </c>
      <c r="F156" s="20">
        <f>'Grad Raw Data'!E79</f>
        <v>4</v>
      </c>
    </row>
    <row r="157" spans="1:6" ht="24.95" customHeight="1" x14ac:dyDescent="0.25">
      <c r="A157" s="20"/>
      <c r="B157" s="20"/>
      <c r="C157" s="20"/>
      <c r="D157" s="20"/>
      <c r="E157" s="20"/>
      <c r="F157" s="20"/>
    </row>
    <row r="158" spans="1:6" ht="24.95" customHeight="1" x14ac:dyDescent="0.25">
      <c r="A158" s="20" t="str">
        <f>'Grad Raw Data'!I80</f>
        <v>Kyle</v>
      </c>
      <c r="B158" s="20" t="str">
        <f>'Grad Raw Data'!K80</f>
        <v/>
      </c>
      <c r="C158" s="20" t="str">
        <f>'Grad Raw Data'!H80</f>
        <v>DuRoss</v>
      </c>
      <c r="D158" s="20"/>
      <c r="E158" s="20" t="str">
        <f>'Grad Raw Data'!D80</f>
        <v>RIGHT</v>
      </c>
      <c r="F158" s="20">
        <f>'Grad Raw Data'!E80</f>
        <v>4</v>
      </c>
    </row>
    <row r="159" spans="1:6" ht="24.95" customHeight="1" x14ac:dyDescent="0.25">
      <c r="A159" s="20"/>
      <c r="B159" s="20"/>
      <c r="C159" s="20"/>
      <c r="D159" s="20"/>
      <c r="E159" s="20"/>
      <c r="F159" s="20"/>
    </row>
    <row r="160" spans="1:6" ht="24.95" customHeight="1" x14ac:dyDescent="0.25">
      <c r="A160" s="20" t="str">
        <f>'Grad Raw Data'!I81</f>
        <v>Sean</v>
      </c>
      <c r="B160" s="20" t="str">
        <f>'Grad Raw Data'!K81</f>
        <v/>
      </c>
      <c r="C160" s="20" t="str">
        <f>'Grad Raw Data'!H81</f>
        <v>DuRoss</v>
      </c>
      <c r="D160" s="20"/>
      <c r="E160" s="20" t="str">
        <f>'Grad Raw Data'!D81</f>
        <v>RIGHT</v>
      </c>
      <c r="F160" s="20">
        <f>'Grad Raw Data'!E81</f>
        <v>4</v>
      </c>
    </row>
    <row r="161" spans="1:6" ht="24.95" customHeight="1" x14ac:dyDescent="0.25">
      <c r="A161" s="20"/>
      <c r="B161" s="20"/>
      <c r="C161" s="20"/>
      <c r="D161" s="20"/>
      <c r="E161" s="20"/>
      <c r="F161" s="20"/>
    </row>
    <row r="162" spans="1:6" ht="24.95" customHeight="1" x14ac:dyDescent="0.25">
      <c r="A162" s="20" t="str">
        <f>'Grad Raw Data'!I82</f>
        <v>William</v>
      </c>
      <c r="B162" s="20" t="str">
        <f>'Grad Raw Data'!K82</f>
        <v/>
      </c>
      <c r="C162" s="20" t="str">
        <f>'Grad Raw Data'!H82</f>
        <v>Dyment</v>
      </c>
      <c r="D162" s="20"/>
      <c r="E162" s="20" t="str">
        <f>'Grad Raw Data'!D82</f>
        <v>RIGHT</v>
      </c>
      <c r="F162" s="20">
        <f>'Grad Raw Data'!E82</f>
        <v>4</v>
      </c>
    </row>
    <row r="163" spans="1:6" ht="24.95" customHeight="1" x14ac:dyDescent="0.25">
      <c r="A163" s="20"/>
      <c r="B163" s="20"/>
      <c r="C163" s="20"/>
      <c r="D163" s="20"/>
      <c r="E163" s="20"/>
      <c r="F163" s="20"/>
    </row>
    <row r="164" spans="1:6" ht="24.95" customHeight="1" x14ac:dyDescent="0.25">
      <c r="A164" s="20" t="str">
        <f>'Grad Raw Data'!I83</f>
        <v>Finn</v>
      </c>
      <c r="B164" s="20" t="str">
        <f>'Grad Raw Data'!K83</f>
        <v/>
      </c>
      <c r="C164" s="20" t="str">
        <f>'Grad Raw Data'!H83</f>
        <v>Ellis</v>
      </c>
      <c r="D164" s="20"/>
      <c r="E164" s="20" t="str">
        <f>'Grad Raw Data'!D83</f>
        <v>RIGHT</v>
      </c>
      <c r="F164" s="20">
        <f>'Grad Raw Data'!E83</f>
        <v>4</v>
      </c>
    </row>
    <row r="165" spans="1:6" ht="24.95" customHeight="1" x14ac:dyDescent="0.25">
      <c r="A165" s="20"/>
      <c r="B165" s="20"/>
      <c r="C165" s="20"/>
      <c r="D165" s="20"/>
      <c r="E165" s="20"/>
      <c r="F165" s="20"/>
    </row>
    <row r="166" spans="1:6" ht="24.95" customHeight="1" x14ac:dyDescent="0.25">
      <c r="A166" s="20" t="str">
        <f>'Grad Raw Data'!I84</f>
        <v>Levi</v>
      </c>
      <c r="B166" s="20" t="str">
        <f>'Grad Raw Data'!K84</f>
        <v/>
      </c>
      <c r="C166" s="20" t="str">
        <f>'Grad Raw Data'!H84</f>
        <v>Emmanuel</v>
      </c>
      <c r="D166" s="20"/>
      <c r="E166" s="20" t="str">
        <f>'Grad Raw Data'!D84</f>
        <v>RIGHT</v>
      </c>
      <c r="F166" s="20">
        <f>'Grad Raw Data'!E84</f>
        <v>4</v>
      </c>
    </row>
    <row r="167" spans="1:6" ht="24.95" customHeight="1" x14ac:dyDescent="0.25">
      <c r="A167" s="20"/>
      <c r="B167" s="20"/>
      <c r="C167" s="20"/>
      <c r="D167" s="20"/>
      <c r="E167" s="20"/>
      <c r="F167" s="20"/>
    </row>
    <row r="168" spans="1:6" ht="24.95" customHeight="1" x14ac:dyDescent="0.25">
      <c r="A168" s="20" t="str">
        <f>'Grad Raw Data'!I85</f>
        <v>Kamryn</v>
      </c>
      <c r="B168" s="20" t="str">
        <f>'Grad Raw Data'!K85</f>
        <v/>
      </c>
      <c r="C168" s="20" t="str">
        <f>'Grad Raw Data'!H85</f>
        <v>Encarnacao</v>
      </c>
      <c r="D168" s="20"/>
      <c r="E168" s="20" t="str">
        <f>'Grad Raw Data'!D85</f>
        <v>RIGHT</v>
      </c>
      <c r="F168" s="20">
        <f>'Grad Raw Data'!E85</f>
        <v>4</v>
      </c>
    </row>
    <row r="169" spans="1:6" ht="24.95" customHeight="1" x14ac:dyDescent="0.25">
      <c r="A169" s="20"/>
      <c r="B169" s="20"/>
      <c r="C169" s="20"/>
      <c r="D169" s="20"/>
      <c r="E169" s="20"/>
      <c r="F169" s="20"/>
    </row>
    <row r="170" spans="1:6" ht="24.95" customHeight="1" x14ac:dyDescent="0.25">
      <c r="A170" s="20" t="str">
        <f>'Grad Raw Data'!I86</f>
        <v>Samuel</v>
      </c>
      <c r="B170" s="20" t="str">
        <f>'Grad Raw Data'!K86</f>
        <v/>
      </c>
      <c r="C170" s="20" t="str">
        <f>'Grad Raw Data'!H86</f>
        <v>Ewald</v>
      </c>
      <c r="D170" s="20"/>
      <c r="E170" s="20" t="str">
        <f>'Grad Raw Data'!D86</f>
        <v>RIGHT</v>
      </c>
      <c r="F170" s="20">
        <f>'Grad Raw Data'!E86</f>
        <v>4</v>
      </c>
    </row>
    <row r="171" spans="1:6" ht="24.95" customHeight="1" x14ac:dyDescent="0.25">
      <c r="A171" s="20"/>
      <c r="B171" s="20"/>
      <c r="C171" s="20"/>
      <c r="D171" s="20"/>
      <c r="E171" s="20"/>
      <c r="F171" s="20"/>
    </row>
    <row r="172" spans="1:6" ht="24.95" customHeight="1" x14ac:dyDescent="0.25">
      <c r="A172" s="20" t="str">
        <f>'Grad Raw Data'!I87</f>
        <v>Kaylie</v>
      </c>
      <c r="B172" s="20" t="str">
        <f>'Grad Raw Data'!K87</f>
        <v/>
      </c>
      <c r="C172" s="20" t="str">
        <f>'Grad Raw Data'!H87</f>
        <v>Fantasia</v>
      </c>
      <c r="D172" s="20"/>
      <c r="E172" s="20" t="str">
        <f>'Grad Raw Data'!D87</f>
        <v>RIGHT</v>
      </c>
      <c r="F172" s="20">
        <f>'Grad Raw Data'!E87</f>
        <v>4</v>
      </c>
    </row>
    <row r="173" spans="1:6" ht="24.95" customHeight="1" x14ac:dyDescent="0.25">
      <c r="A173" s="20"/>
      <c r="B173" s="20"/>
      <c r="C173" s="20"/>
      <c r="D173" s="20"/>
      <c r="E173" s="20"/>
      <c r="F173" s="20"/>
    </row>
    <row r="174" spans="1:6" ht="24.95" customHeight="1" x14ac:dyDescent="0.25">
      <c r="A174" s="20" t="str">
        <f>'Grad Raw Data'!I88</f>
        <v>Vince</v>
      </c>
      <c r="B174" s="20" t="str">
        <f>'Grad Raw Data'!K88</f>
        <v/>
      </c>
      <c r="C174" s="20" t="str">
        <f>'Grad Raw Data'!H88</f>
        <v>Farnham</v>
      </c>
      <c r="D174" s="20"/>
      <c r="E174" s="20" t="str">
        <f>'Grad Raw Data'!D88</f>
        <v>RIGHT</v>
      </c>
      <c r="F174" s="20">
        <f>'Grad Raw Data'!E88</f>
        <v>4</v>
      </c>
    </row>
    <row r="175" spans="1:6" ht="24.95" customHeight="1" x14ac:dyDescent="0.25">
      <c r="A175" s="20"/>
      <c r="B175" s="20"/>
      <c r="C175" s="20"/>
      <c r="D175" s="20"/>
      <c r="E175" s="20"/>
      <c r="F175" s="20"/>
    </row>
    <row r="176" spans="1:6" ht="24.95" customHeight="1" x14ac:dyDescent="0.25">
      <c r="A176" s="20" t="str">
        <f>'Grad Raw Data'!I89</f>
        <v>Colby</v>
      </c>
      <c r="B176" s="20" t="str">
        <f>'Grad Raw Data'!K89</f>
        <v/>
      </c>
      <c r="C176" s="20" t="str">
        <f>'Grad Raw Data'!H89</f>
        <v>Farris</v>
      </c>
      <c r="D176" s="20"/>
      <c r="E176" s="20" t="str">
        <f>'Grad Raw Data'!D89</f>
        <v>RIGHT</v>
      </c>
      <c r="F176" s="20">
        <f>'Grad Raw Data'!E89</f>
        <v>4</v>
      </c>
    </row>
    <row r="177" spans="1:6" ht="24.95" customHeight="1" x14ac:dyDescent="0.25">
      <c r="A177" s="20"/>
      <c r="B177" s="20"/>
      <c r="C177" s="20"/>
      <c r="D177" s="20"/>
      <c r="E177" s="20"/>
      <c r="F177" s="20"/>
    </row>
    <row r="178" spans="1:6" ht="24.95" customHeight="1" x14ac:dyDescent="0.25">
      <c r="A178" s="20" t="str">
        <f>'Grad Raw Data'!I90</f>
        <v>Bryan</v>
      </c>
      <c r="B178" s="20" t="str">
        <f>'Grad Raw Data'!K90</f>
        <v/>
      </c>
      <c r="C178" s="20" t="str">
        <f>'Grad Raw Data'!H90</f>
        <v>Fernandez</v>
      </c>
      <c r="D178" s="20"/>
      <c r="E178" s="20" t="str">
        <f>'Grad Raw Data'!D90</f>
        <v>RIGHT</v>
      </c>
      <c r="F178" s="20">
        <f>'Grad Raw Data'!E90</f>
        <v>4</v>
      </c>
    </row>
    <row r="179" spans="1:6" ht="24.95" customHeight="1" x14ac:dyDescent="0.25">
      <c r="A179" s="20"/>
      <c r="B179" s="20"/>
      <c r="C179" s="20"/>
      <c r="D179" s="20"/>
      <c r="E179" s="20"/>
      <c r="F179" s="20"/>
    </row>
    <row r="180" spans="1:6" ht="24.95" customHeight="1" x14ac:dyDescent="0.25">
      <c r="A180" s="20" t="str">
        <f>'Grad Raw Data'!I91</f>
        <v>Thomas</v>
      </c>
      <c r="B180" s="20" t="str">
        <f>'Grad Raw Data'!K91</f>
        <v/>
      </c>
      <c r="C180" s="20" t="str">
        <f>'Grad Raw Data'!H91</f>
        <v>Fiore</v>
      </c>
      <c r="D180" s="20"/>
      <c r="E180" s="20" t="str">
        <f>'Grad Raw Data'!D91</f>
        <v>LEFT</v>
      </c>
      <c r="F180" s="20">
        <f>'Grad Raw Data'!E91</f>
        <v>4</v>
      </c>
    </row>
    <row r="181" spans="1:6" ht="24.95" customHeight="1" x14ac:dyDescent="0.25">
      <c r="A181" s="20"/>
      <c r="B181" s="20"/>
      <c r="C181" s="20"/>
      <c r="D181" s="20"/>
      <c r="E181" s="20"/>
      <c r="F181" s="20"/>
    </row>
    <row r="182" spans="1:6" ht="24.95" customHeight="1" x14ac:dyDescent="0.25">
      <c r="A182" s="20" t="str">
        <f>'Grad Raw Data'!I92</f>
        <v>Finn</v>
      </c>
      <c r="B182" s="20" t="str">
        <f>'Grad Raw Data'!K92</f>
        <v>Patrick</v>
      </c>
      <c r="C182" s="20" t="str">
        <f>'Grad Raw Data'!H92</f>
        <v>Flaherty</v>
      </c>
      <c r="D182" s="20"/>
      <c r="E182" s="20" t="str">
        <f>'Grad Raw Data'!D92</f>
        <v>LEFT</v>
      </c>
      <c r="F182" s="20">
        <f>'Grad Raw Data'!E92</f>
        <v>4</v>
      </c>
    </row>
    <row r="183" spans="1:6" ht="24.95" customHeight="1" x14ac:dyDescent="0.25">
      <c r="A183" s="20"/>
      <c r="B183" s="20"/>
      <c r="C183" s="20"/>
      <c r="D183" s="20"/>
      <c r="E183" s="20"/>
      <c r="F183" s="20"/>
    </row>
    <row r="184" spans="1:6" ht="24.95" customHeight="1" x14ac:dyDescent="0.25">
      <c r="A184" s="20" t="str">
        <f>'Grad Raw Data'!I93</f>
        <v>Matthew</v>
      </c>
      <c r="B184" s="20" t="str">
        <f>'Grad Raw Data'!K93</f>
        <v/>
      </c>
      <c r="C184" s="20" t="str">
        <f>'Grad Raw Data'!H93</f>
        <v>Forse</v>
      </c>
      <c r="D184" s="20"/>
      <c r="E184" s="20" t="str">
        <f>'Grad Raw Data'!D93</f>
        <v>LEFT</v>
      </c>
      <c r="F184" s="20">
        <f>'Grad Raw Data'!E93</f>
        <v>4</v>
      </c>
    </row>
    <row r="185" spans="1:6" ht="24.95" customHeight="1" x14ac:dyDescent="0.25">
      <c r="A185" s="20"/>
      <c r="B185" s="20"/>
      <c r="C185" s="20"/>
      <c r="D185" s="20"/>
      <c r="E185" s="20"/>
      <c r="F185" s="20"/>
    </row>
    <row r="186" spans="1:6" ht="24.95" customHeight="1" x14ac:dyDescent="0.25">
      <c r="A186" s="20" t="str">
        <f>'Grad Raw Data'!I94</f>
        <v>Jacob</v>
      </c>
      <c r="B186" s="20" t="str">
        <f>'Grad Raw Data'!K94</f>
        <v/>
      </c>
      <c r="C186" s="20" t="str">
        <f>'Grad Raw Data'!H94</f>
        <v>Frank</v>
      </c>
      <c r="D186" s="20"/>
      <c r="E186" s="20" t="str">
        <f>'Grad Raw Data'!D94</f>
        <v>LEFT</v>
      </c>
      <c r="F186" s="20">
        <f>'Grad Raw Data'!E94</f>
        <v>4</v>
      </c>
    </row>
    <row r="187" spans="1:6" ht="24.95" customHeight="1" x14ac:dyDescent="0.25">
      <c r="A187" s="20"/>
      <c r="B187" s="20"/>
      <c r="C187" s="20"/>
      <c r="D187" s="20"/>
      <c r="E187" s="20"/>
      <c r="F187" s="20"/>
    </row>
    <row r="188" spans="1:6" ht="24.95" customHeight="1" x14ac:dyDescent="0.25">
      <c r="A188" s="20" t="str">
        <f>'Grad Raw Data'!I95</f>
        <v>Anthony</v>
      </c>
      <c r="B188" s="20" t="str">
        <f>'Grad Raw Data'!K95</f>
        <v/>
      </c>
      <c r="C188" s="20" t="str">
        <f>'Grad Raw Data'!H95</f>
        <v>Fratto</v>
      </c>
      <c r="D188" s="20"/>
      <c r="E188" s="20" t="str">
        <f>'Grad Raw Data'!D95</f>
        <v>LEFT</v>
      </c>
      <c r="F188" s="20">
        <f>'Grad Raw Data'!E95</f>
        <v>4</v>
      </c>
    </row>
    <row r="189" spans="1:6" ht="24.95" customHeight="1" x14ac:dyDescent="0.25">
      <c r="A189" s="20"/>
      <c r="B189" s="20"/>
      <c r="C189" s="20"/>
      <c r="D189" s="20"/>
      <c r="E189" s="20"/>
      <c r="F189" s="20"/>
    </row>
    <row r="190" spans="1:6" ht="24.95" customHeight="1" x14ac:dyDescent="0.25">
      <c r="A190" s="20" t="str">
        <f>'Grad Raw Data'!I96</f>
        <v>Gavin</v>
      </c>
      <c r="B190" s="20" t="str">
        <f>'Grad Raw Data'!K96</f>
        <v/>
      </c>
      <c r="C190" s="20" t="str">
        <f>'Grad Raw Data'!H96</f>
        <v>Fucarile</v>
      </c>
      <c r="D190" s="20"/>
      <c r="E190" s="20" t="str">
        <f>'Grad Raw Data'!D96</f>
        <v>LEFT</v>
      </c>
      <c r="F190" s="20">
        <f>'Grad Raw Data'!E96</f>
        <v>4</v>
      </c>
    </row>
    <row r="191" spans="1:6" ht="24.95" customHeight="1" x14ac:dyDescent="0.25">
      <c r="A191" s="20"/>
      <c r="B191" s="20"/>
      <c r="C191" s="20"/>
      <c r="D191" s="20"/>
      <c r="E191" s="20"/>
      <c r="F191" s="20"/>
    </row>
    <row r="192" spans="1:6" ht="24.95" customHeight="1" x14ac:dyDescent="0.25">
      <c r="A192" s="20" t="str">
        <f>'Grad Raw Data'!I97</f>
        <v>Cole</v>
      </c>
      <c r="B192" s="20" t="str">
        <f>'Grad Raw Data'!K97</f>
        <v/>
      </c>
      <c r="C192" s="20" t="str">
        <f>'Grad Raw Data'!H97</f>
        <v>Fusco</v>
      </c>
      <c r="D192" s="20"/>
      <c r="E192" s="20" t="str">
        <f>'Grad Raw Data'!D97</f>
        <v>LEFT</v>
      </c>
      <c r="F192" s="20">
        <f>'Grad Raw Data'!E97</f>
        <v>4</v>
      </c>
    </row>
    <row r="193" spans="1:6" ht="24.95" customHeight="1" x14ac:dyDescent="0.25">
      <c r="A193" s="20"/>
      <c r="B193" s="20"/>
      <c r="C193" s="20"/>
      <c r="D193" s="20"/>
      <c r="E193" s="20"/>
      <c r="F193" s="20"/>
    </row>
    <row r="194" spans="1:6" ht="24.95" customHeight="1" x14ac:dyDescent="0.25">
      <c r="A194" s="20" t="str">
        <f>'Grad Raw Data'!I98</f>
        <v>Paul</v>
      </c>
      <c r="B194" s="20" t="str">
        <f>'Grad Raw Data'!K98</f>
        <v>Richard</v>
      </c>
      <c r="C194" s="20" t="str">
        <f>'Grad Raw Data'!H98</f>
        <v>Gaeta</v>
      </c>
      <c r="D194" s="20"/>
      <c r="E194" s="20" t="str">
        <f>'Grad Raw Data'!D98</f>
        <v>LEFT</v>
      </c>
      <c r="F194" s="20">
        <f>'Grad Raw Data'!E98</f>
        <v>4</v>
      </c>
    </row>
    <row r="195" spans="1:6" ht="24.95" customHeight="1" x14ac:dyDescent="0.25">
      <c r="A195" s="20"/>
      <c r="B195" s="20"/>
      <c r="C195" s="20"/>
      <c r="D195" s="20"/>
      <c r="E195" s="20"/>
      <c r="F195" s="20"/>
    </row>
    <row r="196" spans="1:6" ht="24.95" customHeight="1" x14ac:dyDescent="0.25">
      <c r="A196" s="20" t="str">
        <f>'Grad Raw Data'!I99</f>
        <v>Lucas</v>
      </c>
      <c r="B196" s="20" t="str">
        <f>'Grad Raw Data'!K99</f>
        <v/>
      </c>
      <c r="C196" s="20" t="str">
        <f>'Grad Raw Data'!H99</f>
        <v>Gager</v>
      </c>
      <c r="D196" s="20"/>
      <c r="E196" s="20" t="str">
        <f>'Grad Raw Data'!D99</f>
        <v>LEFT</v>
      </c>
      <c r="F196" s="20">
        <f>'Grad Raw Data'!E99</f>
        <v>4</v>
      </c>
    </row>
    <row r="197" spans="1:6" ht="24.95" customHeight="1" x14ac:dyDescent="0.25">
      <c r="A197" s="20"/>
      <c r="B197" s="20"/>
      <c r="C197" s="20"/>
      <c r="D197" s="20"/>
      <c r="E197" s="20"/>
      <c r="F197" s="20"/>
    </row>
    <row r="198" spans="1:6" ht="24.95" customHeight="1" x14ac:dyDescent="0.25">
      <c r="A198" s="20" t="str">
        <f>'Grad Raw Data'!I100</f>
        <v>Nevaeh</v>
      </c>
      <c r="B198" s="20" t="str">
        <f>'Grad Raw Data'!K100</f>
        <v/>
      </c>
      <c r="C198" s="20" t="str">
        <f>'Grad Raw Data'!H100</f>
        <v>Galindo</v>
      </c>
      <c r="D198" s="20"/>
      <c r="E198" s="20" t="str">
        <f>'Grad Raw Data'!D100</f>
        <v>LEFT</v>
      </c>
      <c r="F198" s="20">
        <f>'Grad Raw Data'!E100</f>
        <v>4</v>
      </c>
    </row>
    <row r="199" spans="1:6" ht="24.95" customHeight="1" x14ac:dyDescent="0.25">
      <c r="A199" s="20"/>
      <c r="B199" s="20"/>
      <c r="C199" s="20"/>
      <c r="D199" s="20"/>
      <c r="E199" s="20"/>
      <c r="F199" s="20"/>
    </row>
    <row r="200" spans="1:6" ht="24.95" customHeight="1" x14ac:dyDescent="0.25">
      <c r="A200" s="20" t="str">
        <f>'Grad Raw Data'!I101</f>
        <v>Joseph</v>
      </c>
      <c r="B200" s="20" t="str">
        <f>'Grad Raw Data'!K101</f>
        <v/>
      </c>
      <c r="C200" s="20" t="str">
        <f>'Grad Raw Data'!H101</f>
        <v>Gallagher</v>
      </c>
      <c r="D200" s="20"/>
      <c r="E200" s="20" t="str">
        <f>'Grad Raw Data'!D101</f>
        <v>LEFT</v>
      </c>
      <c r="F200" s="20">
        <f>'Grad Raw Data'!E101</f>
        <v>4</v>
      </c>
    </row>
    <row r="201" spans="1:6" ht="24.95" customHeight="1" x14ac:dyDescent="0.25">
      <c r="A201" s="20"/>
      <c r="B201" s="20"/>
      <c r="C201" s="20"/>
      <c r="D201" s="20"/>
      <c r="E201" s="20"/>
      <c r="F201" s="20"/>
    </row>
    <row r="202" spans="1:6" ht="24.95" customHeight="1" x14ac:dyDescent="0.25">
      <c r="A202" s="20" t="str">
        <f>'Grad Raw Data'!I102</f>
        <v>Brendan</v>
      </c>
      <c r="B202" s="20" t="str">
        <f>'Grad Raw Data'!K102</f>
        <v/>
      </c>
      <c r="C202" s="20" t="str">
        <f>'Grad Raw Data'!H102</f>
        <v>Gauvin</v>
      </c>
      <c r="D202" s="20"/>
      <c r="E202" s="20" t="str">
        <f>'Grad Raw Data'!D102</f>
        <v>LEFT</v>
      </c>
      <c r="F202" s="20">
        <f>'Grad Raw Data'!E102</f>
        <v>4</v>
      </c>
    </row>
    <row r="203" spans="1:6" ht="24.95" customHeight="1" x14ac:dyDescent="0.25">
      <c r="A203" s="20"/>
      <c r="B203" s="20"/>
      <c r="C203" s="20"/>
      <c r="D203" s="20"/>
      <c r="E203" s="20"/>
      <c r="F203" s="20"/>
    </row>
    <row r="204" spans="1:6" ht="24.95" customHeight="1" x14ac:dyDescent="0.25">
      <c r="A204" s="20" t="str">
        <f>'Grad Raw Data'!I103</f>
        <v>Bereket</v>
      </c>
      <c r="B204" s="20" t="str">
        <f>'Grad Raw Data'!K103</f>
        <v/>
      </c>
      <c r="C204" s="20" t="str">
        <f>'Grad Raw Data'!H103</f>
        <v>Gebeyaw</v>
      </c>
      <c r="D204" s="20"/>
      <c r="E204" s="20" t="str">
        <f>'Grad Raw Data'!D103</f>
        <v>RIGHT</v>
      </c>
      <c r="F204" s="20">
        <f>'Grad Raw Data'!E103</f>
        <v>5</v>
      </c>
    </row>
    <row r="205" spans="1:6" ht="24.95" customHeight="1" x14ac:dyDescent="0.25">
      <c r="A205" s="20"/>
      <c r="B205" s="20"/>
      <c r="C205" s="20"/>
      <c r="D205" s="20"/>
      <c r="E205" s="20"/>
      <c r="F205" s="20"/>
    </row>
    <row r="206" spans="1:6" ht="24.95" customHeight="1" x14ac:dyDescent="0.25">
      <c r="A206" s="20" t="str">
        <f>'Grad Raw Data'!I104</f>
        <v>Alix</v>
      </c>
      <c r="B206" s="20" t="str">
        <f>'Grad Raw Data'!K104</f>
        <v/>
      </c>
      <c r="C206" s="20" t="str">
        <f>'Grad Raw Data'!H104</f>
        <v>Gellot</v>
      </c>
      <c r="D206" s="20"/>
      <c r="E206" s="20" t="str">
        <f>'Grad Raw Data'!D104</f>
        <v>RIGHT</v>
      </c>
      <c r="F206" s="20">
        <f>'Grad Raw Data'!E104</f>
        <v>5</v>
      </c>
    </row>
    <row r="207" spans="1:6" ht="24.95" customHeight="1" x14ac:dyDescent="0.25">
      <c r="A207" s="20"/>
      <c r="B207" s="20"/>
      <c r="C207" s="20"/>
      <c r="D207" s="20"/>
      <c r="E207" s="20"/>
      <c r="F207" s="20"/>
    </row>
    <row r="208" spans="1:6" ht="24.95" customHeight="1" x14ac:dyDescent="0.25">
      <c r="A208" s="20" t="str">
        <f>'Grad Raw Data'!I105</f>
        <v>Cameron</v>
      </c>
      <c r="B208" s="20" t="str">
        <f>'Grad Raw Data'!K105</f>
        <v/>
      </c>
      <c r="C208" s="20" t="str">
        <f>'Grad Raw Data'!H105</f>
        <v>Gigler</v>
      </c>
      <c r="D208" s="20"/>
      <c r="E208" s="20" t="str">
        <f>'Grad Raw Data'!D105</f>
        <v>RIGHT</v>
      </c>
      <c r="F208" s="20">
        <f>'Grad Raw Data'!E105</f>
        <v>5</v>
      </c>
    </row>
    <row r="209" spans="1:6" ht="24.95" customHeight="1" x14ac:dyDescent="0.25">
      <c r="A209" s="20"/>
      <c r="B209" s="20"/>
      <c r="C209" s="20"/>
      <c r="D209" s="20"/>
      <c r="E209" s="20"/>
      <c r="F209" s="20"/>
    </row>
    <row r="210" spans="1:6" ht="24.95" customHeight="1" x14ac:dyDescent="0.25">
      <c r="A210" s="20" t="str">
        <f>'Grad Raw Data'!I106</f>
        <v>Alex</v>
      </c>
      <c r="B210" s="20" t="str">
        <f>'Grad Raw Data'!K106</f>
        <v/>
      </c>
      <c r="C210" s="20" t="str">
        <f>'Grad Raw Data'!H106</f>
        <v>Gisetto</v>
      </c>
      <c r="D210" s="20"/>
      <c r="E210" s="20" t="str">
        <f>'Grad Raw Data'!D106</f>
        <v>RIGHT</v>
      </c>
      <c r="F210" s="20">
        <f>'Grad Raw Data'!E106</f>
        <v>5</v>
      </c>
    </row>
    <row r="211" spans="1:6" ht="24.95" customHeight="1" x14ac:dyDescent="0.25">
      <c r="A211" s="20"/>
      <c r="B211" s="20"/>
      <c r="C211" s="20"/>
      <c r="D211" s="20"/>
      <c r="E211" s="20"/>
      <c r="F211" s="20"/>
    </row>
    <row r="212" spans="1:6" ht="24.95" customHeight="1" x14ac:dyDescent="0.25">
      <c r="A212" s="20" t="str">
        <f>'Grad Raw Data'!I107</f>
        <v>Benjamin</v>
      </c>
      <c r="B212" s="20" t="str">
        <f>'Grad Raw Data'!K107</f>
        <v/>
      </c>
      <c r="C212" s="20" t="str">
        <f>'Grad Raw Data'!H107</f>
        <v>Goldlust</v>
      </c>
      <c r="D212" s="20"/>
      <c r="E212" s="20" t="str">
        <f>'Grad Raw Data'!D107</f>
        <v>RIGHT</v>
      </c>
      <c r="F212" s="20">
        <f>'Grad Raw Data'!E107</f>
        <v>5</v>
      </c>
    </row>
    <row r="213" spans="1:6" ht="24.95" customHeight="1" x14ac:dyDescent="0.25">
      <c r="A213" s="20"/>
      <c r="B213" s="20"/>
      <c r="C213" s="20"/>
      <c r="D213" s="20"/>
      <c r="E213" s="20"/>
      <c r="F213" s="20"/>
    </row>
    <row r="214" spans="1:6" ht="24.95" customHeight="1" x14ac:dyDescent="0.25">
      <c r="A214" s="20" t="str">
        <f>'Grad Raw Data'!I108</f>
        <v>Jack</v>
      </c>
      <c r="B214" s="20" t="str">
        <f>'Grad Raw Data'!K108</f>
        <v/>
      </c>
      <c r="C214" s="20" t="str">
        <f>'Grad Raw Data'!H108</f>
        <v>Goodfellow</v>
      </c>
      <c r="D214" s="20"/>
      <c r="E214" s="20" t="str">
        <f>'Grad Raw Data'!D108</f>
        <v>RIGHT</v>
      </c>
      <c r="F214" s="20">
        <f>'Grad Raw Data'!E108</f>
        <v>5</v>
      </c>
    </row>
    <row r="215" spans="1:6" ht="24.95" customHeight="1" x14ac:dyDescent="0.25">
      <c r="A215" s="20"/>
      <c r="B215" s="20"/>
      <c r="C215" s="20"/>
      <c r="D215" s="20"/>
      <c r="E215" s="20"/>
      <c r="F215" s="20"/>
    </row>
    <row r="216" spans="1:6" ht="24.95" customHeight="1" x14ac:dyDescent="0.25">
      <c r="A216" s="20" t="str">
        <f>'Grad Raw Data'!I109</f>
        <v>Drew</v>
      </c>
      <c r="B216" s="20" t="str">
        <f>'Grad Raw Data'!K109</f>
        <v/>
      </c>
      <c r="C216" s="20" t="str">
        <f>'Grad Raw Data'!H109</f>
        <v>Gorski</v>
      </c>
      <c r="D216" s="20"/>
      <c r="E216" s="20" t="str">
        <f>'Grad Raw Data'!D109</f>
        <v>RIGHT</v>
      </c>
      <c r="F216" s="20">
        <f>'Grad Raw Data'!E109</f>
        <v>5</v>
      </c>
    </row>
    <row r="217" spans="1:6" ht="24.95" customHeight="1" x14ac:dyDescent="0.25">
      <c r="A217" s="20"/>
      <c r="B217" s="20"/>
      <c r="C217" s="20"/>
      <c r="D217" s="20"/>
      <c r="E217" s="20"/>
      <c r="F217" s="20"/>
    </row>
    <row r="218" spans="1:6" ht="24.95" customHeight="1" x14ac:dyDescent="0.25">
      <c r="A218" s="20" t="str">
        <f>'Grad Raw Data'!I110</f>
        <v>Lila</v>
      </c>
      <c r="B218" s="20" t="str">
        <f>'Grad Raw Data'!K110</f>
        <v/>
      </c>
      <c r="C218" s="20" t="str">
        <f>'Grad Raw Data'!H110</f>
        <v>Gosdanian</v>
      </c>
      <c r="D218" s="20"/>
      <c r="E218" s="20" t="str">
        <f>'Grad Raw Data'!D110</f>
        <v>RIGHT</v>
      </c>
      <c r="F218" s="20">
        <f>'Grad Raw Data'!E110</f>
        <v>5</v>
      </c>
    </row>
    <row r="219" spans="1:6" ht="24.95" customHeight="1" x14ac:dyDescent="0.25">
      <c r="A219" s="20"/>
      <c r="B219" s="20"/>
      <c r="C219" s="20"/>
      <c r="D219" s="20"/>
      <c r="E219" s="20"/>
      <c r="F219" s="20"/>
    </row>
    <row r="220" spans="1:6" ht="24.95" customHeight="1" x14ac:dyDescent="0.25">
      <c r="A220" s="20" t="str">
        <f>'Grad Raw Data'!I111</f>
        <v>Cole</v>
      </c>
      <c r="B220" s="20" t="str">
        <f>'Grad Raw Data'!K111</f>
        <v>Sebastian</v>
      </c>
      <c r="C220" s="20" t="str">
        <f>'Grad Raw Data'!H111</f>
        <v>Grant</v>
      </c>
      <c r="D220" s="20"/>
      <c r="E220" s="20" t="str">
        <f>'Grad Raw Data'!D111</f>
        <v>RIGHT</v>
      </c>
      <c r="F220" s="20">
        <f>'Grad Raw Data'!E111</f>
        <v>5</v>
      </c>
    </row>
    <row r="221" spans="1:6" ht="24.95" customHeight="1" x14ac:dyDescent="0.25">
      <c r="A221" s="20"/>
      <c r="B221" s="20"/>
      <c r="C221" s="20"/>
      <c r="D221" s="20"/>
      <c r="E221" s="20"/>
      <c r="F221" s="20"/>
    </row>
    <row r="222" spans="1:6" ht="24.95" customHeight="1" x14ac:dyDescent="0.25">
      <c r="A222" s="20" t="str">
        <f>'Grad Raw Data'!I112</f>
        <v>Kendall</v>
      </c>
      <c r="B222" s="20" t="str">
        <f>'Grad Raw Data'!K112</f>
        <v/>
      </c>
      <c r="C222" s="20" t="str">
        <f>'Grad Raw Data'!H112</f>
        <v>Graves</v>
      </c>
      <c r="D222" s="20"/>
      <c r="E222" s="20" t="str">
        <f>'Grad Raw Data'!D112</f>
        <v>RIGHT</v>
      </c>
      <c r="F222" s="20">
        <f>'Grad Raw Data'!E112</f>
        <v>5</v>
      </c>
    </row>
    <row r="223" spans="1:6" ht="24.95" customHeight="1" x14ac:dyDescent="0.25">
      <c r="A223" s="20"/>
      <c r="B223" s="20"/>
      <c r="C223" s="20"/>
      <c r="D223" s="20"/>
      <c r="E223" s="20"/>
      <c r="F223" s="20"/>
    </row>
    <row r="224" spans="1:6" ht="24.95" customHeight="1" x14ac:dyDescent="0.25">
      <c r="A224" s="20" t="str">
        <f>'Grad Raw Data'!I113</f>
        <v>Griffin</v>
      </c>
      <c r="B224" s="20" t="str">
        <f>'Grad Raw Data'!K113</f>
        <v>James</v>
      </c>
      <c r="C224" s="20" t="str">
        <f>'Grad Raw Data'!H113</f>
        <v>Haggerty</v>
      </c>
      <c r="D224" s="20"/>
      <c r="E224" s="20" t="str">
        <f>'Grad Raw Data'!D113</f>
        <v>RIGHT</v>
      </c>
      <c r="F224" s="20">
        <f>'Grad Raw Data'!E113</f>
        <v>5</v>
      </c>
    </row>
    <row r="225" spans="1:6" ht="24.95" customHeight="1" x14ac:dyDescent="0.25">
      <c r="A225" s="20"/>
      <c r="B225" s="20"/>
      <c r="C225" s="20"/>
      <c r="D225" s="20"/>
      <c r="E225" s="20"/>
      <c r="F225" s="20"/>
    </row>
    <row r="226" spans="1:6" ht="24.95" customHeight="1" x14ac:dyDescent="0.25">
      <c r="A226" s="20" t="str">
        <f>'Grad Raw Data'!I114</f>
        <v>Andrea</v>
      </c>
      <c r="B226" s="20" t="str">
        <f>'Grad Raw Data'!K114</f>
        <v/>
      </c>
      <c r="C226" s="20" t="str">
        <f>'Grad Raw Data'!H114</f>
        <v>Hall</v>
      </c>
      <c r="D226" s="20"/>
      <c r="E226" s="20" t="str">
        <f>'Grad Raw Data'!D114</f>
        <v>RIGHT</v>
      </c>
      <c r="F226" s="20">
        <f>'Grad Raw Data'!E114</f>
        <v>5</v>
      </c>
    </row>
    <row r="227" spans="1:6" ht="24.95" customHeight="1" x14ac:dyDescent="0.25">
      <c r="A227" s="20"/>
      <c r="B227" s="20"/>
      <c r="C227" s="20"/>
      <c r="D227" s="20"/>
      <c r="E227" s="20"/>
      <c r="F227" s="20"/>
    </row>
    <row r="228" spans="1:6" ht="24.95" customHeight="1" x14ac:dyDescent="0.25">
      <c r="A228" s="20" t="str">
        <f>'Grad Raw Data'!I115</f>
        <v>Sarah</v>
      </c>
      <c r="B228" s="20" t="str">
        <f>'Grad Raw Data'!K115</f>
        <v/>
      </c>
      <c r="C228" s="20" t="str">
        <f>'Grad Raw Data'!H115</f>
        <v>Hamilton</v>
      </c>
      <c r="D228" s="20"/>
      <c r="E228" s="20" t="str">
        <f>'Grad Raw Data'!D115</f>
        <v>LEFT</v>
      </c>
      <c r="F228" s="20">
        <f>'Grad Raw Data'!E115</f>
        <v>5</v>
      </c>
    </row>
    <row r="229" spans="1:6" ht="24.95" customHeight="1" x14ac:dyDescent="0.25">
      <c r="A229" s="20"/>
      <c r="B229" s="20"/>
      <c r="C229" s="20"/>
      <c r="D229" s="20"/>
      <c r="E229" s="20"/>
      <c r="F229" s="20"/>
    </row>
    <row r="230" spans="1:6" ht="24.95" customHeight="1" x14ac:dyDescent="0.25">
      <c r="A230" s="20" t="str">
        <f>'Grad Raw Data'!I116</f>
        <v>Margaret</v>
      </c>
      <c r="B230" s="20" t="str">
        <f>'Grad Raw Data'!K116</f>
        <v/>
      </c>
      <c r="C230" s="20" t="str">
        <f>'Grad Raw Data'!H116</f>
        <v>Hanifan</v>
      </c>
      <c r="D230" s="20"/>
      <c r="E230" s="20" t="str">
        <f>'Grad Raw Data'!D116</f>
        <v>LEFT</v>
      </c>
      <c r="F230" s="20">
        <f>'Grad Raw Data'!E116</f>
        <v>5</v>
      </c>
    </row>
    <row r="231" spans="1:6" ht="24.95" customHeight="1" x14ac:dyDescent="0.25">
      <c r="A231" s="20"/>
      <c r="B231" s="20"/>
      <c r="C231" s="20"/>
      <c r="D231" s="20"/>
      <c r="E231" s="20"/>
      <c r="F231" s="20"/>
    </row>
    <row r="232" spans="1:6" ht="24.95" customHeight="1" x14ac:dyDescent="0.25">
      <c r="A232" s="20" t="str">
        <f>'Grad Raw Data'!I117</f>
        <v>Cameron</v>
      </c>
      <c r="B232" s="20" t="str">
        <f>'Grad Raw Data'!K117</f>
        <v/>
      </c>
      <c r="C232" s="20" t="str">
        <f>'Grad Raw Data'!H117</f>
        <v>Harrigan</v>
      </c>
      <c r="D232" s="20"/>
      <c r="E232" s="20" t="str">
        <f>'Grad Raw Data'!D117</f>
        <v>LEFT</v>
      </c>
      <c r="F232" s="20">
        <f>'Grad Raw Data'!E117</f>
        <v>5</v>
      </c>
    </row>
    <row r="233" spans="1:6" ht="24.95" customHeight="1" x14ac:dyDescent="0.25">
      <c r="A233" s="20"/>
      <c r="B233" s="20"/>
      <c r="C233" s="20"/>
      <c r="D233" s="20"/>
      <c r="E233" s="20"/>
      <c r="F233" s="20"/>
    </row>
    <row r="234" spans="1:6" ht="24.95" customHeight="1" x14ac:dyDescent="0.25">
      <c r="A234" s="20" t="str">
        <f>'Grad Raw Data'!I118</f>
        <v>Victoria</v>
      </c>
      <c r="B234" s="20" t="str">
        <f>'Grad Raw Data'!K118</f>
        <v/>
      </c>
      <c r="C234" s="20" t="str">
        <f>'Grad Raw Data'!H118</f>
        <v>Henri</v>
      </c>
      <c r="D234" s="20"/>
      <c r="E234" s="20" t="str">
        <f>'Grad Raw Data'!D118</f>
        <v>LEFT</v>
      </c>
      <c r="F234" s="20">
        <f>'Grad Raw Data'!E118</f>
        <v>5</v>
      </c>
    </row>
    <row r="235" spans="1:6" ht="24.95" customHeight="1" x14ac:dyDescent="0.25">
      <c r="A235" s="20"/>
      <c r="B235" s="20"/>
      <c r="C235" s="20"/>
      <c r="D235" s="20"/>
      <c r="E235" s="20"/>
      <c r="F235" s="20"/>
    </row>
    <row r="236" spans="1:6" ht="24.95" customHeight="1" x14ac:dyDescent="0.25">
      <c r="A236" s="20" t="str">
        <f>'Grad Raw Data'!I119</f>
        <v>Kayke</v>
      </c>
      <c r="B236" s="20" t="str">
        <f>'Grad Raw Data'!K119</f>
        <v/>
      </c>
      <c r="C236" s="20" t="str">
        <f>'Grad Raw Data'!H119</f>
        <v>Henrique</v>
      </c>
      <c r="D236" s="20"/>
      <c r="E236" s="20" t="str">
        <f>'Grad Raw Data'!D119</f>
        <v>LEFT</v>
      </c>
      <c r="F236" s="20">
        <f>'Grad Raw Data'!E119</f>
        <v>5</v>
      </c>
    </row>
    <row r="237" spans="1:6" ht="24.95" customHeight="1" x14ac:dyDescent="0.25">
      <c r="A237" s="20"/>
      <c r="B237" s="20"/>
      <c r="C237" s="20"/>
      <c r="D237" s="20"/>
      <c r="E237" s="20"/>
      <c r="F237" s="20"/>
    </row>
    <row r="238" spans="1:6" ht="24.95" customHeight="1" x14ac:dyDescent="0.25">
      <c r="A238" s="20" t="str">
        <f>'Grad Raw Data'!I120</f>
        <v>Jahkye</v>
      </c>
      <c r="B238" s="20" t="str">
        <f>'Grad Raw Data'!K120</f>
        <v/>
      </c>
      <c r="C238" s="20" t="str">
        <f>'Grad Raw Data'!H120</f>
        <v>Hobson</v>
      </c>
      <c r="D238" s="20"/>
      <c r="E238" s="20" t="str">
        <f>'Grad Raw Data'!D120</f>
        <v>LEFT</v>
      </c>
      <c r="F238" s="20">
        <f>'Grad Raw Data'!E120</f>
        <v>5</v>
      </c>
    </row>
    <row r="239" spans="1:6" ht="24.95" customHeight="1" x14ac:dyDescent="0.25">
      <c r="A239" s="20"/>
      <c r="B239" s="20"/>
      <c r="C239" s="20"/>
      <c r="D239" s="20"/>
      <c r="E239" s="20"/>
      <c r="F239" s="20"/>
    </row>
    <row r="240" spans="1:6" ht="24.95" customHeight="1" x14ac:dyDescent="0.25">
      <c r="A240" s="20" t="str">
        <f>'Grad Raw Data'!I121</f>
        <v>Sam</v>
      </c>
      <c r="B240" s="20" t="str">
        <f>'Grad Raw Data'!K121</f>
        <v/>
      </c>
      <c r="C240" s="20" t="str">
        <f>'Grad Raw Data'!H121</f>
        <v>Holt</v>
      </c>
      <c r="D240" s="20"/>
      <c r="E240" s="20" t="str">
        <f>'Grad Raw Data'!D121</f>
        <v>LEFT</v>
      </c>
      <c r="F240" s="20">
        <f>'Grad Raw Data'!E121</f>
        <v>5</v>
      </c>
    </row>
    <row r="241" spans="1:6" ht="24.95" customHeight="1" x14ac:dyDescent="0.25">
      <c r="A241" s="20"/>
      <c r="B241" s="20"/>
      <c r="C241" s="20"/>
      <c r="D241" s="20"/>
      <c r="E241" s="20"/>
      <c r="F241" s="20"/>
    </row>
    <row r="242" spans="1:6" ht="24.95" customHeight="1" x14ac:dyDescent="0.25">
      <c r="A242" s="20" t="str">
        <f>'Grad Raw Data'!I122</f>
        <v>Benjamin</v>
      </c>
      <c r="B242" s="20" t="str">
        <f>'Grad Raw Data'!K122</f>
        <v/>
      </c>
      <c r="C242" s="20" t="str">
        <f>'Grad Raw Data'!H122</f>
        <v>Houle</v>
      </c>
      <c r="D242" s="20"/>
      <c r="E242" s="20" t="str">
        <f>'Grad Raw Data'!D122</f>
        <v>LEFT</v>
      </c>
      <c r="F242" s="20">
        <f>'Grad Raw Data'!E122</f>
        <v>5</v>
      </c>
    </row>
    <row r="243" spans="1:6" ht="24.95" customHeight="1" x14ac:dyDescent="0.25">
      <c r="A243" s="20"/>
      <c r="B243" s="20"/>
      <c r="C243" s="20"/>
      <c r="D243" s="20"/>
      <c r="E243" s="20"/>
      <c r="F243" s="20"/>
    </row>
    <row r="244" spans="1:6" ht="24.95" customHeight="1" x14ac:dyDescent="0.25">
      <c r="A244" s="20" t="str">
        <f>'Grad Raw Data'!I123</f>
        <v>Evin</v>
      </c>
      <c r="B244" s="20" t="str">
        <f>'Grad Raw Data'!K123</f>
        <v/>
      </c>
      <c r="C244" s="20" t="str">
        <f>'Grad Raw Data'!H123</f>
        <v>Howell</v>
      </c>
      <c r="D244" s="20"/>
      <c r="E244" s="20" t="str">
        <f>'Grad Raw Data'!D123</f>
        <v>LEFT</v>
      </c>
      <c r="F244" s="20">
        <f>'Grad Raw Data'!E123</f>
        <v>5</v>
      </c>
    </row>
    <row r="245" spans="1:6" ht="24.95" customHeight="1" x14ac:dyDescent="0.25">
      <c r="A245" s="20"/>
      <c r="B245" s="20"/>
      <c r="C245" s="20"/>
      <c r="D245" s="20"/>
      <c r="E245" s="20"/>
      <c r="F245" s="20"/>
    </row>
    <row r="246" spans="1:6" ht="24.95" customHeight="1" x14ac:dyDescent="0.25">
      <c r="A246" s="20" t="str">
        <f>'Grad Raw Data'!I124</f>
        <v>Paul</v>
      </c>
      <c r="B246" s="20" t="str">
        <f>'Grad Raw Data'!K124</f>
        <v>Joseph</v>
      </c>
      <c r="C246" s="20" t="str">
        <f>'Grad Raw Data'!H124</f>
        <v>Iosua</v>
      </c>
      <c r="D246" s="20"/>
      <c r="E246" s="20" t="str">
        <f>'Grad Raw Data'!D124</f>
        <v>LEFT</v>
      </c>
      <c r="F246" s="20">
        <f>'Grad Raw Data'!E124</f>
        <v>5</v>
      </c>
    </row>
    <row r="247" spans="1:6" ht="24.95" customHeight="1" x14ac:dyDescent="0.25">
      <c r="A247" s="20"/>
      <c r="B247" s="20"/>
      <c r="C247" s="20"/>
      <c r="D247" s="20"/>
      <c r="E247" s="20"/>
      <c r="F247" s="20"/>
    </row>
    <row r="248" spans="1:6" ht="24.95" customHeight="1" x14ac:dyDescent="0.25">
      <c r="A248" s="20" t="str">
        <f>'Grad Raw Data'!I125</f>
        <v>Leah</v>
      </c>
      <c r="B248" s="20" t="str">
        <f>'Grad Raw Data'!K125</f>
        <v/>
      </c>
      <c r="C248" s="20" t="str">
        <f>'Grad Raw Data'!H125</f>
        <v>Jackvony</v>
      </c>
      <c r="D248" s="20"/>
      <c r="E248" s="20" t="str">
        <f>'Grad Raw Data'!D125</f>
        <v>LEFT</v>
      </c>
      <c r="F248" s="20">
        <f>'Grad Raw Data'!E125</f>
        <v>5</v>
      </c>
    </row>
    <row r="249" spans="1:6" ht="24.95" customHeight="1" x14ac:dyDescent="0.25">
      <c r="A249" s="20"/>
      <c r="B249" s="20"/>
      <c r="C249" s="20"/>
      <c r="D249" s="20"/>
      <c r="E249" s="20"/>
      <c r="F249" s="20"/>
    </row>
    <row r="250" spans="1:6" ht="24.95" customHeight="1" x14ac:dyDescent="0.25">
      <c r="A250" s="20" t="str">
        <f>'Grad Raw Data'!I126</f>
        <v>Wayne</v>
      </c>
      <c r="B250" s="20" t="str">
        <f>'Grad Raw Data'!K126</f>
        <v/>
      </c>
      <c r="C250" s="20" t="str">
        <f>'Grad Raw Data'!H126</f>
        <v>Jankun</v>
      </c>
      <c r="D250" s="20"/>
      <c r="E250" s="20" t="str">
        <f>'Grad Raw Data'!D126</f>
        <v>LEFT</v>
      </c>
      <c r="F250" s="20">
        <f>'Grad Raw Data'!E126</f>
        <v>5</v>
      </c>
    </row>
    <row r="251" spans="1:6" ht="24.95" customHeight="1" x14ac:dyDescent="0.25">
      <c r="A251" s="20"/>
      <c r="B251" s="20"/>
      <c r="C251" s="20"/>
      <c r="D251" s="20"/>
      <c r="E251" s="20"/>
      <c r="F251" s="20"/>
    </row>
    <row r="252" spans="1:6" ht="24.95" customHeight="1" x14ac:dyDescent="0.25">
      <c r="A252" s="20" t="str">
        <f>'Grad Raw Data'!I127</f>
        <v>Tristan</v>
      </c>
      <c r="B252" s="20" t="str">
        <f>'Grad Raw Data'!K127</f>
        <v/>
      </c>
      <c r="C252" s="20" t="str">
        <f>'Grad Raw Data'!H127</f>
        <v>Jenkins</v>
      </c>
      <c r="D252" s="20"/>
      <c r="E252" s="20" t="str">
        <f>'Grad Raw Data'!D127</f>
        <v>RIGHT</v>
      </c>
      <c r="F252" s="20">
        <f>'Grad Raw Data'!E127</f>
        <v>6</v>
      </c>
    </row>
    <row r="253" spans="1:6" ht="24.95" customHeight="1" x14ac:dyDescent="0.25">
      <c r="A253" s="20"/>
      <c r="B253" s="20"/>
      <c r="C253" s="20"/>
      <c r="D253" s="20"/>
      <c r="E253" s="20"/>
      <c r="F253" s="20"/>
    </row>
    <row r="254" spans="1:6" ht="24.95" customHeight="1" x14ac:dyDescent="0.25">
      <c r="A254" s="20" t="str">
        <f>'Grad Raw Data'!I128</f>
        <v>Evan</v>
      </c>
      <c r="B254" s="20" t="str">
        <f>'Grad Raw Data'!K128</f>
        <v/>
      </c>
      <c r="C254" s="20" t="str">
        <f>'Grad Raw Data'!H128</f>
        <v>Jenney</v>
      </c>
      <c r="D254" s="20"/>
      <c r="E254" s="20" t="str">
        <f>'Grad Raw Data'!D128</f>
        <v>RIGHT</v>
      </c>
      <c r="F254" s="20">
        <f>'Grad Raw Data'!E128</f>
        <v>6</v>
      </c>
    </row>
    <row r="255" spans="1:6" ht="24.95" customHeight="1" x14ac:dyDescent="0.25">
      <c r="A255" s="20"/>
      <c r="B255" s="20"/>
      <c r="C255" s="20"/>
      <c r="D255" s="20"/>
      <c r="E255" s="20"/>
      <c r="F255" s="20"/>
    </row>
    <row r="256" spans="1:6" ht="24.95" customHeight="1" x14ac:dyDescent="0.25">
      <c r="A256" s="20" t="str">
        <f>'Grad Raw Data'!I129</f>
        <v>Michael</v>
      </c>
      <c r="B256" s="20" t="str">
        <f>'Grad Raw Data'!K129</f>
        <v/>
      </c>
      <c r="C256" s="20" t="str">
        <f>'Grad Raw Data'!H129</f>
        <v>Jenney</v>
      </c>
      <c r="D256" s="20"/>
      <c r="E256" s="20" t="str">
        <f>'Grad Raw Data'!D129</f>
        <v>RIGHT</v>
      </c>
      <c r="F256" s="20">
        <f>'Grad Raw Data'!E129</f>
        <v>6</v>
      </c>
    </row>
    <row r="257" spans="1:6" ht="24.95" customHeight="1" x14ac:dyDescent="0.25">
      <c r="A257" s="20"/>
      <c r="B257" s="20"/>
      <c r="C257" s="20"/>
      <c r="D257" s="20"/>
      <c r="E257" s="20"/>
      <c r="F257" s="20"/>
    </row>
    <row r="258" spans="1:6" ht="24.95" customHeight="1" x14ac:dyDescent="0.25">
      <c r="A258" s="20" t="str">
        <f>'Grad Raw Data'!I130</f>
        <v>Luke</v>
      </c>
      <c r="B258" s="20" t="str">
        <f>'Grad Raw Data'!K130</f>
        <v/>
      </c>
      <c r="C258" s="20" t="str">
        <f>'Grad Raw Data'!H130</f>
        <v>Johnson</v>
      </c>
      <c r="D258" s="20"/>
      <c r="E258" s="20" t="str">
        <f>'Grad Raw Data'!D130</f>
        <v>RIGHT</v>
      </c>
      <c r="F258" s="20">
        <f>'Grad Raw Data'!E130</f>
        <v>6</v>
      </c>
    </row>
    <row r="259" spans="1:6" ht="24.95" customHeight="1" x14ac:dyDescent="0.25">
      <c r="A259" s="20"/>
      <c r="B259" s="20"/>
      <c r="C259" s="20"/>
      <c r="D259" s="20"/>
      <c r="E259" s="20"/>
      <c r="F259" s="20"/>
    </row>
    <row r="260" spans="1:6" ht="24.95" customHeight="1" x14ac:dyDescent="0.25">
      <c r="A260" s="20" t="str">
        <f>'Grad Raw Data'!I131</f>
        <v>Maeve</v>
      </c>
      <c r="B260" s="20" t="str">
        <f>'Grad Raw Data'!K131</f>
        <v/>
      </c>
      <c r="C260" s="20" t="str">
        <f>'Grad Raw Data'!H131</f>
        <v>Jones</v>
      </c>
      <c r="D260" s="20"/>
      <c r="E260" s="20" t="str">
        <f>'Grad Raw Data'!D131</f>
        <v>RIGHT</v>
      </c>
      <c r="F260" s="20">
        <f>'Grad Raw Data'!E131</f>
        <v>6</v>
      </c>
    </row>
    <row r="261" spans="1:6" ht="24.95" customHeight="1" x14ac:dyDescent="0.25">
      <c r="A261" s="20"/>
      <c r="B261" s="20"/>
      <c r="C261" s="20"/>
      <c r="D261" s="20"/>
      <c r="E261" s="20"/>
      <c r="F261" s="20"/>
    </row>
    <row r="262" spans="1:6" ht="24.95" customHeight="1" x14ac:dyDescent="0.25">
      <c r="A262" s="20" t="str">
        <f>'Grad Raw Data'!I132</f>
        <v>Nolan</v>
      </c>
      <c r="B262" s="20" t="str">
        <f>'Grad Raw Data'!K132</f>
        <v/>
      </c>
      <c r="C262" s="20" t="str">
        <f>'Grad Raw Data'!H132</f>
        <v>Jordan</v>
      </c>
      <c r="D262" s="20"/>
      <c r="E262" s="20" t="str">
        <f>'Grad Raw Data'!D132</f>
        <v>RIGHT</v>
      </c>
      <c r="F262" s="20">
        <f>'Grad Raw Data'!E132</f>
        <v>6</v>
      </c>
    </row>
    <row r="263" spans="1:6" ht="24.95" customHeight="1" x14ac:dyDescent="0.25">
      <c r="A263" s="20"/>
      <c r="B263" s="20"/>
      <c r="C263" s="20"/>
      <c r="D263" s="20"/>
      <c r="E263" s="20"/>
      <c r="F263" s="20"/>
    </row>
    <row r="264" spans="1:6" ht="24.95" customHeight="1" x14ac:dyDescent="0.25">
      <c r="A264" s="20" t="str">
        <f>'Grad Raw Data'!I133</f>
        <v>Emma</v>
      </c>
      <c r="B264" s="20" t="str">
        <f>'Grad Raw Data'!K133</f>
        <v/>
      </c>
      <c r="C264" s="20" t="str">
        <f>'Grad Raw Data'!H133</f>
        <v>Kaberle</v>
      </c>
      <c r="D264" s="20"/>
      <c r="E264" s="20" t="str">
        <f>'Grad Raw Data'!D133</f>
        <v>RIGHT</v>
      </c>
      <c r="F264" s="20">
        <f>'Grad Raw Data'!E133</f>
        <v>6</v>
      </c>
    </row>
    <row r="265" spans="1:6" ht="24.95" customHeight="1" x14ac:dyDescent="0.25">
      <c r="A265" s="20"/>
      <c r="B265" s="20"/>
      <c r="C265" s="20"/>
      <c r="D265" s="20"/>
      <c r="E265" s="20"/>
      <c r="F265" s="20"/>
    </row>
    <row r="266" spans="1:6" ht="24.95" customHeight="1" x14ac:dyDescent="0.25">
      <c r="A266" s="20" t="str">
        <f>'Grad Raw Data'!I134</f>
        <v>Azra</v>
      </c>
      <c r="B266" s="20" t="str">
        <f>'Grad Raw Data'!K134</f>
        <v/>
      </c>
      <c r="C266" s="20" t="str">
        <f>'Grad Raw Data'!H134</f>
        <v>Kadric</v>
      </c>
      <c r="D266" s="20"/>
      <c r="E266" s="20" t="str">
        <f>'Grad Raw Data'!D134</f>
        <v>RIGHT</v>
      </c>
      <c r="F266" s="20">
        <f>'Grad Raw Data'!E134</f>
        <v>6</v>
      </c>
    </row>
    <row r="267" spans="1:6" ht="24.95" customHeight="1" x14ac:dyDescent="0.25">
      <c r="A267" s="20"/>
      <c r="B267" s="20"/>
      <c r="C267" s="20"/>
      <c r="D267" s="20"/>
      <c r="E267" s="20"/>
      <c r="F267" s="20"/>
    </row>
    <row r="268" spans="1:6" ht="24.95" customHeight="1" x14ac:dyDescent="0.25">
      <c r="A268" s="20" t="str">
        <f>'Grad Raw Data'!I135</f>
        <v>Brady</v>
      </c>
      <c r="B268" s="20" t="str">
        <f>'Grad Raw Data'!K135</f>
        <v/>
      </c>
      <c r="C268" s="20" t="str">
        <f>'Grad Raw Data'!H135</f>
        <v>Keaveney</v>
      </c>
      <c r="D268" s="20"/>
      <c r="E268" s="20" t="str">
        <f>'Grad Raw Data'!D135</f>
        <v>RIGHT</v>
      </c>
      <c r="F268" s="20">
        <f>'Grad Raw Data'!E135</f>
        <v>6</v>
      </c>
    </row>
    <row r="269" spans="1:6" ht="24.95" customHeight="1" x14ac:dyDescent="0.25">
      <c r="A269" s="20"/>
      <c r="B269" s="20"/>
      <c r="C269" s="20"/>
      <c r="D269" s="20"/>
      <c r="E269" s="20"/>
      <c r="F269" s="20"/>
    </row>
    <row r="270" spans="1:6" ht="24.95" customHeight="1" x14ac:dyDescent="0.25">
      <c r="A270" s="20" t="str">
        <f>'Grad Raw Data'!I136</f>
        <v>Hannah</v>
      </c>
      <c r="B270" s="20" t="str">
        <f>'Grad Raw Data'!K136</f>
        <v/>
      </c>
      <c r="C270" s="20" t="str">
        <f>'Grad Raw Data'!H136</f>
        <v>Kenton</v>
      </c>
      <c r="D270" s="20"/>
      <c r="E270" s="20" t="str">
        <f>'Grad Raw Data'!D136</f>
        <v>RIGHT</v>
      </c>
      <c r="F270" s="20">
        <f>'Grad Raw Data'!E136</f>
        <v>6</v>
      </c>
    </row>
    <row r="271" spans="1:6" ht="24.95" customHeight="1" x14ac:dyDescent="0.25">
      <c r="A271" s="20"/>
      <c r="B271" s="20"/>
      <c r="C271" s="20"/>
      <c r="D271" s="20"/>
      <c r="E271" s="20"/>
      <c r="F271" s="20"/>
    </row>
    <row r="272" spans="1:6" ht="24.95" customHeight="1" x14ac:dyDescent="0.25">
      <c r="A272" s="20" t="str">
        <f>'Grad Raw Data'!I137</f>
        <v>Aiden</v>
      </c>
      <c r="B272" s="20" t="str">
        <f>'Grad Raw Data'!K137</f>
        <v/>
      </c>
      <c r="C272" s="20" t="str">
        <f>'Grad Raw Data'!H137</f>
        <v>Kiley</v>
      </c>
      <c r="D272" s="20"/>
      <c r="E272" s="20" t="str">
        <f>'Grad Raw Data'!D137</f>
        <v>RIGHT</v>
      </c>
      <c r="F272" s="20">
        <f>'Grad Raw Data'!E137</f>
        <v>6</v>
      </c>
    </row>
    <row r="273" spans="1:6" ht="24.95" customHeight="1" x14ac:dyDescent="0.25">
      <c r="A273" s="20"/>
      <c r="B273" s="20"/>
      <c r="C273" s="20"/>
      <c r="D273" s="20"/>
      <c r="E273" s="20"/>
      <c r="F273" s="20"/>
    </row>
    <row r="274" spans="1:6" ht="24.95" customHeight="1" x14ac:dyDescent="0.25">
      <c r="A274" s="20" t="str">
        <f>'Grad Raw Data'!I138</f>
        <v>Clinton</v>
      </c>
      <c r="B274" s="20" t="str">
        <f>'Grad Raw Data'!K138</f>
        <v/>
      </c>
      <c r="C274" s="20" t="str">
        <f>'Grad Raw Data'!H138</f>
        <v>King</v>
      </c>
      <c r="D274" s="20"/>
      <c r="E274" s="20" t="str">
        <f>'Grad Raw Data'!D138</f>
        <v>RIGHT</v>
      </c>
      <c r="F274" s="20">
        <f>'Grad Raw Data'!E138</f>
        <v>6</v>
      </c>
    </row>
    <row r="275" spans="1:6" ht="24.95" customHeight="1" x14ac:dyDescent="0.25">
      <c r="A275" s="20"/>
      <c r="B275" s="20"/>
      <c r="C275" s="20"/>
      <c r="D275" s="20"/>
      <c r="E275" s="20"/>
      <c r="F275" s="20"/>
    </row>
    <row r="276" spans="1:6" ht="24.95" customHeight="1" x14ac:dyDescent="0.25">
      <c r="A276" s="20" t="str">
        <f>'Grad Raw Data'!I139</f>
        <v>Kyle</v>
      </c>
      <c r="B276" s="20" t="str">
        <f>'Grad Raw Data'!K139</f>
        <v/>
      </c>
      <c r="C276" s="20" t="str">
        <f>'Grad Raw Data'!H139</f>
        <v>Koster</v>
      </c>
      <c r="D276" s="20"/>
      <c r="E276" s="20" t="str">
        <f>'Grad Raw Data'!D139</f>
        <v>LEFT</v>
      </c>
      <c r="F276" s="20">
        <f>'Grad Raw Data'!E139</f>
        <v>6</v>
      </c>
    </row>
    <row r="277" spans="1:6" ht="24.95" customHeight="1" x14ac:dyDescent="0.25">
      <c r="A277" s="20"/>
      <c r="B277" s="20"/>
      <c r="C277" s="20"/>
      <c r="D277" s="20"/>
      <c r="E277" s="20"/>
      <c r="F277" s="20"/>
    </row>
    <row r="278" spans="1:6" ht="24.95" customHeight="1" x14ac:dyDescent="0.25">
      <c r="A278" s="20" t="str">
        <f>'Grad Raw Data'!I140</f>
        <v>Enzo</v>
      </c>
      <c r="B278" s="20" t="str">
        <f>'Grad Raw Data'!K140</f>
        <v>George</v>
      </c>
      <c r="C278" s="20" t="str">
        <f>'Grad Raw Data'!H140</f>
        <v>Lalicata</v>
      </c>
      <c r="D278" s="20"/>
      <c r="E278" s="20" t="str">
        <f>'Grad Raw Data'!D140</f>
        <v>LEFT</v>
      </c>
      <c r="F278" s="20">
        <f>'Grad Raw Data'!E140</f>
        <v>6</v>
      </c>
    </row>
    <row r="279" spans="1:6" ht="24.95" customHeight="1" x14ac:dyDescent="0.25">
      <c r="A279" s="20"/>
      <c r="B279" s="20"/>
      <c r="C279" s="20"/>
      <c r="D279" s="20"/>
      <c r="E279" s="20"/>
      <c r="F279" s="20"/>
    </row>
    <row r="280" spans="1:6" ht="24.95" customHeight="1" x14ac:dyDescent="0.25">
      <c r="A280" s="20" t="str">
        <f>'Grad Raw Data'!I141</f>
        <v>Jonathan</v>
      </c>
      <c r="B280" s="20" t="str">
        <f>'Grad Raw Data'!K141</f>
        <v/>
      </c>
      <c r="C280" s="20" t="str">
        <f>'Grad Raw Data'!H141</f>
        <v>Laurino</v>
      </c>
      <c r="D280" s="20"/>
      <c r="E280" s="20" t="str">
        <f>'Grad Raw Data'!D141</f>
        <v>LEFT</v>
      </c>
      <c r="F280" s="20">
        <f>'Grad Raw Data'!E141</f>
        <v>6</v>
      </c>
    </row>
    <row r="281" spans="1:6" ht="24.95" customHeight="1" x14ac:dyDescent="0.25">
      <c r="A281" s="20"/>
      <c r="B281" s="20"/>
      <c r="C281" s="20"/>
      <c r="D281" s="20"/>
      <c r="E281" s="20"/>
      <c r="F281" s="20"/>
    </row>
    <row r="282" spans="1:6" ht="24.95" customHeight="1" x14ac:dyDescent="0.25">
      <c r="A282" s="20" t="str">
        <f>'Grad Raw Data'!I142</f>
        <v>Matthew</v>
      </c>
      <c r="B282" s="20" t="str">
        <f>'Grad Raw Data'!K142</f>
        <v/>
      </c>
      <c r="C282" s="20" t="str">
        <f>'Grad Raw Data'!H142</f>
        <v>Laurino</v>
      </c>
      <c r="D282" s="20"/>
      <c r="E282" s="20" t="str">
        <f>'Grad Raw Data'!D142</f>
        <v>LEFT</v>
      </c>
      <c r="F282" s="20">
        <f>'Grad Raw Data'!E142</f>
        <v>6</v>
      </c>
    </row>
    <row r="283" spans="1:6" ht="24.95" customHeight="1" x14ac:dyDescent="0.25">
      <c r="A283" s="20"/>
      <c r="B283" s="20"/>
      <c r="C283" s="20"/>
      <c r="D283" s="20"/>
      <c r="E283" s="20"/>
      <c r="F283" s="20"/>
    </row>
    <row r="284" spans="1:6" ht="24.95" customHeight="1" x14ac:dyDescent="0.25">
      <c r="A284" s="20" t="str">
        <f>'Grad Raw Data'!I143</f>
        <v>Asad</v>
      </c>
      <c r="B284" s="20" t="str">
        <f>'Grad Raw Data'!K143</f>
        <v/>
      </c>
      <c r="C284" s="20" t="str">
        <f>'Grad Raw Data'!H143</f>
        <v>Layne</v>
      </c>
      <c r="D284" s="20"/>
      <c r="E284" s="20" t="str">
        <f>'Grad Raw Data'!D143</f>
        <v>LEFT</v>
      </c>
      <c r="F284" s="20">
        <f>'Grad Raw Data'!E143</f>
        <v>6</v>
      </c>
    </row>
    <row r="285" spans="1:6" ht="24.95" customHeight="1" x14ac:dyDescent="0.25">
      <c r="A285" s="20"/>
      <c r="B285" s="20"/>
      <c r="C285" s="20"/>
      <c r="D285" s="20"/>
      <c r="E285" s="20"/>
      <c r="F285" s="20"/>
    </row>
    <row r="286" spans="1:6" ht="24.95" customHeight="1" x14ac:dyDescent="0.25">
      <c r="A286" s="20" t="str">
        <f>'Grad Raw Data'!I144</f>
        <v>Austin</v>
      </c>
      <c r="B286" s="20" t="str">
        <f>'Grad Raw Data'!K144</f>
        <v>James</v>
      </c>
      <c r="C286" s="20" t="str">
        <f>'Grad Raw Data'!H144</f>
        <v>Lee</v>
      </c>
      <c r="D286" s="20"/>
      <c r="E286" s="20" t="str">
        <f>'Grad Raw Data'!D144</f>
        <v>LEFT</v>
      </c>
      <c r="F286" s="20">
        <f>'Grad Raw Data'!E144</f>
        <v>6</v>
      </c>
    </row>
    <row r="287" spans="1:6" ht="24.95" customHeight="1" x14ac:dyDescent="0.25">
      <c r="A287" s="20"/>
      <c r="B287" s="20"/>
      <c r="C287" s="20"/>
      <c r="D287" s="20"/>
      <c r="E287" s="20"/>
      <c r="F287" s="20"/>
    </row>
    <row r="288" spans="1:6" ht="24.95" customHeight="1" x14ac:dyDescent="0.25">
      <c r="A288" s="20" t="str">
        <f>'Grad Raw Data'!I145</f>
        <v>Jonathan</v>
      </c>
      <c r="B288" s="20" t="str">
        <f>'Grad Raw Data'!K145</f>
        <v/>
      </c>
      <c r="C288" s="20" t="str">
        <f>'Grad Raw Data'!H145</f>
        <v>Lee</v>
      </c>
      <c r="D288" s="20"/>
      <c r="E288" s="20" t="str">
        <f>'Grad Raw Data'!D145</f>
        <v>LEFT</v>
      </c>
      <c r="F288" s="20">
        <f>'Grad Raw Data'!E145</f>
        <v>6</v>
      </c>
    </row>
    <row r="289" spans="1:6" ht="24.95" customHeight="1" x14ac:dyDescent="0.25">
      <c r="A289" s="20"/>
      <c r="B289" s="20"/>
      <c r="C289" s="20"/>
      <c r="D289" s="20"/>
      <c r="E289" s="20"/>
      <c r="F289" s="20"/>
    </row>
    <row r="290" spans="1:6" ht="24.95" customHeight="1" x14ac:dyDescent="0.25">
      <c r="A290" s="20" t="str">
        <f>'Grad Raw Data'!I146</f>
        <v>Desmond</v>
      </c>
      <c r="B290" s="20" t="str">
        <f>'Grad Raw Data'!K146</f>
        <v/>
      </c>
      <c r="C290" s="20" t="str">
        <f>'Grad Raw Data'!H146</f>
        <v>Lethin</v>
      </c>
      <c r="D290" s="20"/>
      <c r="E290" s="20" t="str">
        <f>'Grad Raw Data'!D146</f>
        <v>LEFT</v>
      </c>
      <c r="F290" s="20">
        <f>'Grad Raw Data'!E146</f>
        <v>6</v>
      </c>
    </row>
    <row r="291" spans="1:6" ht="24.95" customHeight="1" x14ac:dyDescent="0.25">
      <c r="A291" s="20"/>
      <c r="B291" s="20"/>
      <c r="C291" s="20"/>
      <c r="D291" s="20"/>
      <c r="E291" s="20"/>
      <c r="F291" s="20"/>
    </row>
    <row r="292" spans="1:6" ht="24.95" customHeight="1" x14ac:dyDescent="0.25">
      <c r="A292" s="20" t="str">
        <f>'Grad Raw Data'!I147</f>
        <v>Katie</v>
      </c>
      <c r="B292" s="20" t="str">
        <f>'Grad Raw Data'!K147</f>
        <v/>
      </c>
      <c r="C292" s="20" t="str">
        <f>'Grad Raw Data'!H147</f>
        <v>Lewis</v>
      </c>
      <c r="D292" s="20"/>
      <c r="E292" s="20" t="str">
        <f>'Grad Raw Data'!D147</f>
        <v>LEFT</v>
      </c>
      <c r="F292" s="20">
        <f>'Grad Raw Data'!E147</f>
        <v>6</v>
      </c>
    </row>
    <row r="293" spans="1:6" ht="24.95" customHeight="1" x14ac:dyDescent="0.25">
      <c r="A293" s="20"/>
      <c r="B293" s="20"/>
      <c r="C293" s="20"/>
      <c r="D293" s="20"/>
      <c r="E293" s="20"/>
      <c r="F293" s="20"/>
    </row>
    <row r="294" spans="1:6" ht="24.95" customHeight="1" x14ac:dyDescent="0.25">
      <c r="A294" s="20" t="str">
        <f>'Grad Raw Data'!I148</f>
        <v>Isabelle</v>
      </c>
      <c r="B294" s="20" t="str">
        <f>'Grad Raw Data'!K148</f>
        <v/>
      </c>
      <c r="C294" s="20" t="str">
        <f>'Grad Raw Data'!H148</f>
        <v>Lightbody</v>
      </c>
      <c r="D294" s="20"/>
      <c r="E294" s="20" t="str">
        <f>'Grad Raw Data'!D148</f>
        <v>LEFT</v>
      </c>
      <c r="F294" s="20">
        <f>'Grad Raw Data'!E148</f>
        <v>6</v>
      </c>
    </row>
    <row r="295" spans="1:6" ht="24.95" customHeight="1" x14ac:dyDescent="0.25">
      <c r="A295" s="20"/>
      <c r="B295" s="20"/>
      <c r="C295" s="20"/>
      <c r="D295" s="20"/>
      <c r="E295" s="20"/>
      <c r="F295" s="20"/>
    </row>
    <row r="296" spans="1:6" ht="24.95" customHeight="1" x14ac:dyDescent="0.25">
      <c r="A296" s="20" t="str">
        <f>'Grad Raw Data'!I149</f>
        <v>Steven</v>
      </c>
      <c r="B296" s="20" t="str">
        <f>'Grad Raw Data'!K149</f>
        <v/>
      </c>
      <c r="C296" s="20" t="str">
        <f>'Grad Raw Data'!H149</f>
        <v>Lin</v>
      </c>
      <c r="D296" s="20"/>
      <c r="E296" s="20" t="str">
        <f>'Grad Raw Data'!D149</f>
        <v>LEFT</v>
      </c>
      <c r="F296" s="20">
        <f>'Grad Raw Data'!E149</f>
        <v>6</v>
      </c>
    </row>
    <row r="297" spans="1:6" ht="24.95" customHeight="1" x14ac:dyDescent="0.25">
      <c r="A297" s="20"/>
      <c r="B297" s="20"/>
      <c r="C297" s="20"/>
      <c r="D297" s="20"/>
      <c r="E297" s="20"/>
      <c r="F297" s="20"/>
    </row>
    <row r="298" spans="1:6" ht="24.95" customHeight="1" x14ac:dyDescent="0.25">
      <c r="A298" s="20" t="str">
        <f>'Grad Raw Data'!I150</f>
        <v>Zackary</v>
      </c>
      <c r="B298" s="20" t="str">
        <f>'Grad Raw Data'!K150</f>
        <v/>
      </c>
      <c r="C298" s="20" t="str">
        <f>'Grad Raw Data'!H150</f>
        <v>Lizotte</v>
      </c>
      <c r="D298" s="20"/>
      <c r="E298" s="20" t="str">
        <f>'Grad Raw Data'!D150</f>
        <v>LEFT</v>
      </c>
      <c r="F298" s="20">
        <f>'Grad Raw Data'!E150</f>
        <v>6</v>
      </c>
    </row>
    <row r="299" spans="1:6" ht="24.95" customHeight="1" x14ac:dyDescent="0.25">
      <c r="A299" s="20"/>
      <c r="B299" s="20"/>
      <c r="C299" s="20"/>
      <c r="D299" s="20"/>
      <c r="E299" s="20"/>
      <c r="F299" s="20"/>
    </row>
    <row r="300" spans="1:6" ht="24.95" customHeight="1" x14ac:dyDescent="0.25">
      <c r="A300" s="20" t="str">
        <f>'Grad Raw Data'!I151</f>
        <v>Isla</v>
      </c>
      <c r="B300" s="20" t="str">
        <f>'Grad Raw Data'!K151</f>
        <v/>
      </c>
      <c r="C300" s="20" t="str">
        <f>'Grad Raw Data'!H151</f>
        <v>Lusk</v>
      </c>
      <c r="D300" s="20"/>
      <c r="E300" s="20" t="str">
        <f>'Grad Raw Data'!D151</f>
        <v>RIGHT</v>
      </c>
      <c r="F300" s="20">
        <f>'Grad Raw Data'!E151</f>
        <v>7</v>
      </c>
    </row>
    <row r="301" spans="1:6" ht="24.95" customHeight="1" x14ac:dyDescent="0.25">
      <c r="A301" s="20"/>
      <c r="B301" s="20"/>
      <c r="C301" s="20"/>
      <c r="D301" s="20"/>
      <c r="E301" s="20"/>
      <c r="F301" s="20"/>
    </row>
    <row r="302" spans="1:6" ht="24.95" customHeight="1" x14ac:dyDescent="0.25">
      <c r="A302" s="20" t="str">
        <f>'Grad Raw Data'!I152</f>
        <v>Lilyana</v>
      </c>
      <c r="B302" s="20" t="str">
        <f>'Grad Raw Data'!K152</f>
        <v/>
      </c>
      <c r="C302" s="20" t="str">
        <f>'Grad Raw Data'!H152</f>
        <v>Madden</v>
      </c>
      <c r="D302" s="20"/>
      <c r="E302" s="20" t="str">
        <f>'Grad Raw Data'!D152</f>
        <v>RIGHT</v>
      </c>
      <c r="F302" s="20">
        <f>'Grad Raw Data'!E152</f>
        <v>7</v>
      </c>
    </row>
    <row r="303" spans="1:6" ht="24.95" customHeight="1" x14ac:dyDescent="0.25">
      <c r="A303" s="20"/>
      <c r="B303" s="20"/>
      <c r="C303" s="20"/>
      <c r="D303" s="20"/>
      <c r="E303" s="20"/>
      <c r="F303" s="20"/>
    </row>
    <row r="304" spans="1:6" ht="24.95" customHeight="1" x14ac:dyDescent="0.25">
      <c r="A304" s="20" t="str">
        <f>'Grad Raw Data'!I153</f>
        <v>Rosalia</v>
      </c>
      <c r="B304" s="20" t="str">
        <f>'Grad Raw Data'!K153</f>
        <v/>
      </c>
      <c r="C304" s="20" t="str">
        <f>'Grad Raw Data'!H153</f>
        <v>Maganzini</v>
      </c>
      <c r="D304" s="20"/>
      <c r="E304" s="20" t="str">
        <f>'Grad Raw Data'!D153</f>
        <v>RIGHT</v>
      </c>
      <c r="F304" s="20">
        <f>'Grad Raw Data'!E153</f>
        <v>7</v>
      </c>
    </row>
    <row r="305" spans="1:6" ht="24.95" customHeight="1" x14ac:dyDescent="0.25">
      <c r="A305" s="20"/>
      <c r="B305" s="20"/>
      <c r="C305" s="20"/>
      <c r="D305" s="20"/>
      <c r="E305" s="20"/>
      <c r="F305" s="20"/>
    </row>
    <row r="306" spans="1:6" ht="24.95" customHeight="1" x14ac:dyDescent="0.25">
      <c r="A306" s="20" t="str">
        <f>'Grad Raw Data'!I154</f>
        <v>Trent</v>
      </c>
      <c r="B306" s="20" t="str">
        <f>'Grad Raw Data'!K154</f>
        <v>Joseph</v>
      </c>
      <c r="C306" s="20" t="str">
        <f>'Grad Raw Data'!H154</f>
        <v>Maganzini</v>
      </c>
      <c r="D306" s="20"/>
      <c r="E306" s="20" t="str">
        <f>'Grad Raw Data'!D154</f>
        <v>RIGHT</v>
      </c>
      <c r="F306" s="20">
        <f>'Grad Raw Data'!E154</f>
        <v>7</v>
      </c>
    </row>
    <row r="307" spans="1:6" ht="24.95" customHeight="1" x14ac:dyDescent="0.25">
      <c r="A307" s="20"/>
      <c r="B307" s="20"/>
      <c r="C307" s="20"/>
      <c r="D307" s="20"/>
      <c r="E307" s="20"/>
      <c r="F307" s="20"/>
    </row>
    <row r="308" spans="1:6" ht="24.95" customHeight="1" x14ac:dyDescent="0.25">
      <c r="A308" s="20" t="str">
        <f>'Grad Raw Data'!I155</f>
        <v>Emma</v>
      </c>
      <c r="B308" s="20" t="str">
        <f>'Grad Raw Data'!K155</f>
        <v/>
      </c>
      <c r="C308" s="20" t="str">
        <f>'Grad Raw Data'!H155</f>
        <v>Mahoney</v>
      </c>
      <c r="D308" s="20"/>
      <c r="E308" s="20" t="str">
        <f>'Grad Raw Data'!D155</f>
        <v>RIGHT</v>
      </c>
      <c r="F308" s="20">
        <f>'Grad Raw Data'!E155</f>
        <v>7</v>
      </c>
    </row>
    <row r="309" spans="1:6" ht="24.95" customHeight="1" x14ac:dyDescent="0.25">
      <c r="A309" s="20"/>
      <c r="B309" s="20"/>
      <c r="C309" s="20"/>
      <c r="D309" s="20"/>
      <c r="E309" s="20"/>
      <c r="F309" s="20"/>
    </row>
    <row r="310" spans="1:6" ht="24.95" customHeight="1" x14ac:dyDescent="0.25">
      <c r="A310" s="20" t="str">
        <f>'Grad Raw Data'!I156</f>
        <v>Charles</v>
      </c>
      <c r="B310" s="20" t="str">
        <f>'Grad Raw Data'!K156</f>
        <v/>
      </c>
      <c r="C310" s="20" t="str">
        <f>'Grad Raw Data'!H156</f>
        <v>Maness</v>
      </c>
      <c r="D310" s="20"/>
      <c r="E310" s="20" t="str">
        <f>'Grad Raw Data'!D156</f>
        <v>RIGHT</v>
      </c>
      <c r="F310" s="20">
        <f>'Grad Raw Data'!E156</f>
        <v>7</v>
      </c>
    </row>
    <row r="311" spans="1:6" ht="24.95" customHeight="1" x14ac:dyDescent="0.25">
      <c r="A311" s="20"/>
      <c r="B311" s="20"/>
      <c r="C311" s="20"/>
      <c r="D311" s="20"/>
      <c r="E311" s="20"/>
      <c r="F311" s="20"/>
    </row>
    <row r="312" spans="1:6" ht="24.95" customHeight="1" x14ac:dyDescent="0.25">
      <c r="A312" s="20" t="str">
        <f>'Grad Raw Data'!I157</f>
        <v>Evan</v>
      </c>
      <c r="B312" s="20" t="str">
        <f>'Grad Raw Data'!K157</f>
        <v/>
      </c>
      <c r="C312" s="20" t="str">
        <f>'Grad Raw Data'!H157</f>
        <v>Manfredi</v>
      </c>
      <c r="D312" s="20"/>
      <c r="E312" s="20" t="str">
        <f>'Grad Raw Data'!D157</f>
        <v>RIGHT</v>
      </c>
      <c r="F312" s="20">
        <f>'Grad Raw Data'!E157</f>
        <v>7</v>
      </c>
    </row>
    <row r="313" spans="1:6" ht="24.95" customHeight="1" x14ac:dyDescent="0.25">
      <c r="A313" s="20"/>
      <c r="B313" s="20"/>
      <c r="C313" s="20"/>
      <c r="D313" s="20"/>
      <c r="E313" s="20"/>
      <c r="F313" s="20"/>
    </row>
    <row r="314" spans="1:6" ht="24.95" customHeight="1" x14ac:dyDescent="0.25">
      <c r="A314" s="20" t="str">
        <f>'Grad Raw Data'!I158</f>
        <v>Syler</v>
      </c>
      <c r="B314" s="20" t="str">
        <f>'Grad Raw Data'!K158</f>
        <v/>
      </c>
      <c r="C314" s="20" t="str">
        <f>'Grad Raw Data'!H158</f>
        <v>Manning</v>
      </c>
      <c r="D314" s="20"/>
      <c r="E314" s="20" t="str">
        <f>'Grad Raw Data'!D158</f>
        <v>RIGHT</v>
      </c>
      <c r="F314" s="20">
        <f>'Grad Raw Data'!E158</f>
        <v>7</v>
      </c>
    </row>
    <row r="315" spans="1:6" ht="24.95" customHeight="1" x14ac:dyDescent="0.25">
      <c r="A315" s="20"/>
      <c r="B315" s="20"/>
      <c r="C315" s="20"/>
      <c r="D315" s="20"/>
      <c r="E315" s="20"/>
      <c r="F315" s="20"/>
    </row>
    <row r="316" spans="1:6" ht="24.95" customHeight="1" x14ac:dyDescent="0.25">
      <c r="A316" s="20" t="str">
        <f>'Grad Raw Data'!I159</f>
        <v>Tyler</v>
      </c>
      <c r="B316" s="20" t="str">
        <f>'Grad Raw Data'!K159</f>
        <v/>
      </c>
      <c r="C316" s="20" t="str">
        <f>'Grad Raw Data'!H159</f>
        <v>Marchlik</v>
      </c>
      <c r="D316" s="20"/>
      <c r="E316" s="20" t="str">
        <f>'Grad Raw Data'!D159</f>
        <v>RIGHT</v>
      </c>
      <c r="F316" s="20">
        <f>'Grad Raw Data'!E159</f>
        <v>7</v>
      </c>
    </row>
    <row r="317" spans="1:6" ht="24.95" customHeight="1" x14ac:dyDescent="0.25">
      <c r="A317" s="20"/>
      <c r="B317" s="20"/>
      <c r="C317" s="20"/>
      <c r="D317" s="20"/>
      <c r="E317" s="20"/>
      <c r="F317" s="20"/>
    </row>
    <row r="318" spans="1:6" ht="24.95" customHeight="1" x14ac:dyDescent="0.25">
      <c r="A318" s="20" t="str">
        <f>'Grad Raw Data'!I160</f>
        <v>Addyson</v>
      </c>
      <c r="B318" s="20" t="str">
        <f>'Grad Raw Data'!K160</f>
        <v>Collette</v>
      </c>
      <c r="C318" s="20" t="str">
        <f>'Grad Raw Data'!H160</f>
        <v>Mathews</v>
      </c>
      <c r="D318" s="20"/>
      <c r="E318" s="20" t="str">
        <f>'Grad Raw Data'!D160</f>
        <v>RIGHT</v>
      </c>
      <c r="F318" s="20">
        <f>'Grad Raw Data'!E160</f>
        <v>7</v>
      </c>
    </row>
    <row r="319" spans="1:6" ht="24.95" customHeight="1" x14ac:dyDescent="0.25">
      <c r="A319" s="20"/>
      <c r="B319" s="20"/>
      <c r="C319" s="20"/>
      <c r="D319" s="20"/>
      <c r="E319" s="20"/>
      <c r="F319" s="20"/>
    </row>
    <row r="320" spans="1:6" ht="24.95" customHeight="1" x14ac:dyDescent="0.25">
      <c r="A320" s="20" t="str">
        <f>'Grad Raw Data'!I161</f>
        <v>Charlie</v>
      </c>
      <c r="B320" s="20" t="str">
        <f>'Grad Raw Data'!K161</f>
        <v/>
      </c>
      <c r="C320" s="20" t="str">
        <f>'Grad Raw Data'!H161</f>
        <v>May</v>
      </c>
      <c r="D320" s="20"/>
      <c r="E320" s="20" t="str">
        <f>'Grad Raw Data'!D161</f>
        <v>RIGHT</v>
      </c>
      <c r="F320" s="20">
        <f>'Grad Raw Data'!E161</f>
        <v>7</v>
      </c>
    </row>
    <row r="321" spans="1:6" ht="24.95" customHeight="1" x14ac:dyDescent="0.25">
      <c r="A321" s="20"/>
      <c r="B321" s="20"/>
      <c r="C321" s="20"/>
      <c r="D321" s="20"/>
      <c r="E321" s="20"/>
      <c r="F321" s="20"/>
    </row>
    <row r="322" spans="1:6" ht="24.95" customHeight="1" x14ac:dyDescent="0.25">
      <c r="A322" s="20" t="str">
        <f>'Grad Raw Data'!I162</f>
        <v>Caleb</v>
      </c>
      <c r="B322" s="20" t="str">
        <f>'Grad Raw Data'!K162</f>
        <v/>
      </c>
      <c r="C322" s="20" t="str">
        <f>'Grad Raw Data'!H162</f>
        <v>McGonagle</v>
      </c>
      <c r="D322" s="20"/>
      <c r="E322" s="20" t="str">
        <f>'Grad Raw Data'!D162</f>
        <v>RIGHT</v>
      </c>
      <c r="F322" s="20">
        <f>'Grad Raw Data'!E162</f>
        <v>7</v>
      </c>
    </row>
    <row r="323" spans="1:6" ht="24.95" customHeight="1" x14ac:dyDescent="0.25">
      <c r="A323" s="20"/>
      <c r="B323" s="20"/>
      <c r="C323" s="20"/>
      <c r="D323" s="20"/>
      <c r="E323" s="20"/>
      <c r="F323" s="20"/>
    </row>
    <row r="324" spans="1:6" ht="24.95" customHeight="1" x14ac:dyDescent="0.25">
      <c r="A324" s="20" t="str">
        <f>'Grad Raw Data'!I163</f>
        <v>Makenna</v>
      </c>
      <c r="B324" s="20" t="str">
        <f>'Grad Raw Data'!K163</f>
        <v/>
      </c>
      <c r="C324" s="20" t="str">
        <f>'Grad Raw Data'!H163</f>
        <v>McGrath</v>
      </c>
      <c r="D324" s="20"/>
      <c r="E324" s="20" t="str">
        <f>'Grad Raw Data'!D163</f>
        <v>LEFT</v>
      </c>
      <c r="F324" s="20">
        <f>'Grad Raw Data'!E163</f>
        <v>7</v>
      </c>
    </row>
    <row r="325" spans="1:6" ht="24.95" customHeight="1" x14ac:dyDescent="0.25">
      <c r="A325" s="20"/>
      <c r="B325" s="20"/>
      <c r="C325" s="20"/>
      <c r="D325" s="20"/>
      <c r="E325" s="20"/>
      <c r="F325" s="20"/>
    </row>
    <row r="326" spans="1:6" ht="24.95" customHeight="1" x14ac:dyDescent="0.25">
      <c r="A326" s="20" t="str">
        <f>'Grad Raw Data'!I164</f>
        <v>Zoe</v>
      </c>
      <c r="B326" s="20" t="str">
        <f>'Grad Raw Data'!K164</f>
        <v/>
      </c>
      <c r="C326" s="20" t="str">
        <f>'Grad Raw Data'!H164</f>
        <v>McLaughlin-Shostak</v>
      </c>
      <c r="D326" s="20"/>
      <c r="E326" s="20" t="str">
        <f>'Grad Raw Data'!D164</f>
        <v>LEFT</v>
      </c>
      <c r="F326" s="20">
        <f>'Grad Raw Data'!E164</f>
        <v>7</v>
      </c>
    </row>
    <row r="327" spans="1:6" ht="24.95" customHeight="1" x14ac:dyDescent="0.25">
      <c r="A327" s="20"/>
      <c r="B327" s="20"/>
      <c r="C327" s="20"/>
      <c r="D327" s="20"/>
      <c r="E327" s="20"/>
      <c r="F327" s="20"/>
    </row>
    <row r="328" spans="1:6" ht="24.95" customHeight="1" x14ac:dyDescent="0.25">
      <c r="A328" s="20" t="str">
        <f>'Grad Raw Data'!I165</f>
        <v>Ella</v>
      </c>
      <c r="B328" s="20" t="str">
        <f>'Grad Raw Data'!K165</f>
        <v/>
      </c>
      <c r="C328" s="20" t="str">
        <f>'Grad Raw Data'!H165</f>
        <v>McMenimen</v>
      </c>
      <c r="D328" s="20"/>
      <c r="E328" s="20" t="str">
        <f>'Grad Raw Data'!D165</f>
        <v>LEFT</v>
      </c>
      <c r="F328" s="20">
        <f>'Grad Raw Data'!E165</f>
        <v>7</v>
      </c>
    </row>
    <row r="329" spans="1:6" ht="24.95" customHeight="1" x14ac:dyDescent="0.25">
      <c r="A329" s="20"/>
      <c r="B329" s="20"/>
      <c r="C329" s="20"/>
      <c r="D329" s="20"/>
      <c r="E329" s="20"/>
      <c r="F329" s="20"/>
    </row>
    <row r="330" spans="1:6" ht="24.95" customHeight="1" x14ac:dyDescent="0.25">
      <c r="A330" s="20" t="str">
        <f>'Grad Raw Data'!I166</f>
        <v>Jack</v>
      </c>
      <c r="B330" s="20" t="str">
        <f>'Grad Raw Data'!K166</f>
        <v/>
      </c>
      <c r="C330" s="20" t="str">
        <f>'Grad Raw Data'!H166</f>
        <v>Melly</v>
      </c>
      <c r="D330" s="20"/>
      <c r="E330" s="20" t="str">
        <f>'Grad Raw Data'!D166</f>
        <v>LEFT</v>
      </c>
      <c r="F330" s="20">
        <f>'Grad Raw Data'!E166</f>
        <v>7</v>
      </c>
    </row>
    <row r="331" spans="1:6" ht="24.95" customHeight="1" x14ac:dyDescent="0.25">
      <c r="A331" s="20"/>
      <c r="B331" s="20"/>
      <c r="C331" s="20"/>
      <c r="D331" s="20"/>
      <c r="E331" s="20"/>
      <c r="F331" s="20"/>
    </row>
    <row r="332" spans="1:6" ht="24.95" customHeight="1" x14ac:dyDescent="0.25">
      <c r="A332" s="20" t="str">
        <f>'Grad Raw Data'!I167</f>
        <v>Alex</v>
      </c>
      <c r="B332" s="20" t="str">
        <f>'Grad Raw Data'!K167</f>
        <v/>
      </c>
      <c r="C332" s="20" t="str">
        <f>'Grad Raw Data'!H167</f>
        <v>Merkle</v>
      </c>
      <c r="D332" s="20"/>
      <c r="E332" s="20" t="str">
        <f>'Grad Raw Data'!D167</f>
        <v>LEFT</v>
      </c>
      <c r="F332" s="20">
        <f>'Grad Raw Data'!E167</f>
        <v>7</v>
      </c>
    </row>
    <row r="333" spans="1:6" ht="24.95" customHeight="1" x14ac:dyDescent="0.25">
      <c r="A333" s="20"/>
      <c r="B333" s="20"/>
      <c r="C333" s="20"/>
      <c r="D333" s="20"/>
      <c r="E333" s="20"/>
      <c r="F333" s="20"/>
    </row>
    <row r="334" spans="1:6" ht="24.95" customHeight="1" x14ac:dyDescent="0.25">
      <c r="A334" s="20" t="str">
        <f>'Grad Raw Data'!I168</f>
        <v>Will</v>
      </c>
      <c r="B334" s="20" t="str">
        <f>'Grad Raw Data'!K168</f>
        <v/>
      </c>
      <c r="C334" s="20" t="str">
        <f>'Grad Raw Data'!H168</f>
        <v>Merkle</v>
      </c>
      <c r="D334" s="20"/>
      <c r="E334" s="20" t="str">
        <f>'Grad Raw Data'!D168</f>
        <v>LEFT</v>
      </c>
      <c r="F334" s="20">
        <f>'Grad Raw Data'!E168</f>
        <v>7</v>
      </c>
    </row>
    <row r="335" spans="1:6" ht="24.95" customHeight="1" x14ac:dyDescent="0.25">
      <c r="A335" s="20"/>
      <c r="B335" s="20"/>
      <c r="C335" s="20"/>
      <c r="D335" s="20"/>
      <c r="E335" s="20"/>
      <c r="F335" s="20"/>
    </row>
    <row r="336" spans="1:6" ht="24.95" customHeight="1" x14ac:dyDescent="0.25">
      <c r="A336" s="20" t="str">
        <f>'Grad Raw Data'!I169</f>
        <v>Gianna</v>
      </c>
      <c r="B336" s="20" t="str">
        <f>'Grad Raw Data'!K169</f>
        <v/>
      </c>
      <c r="C336" s="20" t="str">
        <f>'Grad Raw Data'!H169</f>
        <v>Miceli</v>
      </c>
      <c r="D336" s="20"/>
      <c r="E336" s="20" t="str">
        <f>'Grad Raw Data'!D169</f>
        <v>LEFT</v>
      </c>
      <c r="F336" s="20">
        <f>'Grad Raw Data'!E169</f>
        <v>7</v>
      </c>
    </row>
    <row r="337" spans="1:6" ht="24.95" customHeight="1" x14ac:dyDescent="0.25">
      <c r="A337" s="20"/>
      <c r="B337" s="20"/>
      <c r="C337" s="20"/>
      <c r="D337" s="20"/>
      <c r="E337" s="20"/>
      <c r="F337" s="20"/>
    </row>
    <row r="338" spans="1:6" ht="24.95" customHeight="1" x14ac:dyDescent="0.25">
      <c r="A338" s="20" t="str">
        <f>'Grad Raw Data'!I170</f>
        <v>Karmani</v>
      </c>
      <c r="B338" s="20" t="str">
        <f>'Grad Raw Data'!K170</f>
        <v>Isaiah</v>
      </c>
      <c r="C338" s="20" t="str">
        <f>'Grad Raw Data'!H170</f>
        <v>Mirville</v>
      </c>
      <c r="D338" s="20"/>
      <c r="E338" s="20" t="str">
        <f>'Grad Raw Data'!D170</f>
        <v>LEFT</v>
      </c>
      <c r="F338" s="20">
        <f>'Grad Raw Data'!E170</f>
        <v>7</v>
      </c>
    </row>
    <row r="339" spans="1:6" ht="24.95" customHeight="1" x14ac:dyDescent="0.25">
      <c r="A339" s="20"/>
      <c r="B339" s="20"/>
      <c r="C339" s="20"/>
      <c r="D339" s="20"/>
      <c r="E339" s="20"/>
      <c r="F339" s="20"/>
    </row>
    <row r="340" spans="1:6" ht="24.95" customHeight="1" x14ac:dyDescent="0.25">
      <c r="A340" s="20" t="str">
        <f>'Grad Raw Data'!I171</f>
        <v>Mason</v>
      </c>
      <c r="B340" s="20" t="str">
        <f>'Grad Raw Data'!K171</f>
        <v>Buddy</v>
      </c>
      <c r="C340" s="20" t="str">
        <f>'Grad Raw Data'!H171</f>
        <v>Moll</v>
      </c>
      <c r="D340" s="20"/>
      <c r="E340" s="20" t="str">
        <f>'Grad Raw Data'!D171</f>
        <v>LEFT</v>
      </c>
      <c r="F340" s="20">
        <f>'Grad Raw Data'!E171</f>
        <v>7</v>
      </c>
    </row>
    <row r="341" spans="1:6" ht="24.95" customHeight="1" x14ac:dyDescent="0.25">
      <c r="A341" s="20"/>
      <c r="B341" s="20"/>
      <c r="C341" s="20"/>
      <c r="D341" s="20"/>
      <c r="E341" s="20"/>
      <c r="F341" s="20"/>
    </row>
    <row r="342" spans="1:6" ht="24.95" customHeight="1" x14ac:dyDescent="0.25">
      <c r="A342" s="20" t="str">
        <f>'Grad Raw Data'!I172</f>
        <v>Marcus</v>
      </c>
      <c r="B342" s="20" t="str">
        <f>'Grad Raw Data'!K172</f>
        <v/>
      </c>
      <c r="C342" s="20" t="str">
        <f>'Grad Raw Data'!H172</f>
        <v>Moller</v>
      </c>
      <c r="D342" s="20"/>
      <c r="E342" s="20" t="str">
        <f>'Grad Raw Data'!D172</f>
        <v>LEFT</v>
      </c>
      <c r="F342" s="20">
        <f>'Grad Raw Data'!E172</f>
        <v>7</v>
      </c>
    </row>
    <row r="343" spans="1:6" ht="24.95" customHeight="1" x14ac:dyDescent="0.25">
      <c r="A343" s="20"/>
      <c r="B343" s="20"/>
      <c r="C343" s="20"/>
      <c r="D343" s="20"/>
      <c r="E343" s="20"/>
      <c r="F343" s="20"/>
    </row>
    <row r="344" spans="1:6" ht="24.95" customHeight="1" x14ac:dyDescent="0.25">
      <c r="A344" s="20" t="str">
        <f>'Grad Raw Data'!I173</f>
        <v>Evangeline</v>
      </c>
      <c r="B344" s="20" t="str">
        <f>'Grad Raw Data'!K173</f>
        <v/>
      </c>
      <c r="C344" s="20" t="str">
        <f>'Grad Raw Data'!H173</f>
        <v>Moreira</v>
      </c>
      <c r="D344" s="20"/>
      <c r="E344" s="20" t="str">
        <f>'Grad Raw Data'!D173</f>
        <v>LEFT</v>
      </c>
      <c r="F344" s="20">
        <f>'Grad Raw Data'!E173</f>
        <v>7</v>
      </c>
    </row>
    <row r="345" spans="1:6" ht="24.95" customHeight="1" x14ac:dyDescent="0.25">
      <c r="A345" s="20"/>
      <c r="B345" s="20"/>
      <c r="C345" s="20"/>
      <c r="D345" s="20"/>
      <c r="E345" s="20"/>
      <c r="F345" s="20"/>
    </row>
    <row r="346" spans="1:6" ht="24.95" customHeight="1" x14ac:dyDescent="0.25">
      <c r="A346" s="20" t="str">
        <f>'Grad Raw Data'!I174</f>
        <v>Bobby</v>
      </c>
      <c r="B346" s="20" t="str">
        <f>'Grad Raw Data'!K174</f>
        <v/>
      </c>
      <c r="C346" s="20" t="str">
        <f>'Grad Raw Data'!H174</f>
        <v>Morris</v>
      </c>
      <c r="D346" s="20"/>
      <c r="E346" s="20" t="str">
        <f>'Grad Raw Data'!D174</f>
        <v>LEFT</v>
      </c>
      <c r="F346" s="20">
        <f>'Grad Raw Data'!E174</f>
        <v>7</v>
      </c>
    </row>
    <row r="347" spans="1:6" ht="24.95" customHeight="1" x14ac:dyDescent="0.25">
      <c r="A347" s="20"/>
      <c r="B347" s="20"/>
      <c r="C347" s="20"/>
      <c r="D347" s="20"/>
      <c r="E347" s="20"/>
      <c r="F347" s="20"/>
    </row>
    <row r="348" spans="1:6" ht="24.95" customHeight="1" x14ac:dyDescent="0.25">
      <c r="A348" s="20" t="str">
        <f>'Grad Raw Data'!I175</f>
        <v>Kaiden</v>
      </c>
      <c r="B348" s="20" t="str">
        <f>'Grad Raw Data'!K175</f>
        <v/>
      </c>
      <c r="C348" s="20" t="str">
        <f>'Grad Raw Data'!H175</f>
        <v>Morrison</v>
      </c>
      <c r="D348" s="20"/>
      <c r="E348" s="20" t="str">
        <f>'Grad Raw Data'!D175</f>
        <v>RIGHT</v>
      </c>
      <c r="F348" s="20">
        <f>'Grad Raw Data'!E175</f>
        <v>8</v>
      </c>
    </row>
    <row r="349" spans="1:6" ht="24.95" customHeight="1" x14ac:dyDescent="0.25">
      <c r="A349" s="20"/>
      <c r="B349" s="20"/>
      <c r="C349" s="20"/>
      <c r="D349" s="20"/>
      <c r="E349" s="20"/>
      <c r="F349" s="20"/>
    </row>
    <row r="350" spans="1:6" ht="24.95" customHeight="1" x14ac:dyDescent="0.25">
      <c r="A350" s="20" t="str">
        <f>'Grad Raw Data'!I176</f>
        <v>Abdul</v>
      </c>
      <c r="B350" s="20" t="str">
        <f>'Grad Raw Data'!K176</f>
        <v>Raheem</v>
      </c>
      <c r="C350" s="20" t="str">
        <f>'Grad Raw Data'!H176</f>
        <v>Mughal</v>
      </c>
      <c r="D350" s="20"/>
      <c r="E350" s="20" t="str">
        <f>'Grad Raw Data'!D176</f>
        <v>RIGHT</v>
      </c>
      <c r="F350" s="20">
        <f>'Grad Raw Data'!E176</f>
        <v>8</v>
      </c>
    </row>
    <row r="351" spans="1:6" ht="24.95" customHeight="1" x14ac:dyDescent="0.25">
      <c r="A351" s="20"/>
      <c r="B351" s="20"/>
      <c r="C351" s="20"/>
      <c r="D351" s="20"/>
      <c r="E351" s="20"/>
      <c r="F351" s="20"/>
    </row>
    <row r="352" spans="1:6" ht="24.95" customHeight="1" x14ac:dyDescent="0.25">
      <c r="A352" s="20" t="str">
        <f>'Grad Raw Data'!I177</f>
        <v>William</v>
      </c>
      <c r="B352" s="20" t="str">
        <f>'Grad Raw Data'!K177</f>
        <v/>
      </c>
      <c r="C352" s="20" t="str">
        <f>'Grad Raw Data'!H177</f>
        <v>Muller</v>
      </c>
      <c r="D352" s="20"/>
      <c r="E352" s="20" t="str">
        <f>'Grad Raw Data'!D177</f>
        <v>RIGHT</v>
      </c>
      <c r="F352" s="20">
        <f>'Grad Raw Data'!E177</f>
        <v>8</v>
      </c>
    </row>
    <row r="353" spans="1:6" ht="24.95" customHeight="1" x14ac:dyDescent="0.25">
      <c r="A353" s="20"/>
      <c r="B353" s="20"/>
      <c r="C353" s="20"/>
      <c r="D353" s="20"/>
      <c r="E353" s="20"/>
      <c r="F353" s="20"/>
    </row>
    <row r="354" spans="1:6" ht="24.95" customHeight="1" x14ac:dyDescent="0.25">
      <c r="A354" s="20" t="str">
        <f>'Grad Raw Data'!I178</f>
        <v>Jack</v>
      </c>
      <c r="B354" s="20" t="str">
        <f>'Grad Raw Data'!K178</f>
        <v/>
      </c>
      <c r="C354" s="20" t="str">
        <f>'Grad Raw Data'!H178</f>
        <v>Murphy</v>
      </c>
      <c r="D354" s="20"/>
      <c r="E354" s="20" t="str">
        <f>'Grad Raw Data'!D178</f>
        <v>RIGHT</v>
      </c>
      <c r="F354" s="20">
        <f>'Grad Raw Data'!E178</f>
        <v>8</v>
      </c>
    </row>
    <row r="355" spans="1:6" ht="24.95" customHeight="1" x14ac:dyDescent="0.25">
      <c r="A355" s="20"/>
      <c r="B355" s="20"/>
      <c r="C355" s="20"/>
      <c r="D355" s="20"/>
      <c r="E355" s="20"/>
      <c r="F355" s="20"/>
    </row>
    <row r="356" spans="1:6" ht="24.95" customHeight="1" x14ac:dyDescent="0.25">
      <c r="A356" s="20" t="str">
        <f>'Grad Raw Data'!I179</f>
        <v>Abigail</v>
      </c>
      <c r="B356" s="20" t="str">
        <f>'Grad Raw Data'!K179</f>
        <v/>
      </c>
      <c r="C356" s="20" t="str">
        <f>'Grad Raw Data'!H179</f>
        <v>Nelson</v>
      </c>
      <c r="D356" s="20"/>
      <c r="E356" s="20" t="str">
        <f>'Grad Raw Data'!D179</f>
        <v>RIGHT</v>
      </c>
      <c r="F356" s="20">
        <f>'Grad Raw Data'!E179</f>
        <v>8</v>
      </c>
    </row>
    <row r="357" spans="1:6" ht="24.95" customHeight="1" x14ac:dyDescent="0.25">
      <c r="A357" s="20"/>
      <c r="B357" s="20"/>
      <c r="C357" s="20"/>
      <c r="D357" s="20"/>
      <c r="E357" s="20"/>
      <c r="F357" s="20"/>
    </row>
    <row r="358" spans="1:6" ht="24.95" customHeight="1" x14ac:dyDescent="0.25">
      <c r="A358" s="20" t="str">
        <f>'Grad Raw Data'!I180</f>
        <v>Patience</v>
      </c>
      <c r="B358" s="20" t="str">
        <f>'Grad Raw Data'!K180</f>
        <v/>
      </c>
      <c r="C358" s="20" t="str">
        <f>'Grad Raw Data'!H180</f>
        <v>Nguyen</v>
      </c>
      <c r="D358" s="20"/>
      <c r="E358" s="20" t="str">
        <f>'Grad Raw Data'!D180</f>
        <v>RIGHT</v>
      </c>
      <c r="F358" s="20">
        <f>'Grad Raw Data'!E180</f>
        <v>8</v>
      </c>
    </row>
    <row r="359" spans="1:6" ht="24.95" customHeight="1" x14ac:dyDescent="0.25">
      <c r="A359" s="20"/>
      <c r="B359" s="20"/>
      <c r="C359" s="20"/>
      <c r="D359" s="20"/>
      <c r="E359" s="20"/>
      <c r="F359" s="20"/>
    </row>
    <row r="360" spans="1:6" ht="24.95" customHeight="1" x14ac:dyDescent="0.25">
      <c r="A360" s="20" t="str">
        <f>'Grad Raw Data'!I181</f>
        <v>Charlotte</v>
      </c>
      <c r="B360" s="20" t="str">
        <f>'Grad Raw Data'!K181</f>
        <v/>
      </c>
      <c r="C360" s="20" t="str">
        <f>'Grad Raw Data'!H181</f>
        <v>Nolty</v>
      </c>
      <c r="D360" s="20"/>
      <c r="E360" s="20" t="str">
        <f>'Grad Raw Data'!D181</f>
        <v>RIGHT</v>
      </c>
      <c r="F360" s="20">
        <f>'Grad Raw Data'!E181</f>
        <v>8</v>
      </c>
    </row>
    <row r="361" spans="1:6" ht="24.95" customHeight="1" x14ac:dyDescent="0.25">
      <c r="A361" s="20"/>
      <c r="B361" s="20"/>
      <c r="C361" s="20"/>
      <c r="D361" s="20"/>
      <c r="E361" s="20"/>
      <c r="F361" s="20"/>
    </row>
    <row r="362" spans="1:6" ht="24.95" customHeight="1" x14ac:dyDescent="0.25">
      <c r="A362" s="20" t="str">
        <f>'Grad Raw Data'!I182</f>
        <v>Mackenzie</v>
      </c>
      <c r="B362" s="20" t="str">
        <f>'Grad Raw Data'!K182</f>
        <v/>
      </c>
      <c r="C362" s="20" t="str">
        <f>'Grad Raw Data'!H182</f>
        <v>Norris</v>
      </c>
      <c r="D362" s="20"/>
      <c r="E362" s="20" t="str">
        <f>'Grad Raw Data'!D182</f>
        <v>RIGHT</v>
      </c>
      <c r="F362" s="20">
        <f>'Grad Raw Data'!E182</f>
        <v>8</v>
      </c>
    </row>
    <row r="363" spans="1:6" ht="24.95" customHeight="1" x14ac:dyDescent="0.25">
      <c r="A363" s="20"/>
      <c r="B363" s="20"/>
      <c r="C363" s="20"/>
      <c r="D363" s="20"/>
      <c r="E363" s="20"/>
      <c r="F363" s="20"/>
    </row>
    <row r="364" spans="1:6" ht="24.95" customHeight="1" x14ac:dyDescent="0.25">
      <c r="A364" s="20" t="str">
        <f>'Grad Raw Data'!I183</f>
        <v>Michelle</v>
      </c>
      <c r="B364" s="20" t="str">
        <f>'Grad Raw Data'!K183</f>
        <v/>
      </c>
      <c r="C364" s="20" t="str">
        <f>'Grad Raw Data'!H183</f>
        <v>Ohlson</v>
      </c>
      <c r="D364" s="20"/>
      <c r="E364" s="20" t="str">
        <f>'Grad Raw Data'!D183</f>
        <v>RIGHT</v>
      </c>
      <c r="F364" s="20">
        <f>'Grad Raw Data'!E183</f>
        <v>8</v>
      </c>
    </row>
    <row r="365" spans="1:6" ht="24.95" customHeight="1" x14ac:dyDescent="0.25">
      <c r="A365" s="20"/>
      <c r="B365" s="20"/>
      <c r="C365" s="20"/>
      <c r="D365" s="20"/>
      <c r="E365" s="20"/>
      <c r="F365" s="20"/>
    </row>
    <row r="366" spans="1:6" ht="24.95" customHeight="1" x14ac:dyDescent="0.25">
      <c r="A366" s="20" t="str">
        <f>'Grad Raw Data'!I184</f>
        <v>Natalie</v>
      </c>
      <c r="B366" s="20" t="str">
        <f>'Grad Raw Data'!K184</f>
        <v/>
      </c>
      <c r="C366" s="20" t="str">
        <f>'Grad Raw Data'!H184</f>
        <v>Ortins</v>
      </c>
      <c r="D366" s="20"/>
      <c r="E366" s="20" t="str">
        <f>'Grad Raw Data'!D184</f>
        <v>RIGHT</v>
      </c>
      <c r="F366" s="20">
        <f>'Grad Raw Data'!E184</f>
        <v>8</v>
      </c>
    </row>
    <row r="367" spans="1:6" ht="24.95" customHeight="1" x14ac:dyDescent="0.25">
      <c r="A367" s="20"/>
      <c r="B367" s="20"/>
      <c r="C367" s="20"/>
      <c r="D367" s="20"/>
      <c r="E367" s="20"/>
      <c r="F367" s="20"/>
    </row>
    <row r="368" spans="1:6" ht="24.95" customHeight="1" x14ac:dyDescent="0.25">
      <c r="A368" s="20" t="str">
        <f>'Grad Raw Data'!I185</f>
        <v>Franklin</v>
      </c>
      <c r="B368" s="20" t="str">
        <f>'Grad Raw Data'!K185</f>
        <v/>
      </c>
      <c r="C368" s="20" t="str">
        <f>'Grad Raw Data'!H185</f>
        <v>Ortiz</v>
      </c>
      <c r="D368" s="20"/>
      <c r="E368" s="20" t="str">
        <f>'Grad Raw Data'!D185</f>
        <v>RIGHT</v>
      </c>
      <c r="F368" s="20">
        <f>'Grad Raw Data'!E185</f>
        <v>8</v>
      </c>
    </row>
    <row r="369" spans="1:6" ht="24.95" customHeight="1" x14ac:dyDescent="0.25">
      <c r="A369" s="20"/>
      <c r="B369" s="20"/>
      <c r="C369" s="20"/>
      <c r="D369" s="20"/>
      <c r="E369" s="20"/>
      <c r="F369" s="20"/>
    </row>
    <row r="370" spans="1:6" ht="24.95" customHeight="1" x14ac:dyDescent="0.25">
      <c r="A370" s="20" t="str">
        <f>'Grad Raw Data'!I186</f>
        <v>Isabelle</v>
      </c>
      <c r="B370" s="20" t="str">
        <f>'Grad Raw Data'!K186</f>
        <v>Grace</v>
      </c>
      <c r="C370" s="20" t="str">
        <f>'Grad Raw Data'!H186</f>
        <v>Parent</v>
      </c>
      <c r="D370" s="20"/>
      <c r="E370" s="20" t="str">
        <f>'Grad Raw Data'!D186</f>
        <v>RIGHT</v>
      </c>
      <c r="F370" s="20">
        <f>'Grad Raw Data'!E186</f>
        <v>8</v>
      </c>
    </row>
    <row r="371" spans="1:6" ht="24.95" customHeight="1" x14ac:dyDescent="0.25">
      <c r="A371" s="20"/>
      <c r="B371" s="20"/>
      <c r="C371" s="20"/>
      <c r="D371" s="20"/>
      <c r="E371" s="20"/>
      <c r="F371" s="20"/>
    </row>
    <row r="372" spans="1:6" ht="24.95" customHeight="1" x14ac:dyDescent="0.25">
      <c r="A372" s="20" t="str">
        <f>'Grad Raw Data'!I187</f>
        <v>Saloni</v>
      </c>
      <c r="B372" s="20" t="str">
        <f>'Grad Raw Data'!K187</f>
        <v/>
      </c>
      <c r="C372" s="20" t="str">
        <f>'Grad Raw Data'!H187</f>
        <v>Patel</v>
      </c>
      <c r="D372" s="20"/>
      <c r="E372" s="20" t="str">
        <f>'Grad Raw Data'!D187</f>
        <v>LEFT</v>
      </c>
      <c r="F372" s="20">
        <f>'Grad Raw Data'!E187</f>
        <v>8</v>
      </c>
    </row>
    <row r="373" spans="1:6" ht="24.95" customHeight="1" x14ac:dyDescent="0.25">
      <c r="A373" s="20"/>
      <c r="B373" s="20"/>
      <c r="C373" s="20"/>
      <c r="D373" s="20"/>
      <c r="E373" s="20"/>
      <c r="F373" s="20"/>
    </row>
    <row r="374" spans="1:6" ht="24.95" customHeight="1" x14ac:dyDescent="0.25">
      <c r="A374" s="20" t="str">
        <f>'Grad Raw Data'!I188</f>
        <v>Lerika</v>
      </c>
      <c r="B374" s="20" t="str">
        <f>'Grad Raw Data'!K188</f>
        <v/>
      </c>
      <c r="C374" s="20" t="str">
        <f>'Grad Raw Data'!H188</f>
        <v>Peat</v>
      </c>
      <c r="D374" s="20"/>
      <c r="E374" s="20" t="str">
        <f>'Grad Raw Data'!D188</f>
        <v>LEFT</v>
      </c>
      <c r="F374" s="20">
        <f>'Grad Raw Data'!E188</f>
        <v>8</v>
      </c>
    </row>
    <row r="375" spans="1:6" ht="24.95" customHeight="1" x14ac:dyDescent="0.25">
      <c r="A375" s="20"/>
      <c r="B375" s="20"/>
      <c r="C375" s="20"/>
      <c r="D375" s="20"/>
      <c r="E375" s="20"/>
      <c r="F375" s="20"/>
    </row>
    <row r="376" spans="1:6" ht="24.95" customHeight="1" x14ac:dyDescent="0.25">
      <c r="A376" s="20" t="str">
        <f>'Grad Raw Data'!I189</f>
        <v>Jacob</v>
      </c>
      <c r="B376" s="20" t="str">
        <f>'Grad Raw Data'!K189</f>
        <v/>
      </c>
      <c r="C376" s="20" t="str">
        <f>'Grad Raw Data'!H189</f>
        <v>Petrin</v>
      </c>
      <c r="D376" s="20"/>
      <c r="E376" s="20" t="str">
        <f>'Grad Raw Data'!D189</f>
        <v>LEFT</v>
      </c>
      <c r="F376" s="20">
        <f>'Grad Raw Data'!E189</f>
        <v>8</v>
      </c>
    </row>
    <row r="377" spans="1:6" ht="24.95" customHeight="1" x14ac:dyDescent="0.25">
      <c r="A377" s="20"/>
      <c r="B377" s="20"/>
      <c r="C377" s="20"/>
      <c r="D377" s="20"/>
      <c r="E377" s="20"/>
      <c r="F377" s="20"/>
    </row>
    <row r="378" spans="1:6" ht="24.95" customHeight="1" x14ac:dyDescent="0.25">
      <c r="A378" s="20" t="str">
        <f>'Grad Raw Data'!I190</f>
        <v>Wyatt</v>
      </c>
      <c r="B378" s="20" t="str">
        <f>'Grad Raw Data'!K190</f>
        <v/>
      </c>
      <c r="C378" s="20" t="str">
        <f>'Grad Raw Data'!H190</f>
        <v>Picard</v>
      </c>
      <c r="D378" s="20"/>
      <c r="E378" s="20" t="str">
        <f>'Grad Raw Data'!D190</f>
        <v>LEFT</v>
      </c>
      <c r="F378" s="20">
        <f>'Grad Raw Data'!E190</f>
        <v>8</v>
      </c>
    </row>
    <row r="379" spans="1:6" ht="24.95" customHeight="1" x14ac:dyDescent="0.25">
      <c r="A379" s="20"/>
      <c r="B379" s="20"/>
      <c r="C379" s="20"/>
      <c r="D379" s="20"/>
      <c r="E379" s="20"/>
      <c r="F379" s="20"/>
    </row>
    <row r="380" spans="1:6" ht="24.95" customHeight="1" x14ac:dyDescent="0.25">
      <c r="A380" s="20" t="str">
        <f>'Grad Raw Data'!I191</f>
        <v>Samantha</v>
      </c>
      <c r="B380" s="20" t="str">
        <f>'Grad Raw Data'!K191</f>
        <v/>
      </c>
      <c r="C380" s="20" t="str">
        <f>'Grad Raw Data'!H191</f>
        <v>Pomerantz</v>
      </c>
      <c r="D380" s="20"/>
      <c r="E380" s="20" t="str">
        <f>'Grad Raw Data'!D191</f>
        <v>LEFT</v>
      </c>
      <c r="F380" s="20">
        <f>'Grad Raw Data'!E191</f>
        <v>8</v>
      </c>
    </row>
    <row r="381" spans="1:6" ht="24.95" customHeight="1" x14ac:dyDescent="0.25">
      <c r="A381" s="20"/>
      <c r="B381" s="20"/>
      <c r="C381" s="20"/>
      <c r="D381" s="20"/>
      <c r="E381" s="20"/>
      <c r="F381" s="20"/>
    </row>
    <row r="382" spans="1:6" ht="24.95" customHeight="1" x14ac:dyDescent="0.25">
      <c r="A382" s="20" t="str">
        <f>'Grad Raw Data'!I192</f>
        <v>Shivani</v>
      </c>
      <c r="B382" s="20" t="str">
        <f>'Grad Raw Data'!K192</f>
        <v/>
      </c>
      <c r="C382" s="20" t="str">
        <f>'Grad Raw Data'!H192</f>
        <v>Poudyal</v>
      </c>
      <c r="D382" s="20"/>
      <c r="E382" s="20" t="str">
        <f>'Grad Raw Data'!D192</f>
        <v>LEFT</v>
      </c>
      <c r="F382" s="20">
        <f>'Grad Raw Data'!E192</f>
        <v>8</v>
      </c>
    </row>
    <row r="383" spans="1:6" ht="24.95" customHeight="1" x14ac:dyDescent="0.25">
      <c r="A383" s="20"/>
      <c r="B383" s="20"/>
      <c r="C383" s="20"/>
      <c r="D383" s="20"/>
      <c r="E383" s="20"/>
      <c r="F383" s="20"/>
    </row>
    <row r="384" spans="1:6" ht="24.95" customHeight="1" x14ac:dyDescent="0.25">
      <c r="A384" s="20" t="str">
        <f>'Grad Raw Data'!I193</f>
        <v>Ryan</v>
      </c>
      <c r="B384" s="20" t="str">
        <f>'Grad Raw Data'!K193</f>
        <v/>
      </c>
      <c r="C384" s="20" t="str">
        <f>'Grad Raw Data'!H193</f>
        <v>Pulpi</v>
      </c>
      <c r="D384" s="20"/>
      <c r="E384" s="20" t="str">
        <f>'Grad Raw Data'!D193</f>
        <v>LEFT</v>
      </c>
      <c r="F384" s="20">
        <f>'Grad Raw Data'!E193</f>
        <v>8</v>
      </c>
    </row>
    <row r="385" spans="1:6" ht="24.95" customHeight="1" x14ac:dyDescent="0.25">
      <c r="A385" s="20"/>
      <c r="B385" s="20"/>
      <c r="C385" s="20"/>
      <c r="D385" s="20"/>
      <c r="E385" s="20"/>
      <c r="F385" s="20"/>
    </row>
    <row r="386" spans="1:6" ht="24.95" customHeight="1" x14ac:dyDescent="0.25">
      <c r="A386" s="20" t="str">
        <f>'Grad Raw Data'!I194</f>
        <v>Jessica</v>
      </c>
      <c r="B386" s="20" t="str">
        <f>'Grad Raw Data'!K194</f>
        <v/>
      </c>
      <c r="C386" s="20" t="str">
        <f>'Grad Raw Data'!H194</f>
        <v>Rai</v>
      </c>
      <c r="D386" s="20"/>
      <c r="E386" s="20" t="str">
        <f>'Grad Raw Data'!D194</f>
        <v>LEFT</v>
      </c>
      <c r="F386" s="20">
        <f>'Grad Raw Data'!E194</f>
        <v>8</v>
      </c>
    </row>
    <row r="387" spans="1:6" ht="24.95" customHeight="1" x14ac:dyDescent="0.25">
      <c r="A387" s="20"/>
      <c r="B387" s="20"/>
      <c r="C387" s="20"/>
      <c r="D387" s="20"/>
      <c r="E387" s="20"/>
      <c r="F387" s="20"/>
    </row>
    <row r="388" spans="1:6" ht="24.95" customHeight="1" x14ac:dyDescent="0.25">
      <c r="A388" s="20" t="str">
        <f>'Grad Raw Data'!I195</f>
        <v>Ted</v>
      </c>
      <c r="B388" s="20" t="str">
        <f>'Grad Raw Data'!K195</f>
        <v/>
      </c>
      <c r="C388" s="20" t="str">
        <f>'Grad Raw Data'!H195</f>
        <v>Ravens</v>
      </c>
      <c r="D388" s="20"/>
      <c r="E388" s="20" t="str">
        <f>'Grad Raw Data'!D195</f>
        <v>LEFT</v>
      </c>
      <c r="F388" s="20">
        <f>'Grad Raw Data'!E195</f>
        <v>8</v>
      </c>
    </row>
    <row r="389" spans="1:6" ht="24.95" customHeight="1" x14ac:dyDescent="0.25">
      <c r="A389" s="20"/>
      <c r="B389" s="20"/>
      <c r="C389" s="20"/>
      <c r="D389" s="20"/>
      <c r="E389" s="20"/>
      <c r="F389" s="20"/>
    </row>
    <row r="390" spans="1:6" ht="24.95" customHeight="1" x14ac:dyDescent="0.25">
      <c r="A390" s="20" t="str">
        <f>'Grad Raw Data'!I196</f>
        <v>Lucas</v>
      </c>
      <c r="B390" s="20" t="str">
        <f>'Grad Raw Data'!K196</f>
        <v/>
      </c>
      <c r="C390" s="20" t="str">
        <f>'Grad Raw Data'!H196</f>
        <v>Reis</v>
      </c>
      <c r="D390" s="20"/>
      <c r="E390" s="20" t="str">
        <f>'Grad Raw Data'!D196</f>
        <v>LEFT</v>
      </c>
      <c r="F390" s="20">
        <f>'Grad Raw Data'!E196</f>
        <v>8</v>
      </c>
    </row>
    <row r="391" spans="1:6" ht="24.95" customHeight="1" x14ac:dyDescent="0.25">
      <c r="A391" s="20"/>
      <c r="B391" s="20"/>
      <c r="C391" s="20"/>
      <c r="D391" s="20"/>
      <c r="E391" s="20"/>
      <c r="F391" s="20"/>
    </row>
    <row r="392" spans="1:6" ht="24.95" customHeight="1" x14ac:dyDescent="0.25">
      <c r="A392" s="20" t="str">
        <f>'Grad Raw Data'!I197</f>
        <v>Olivia</v>
      </c>
      <c r="B392" s="20" t="str">
        <f>'Grad Raw Data'!K197</f>
        <v/>
      </c>
      <c r="C392" s="20" t="str">
        <f>'Grad Raw Data'!H197</f>
        <v>Renda</v>
      </c>
      <c r="D392" s="20"/>
      <c r="E392" s="20" t="str">
        <f>'Grad Raw Data'!D197</f>
        <v>LEFT</v>
      </c>
      <c r="F392" s="20">
        <f>'Grad Raw Data'!E197</f>
        <v>8</v>
      </c>
    </row>
    <row r="393" spans="1:6" ht="24.95" customHeight="1" x14ac:dyDescent="0.25">
      <c r="A393" s="20"/>
      <c r="B393" s="20"/>
      <c r="C393" s="20"/>
      <c r="D393" s="20"/>
      <c r="E393" s="20"/>
      <c r="F393" s="20"/>
    </row>
    <row r="394" spans="1:6" ht="24.95" customHeight="1" x14ac:dyDescent="0.25">
      <c r="A394" s="20" t="str">
        <f>'Grad Raw Data'!I198</f>
        <v>Jessica</v>
      </c>
      <c r="B394" s="20" t="str">
        <f>'Grad Raw Data'!K198</f>
        <v/>
      </c>
      <c r="C394" s="20" t="str">
        <f>'Grad Raw Data'!H198</f>
        <v>Richter</v>
      </c>
      <c r="D394" s="20"/>
      <c r="E394" s="20" t="str">
        <f>'Grad Raw Data'!D198</f>
        <v>LEFT</v>
      </c>
      <c r="F394" s="20">
        <f>'Grad Raw Data'!E198</f>
        <v>8</v>
      </c>
    </row>
    <row r="395" spans="1:6" ht="24.95" customHeight="1" x14ac:dyDescent="0.25">
      <c r="A395" s="20"/>
      <c r="B395" s="20"/>
      <c r="C395" s="20"/>
      <c r="D395" s="20"/>
      <c r="E395" s="20"/>
      <c r="F395" s="20"/>
    </row>
    <row r="396" spans="1:6" ht="24.95" customHeight="1" x14ac:dyDescent="0.25">
      <c r="A396" s="20" t="str">
        <f>'Grad Raw Data'!I199</f>
        <v>Charlotte</v>
      </c>
      <c r="B396" s="20" t="str">
        <f>'Grad Raw Data'!K199</f>
        <v/>
      </c>
      <c r="C396" s="20" t="str">
        <f>'Grad Raw Data'!H199</f>
        <v>Robichaud</v>
      </c>
      <c r="D396" s="20"/>
      <c r="E396" s="20" t="str">
        <f>'Grad Raw Data'!D199</f>
        <v>RIGHT</v>
      </c>
      <c r="F396" s="20">
        <f>'Grad Raw Data'!E199</f>
        <v>9</v>
      </c>
    </row>
    <row r="397" spans="1:6" ht="24.95" customHeight="1" x14ac:dyDescent="0.25">
      <c r="A397" s="20"/>
      <c r="B397" s="20"/>
      <c r="C397" s="20"/>
      <c r="D397" s="20"/>
      <c r="E397" s="20"/>
      <c r="F397" s="20"/>
    </row>
    <row r="398" spans="1:6" ht="24.95" customHeight="1" x14ac:dyDescent="0.25">
      <c r="A398" s="20" t="str">
        <f>'Grad Raw Data'!I200</f>
        <v>Derek</v>
      </c>
      <c r="B398" s="20" t="str">
        <f>'Grad Raw Data'!K200</f>
        <v/>
      </c>
      <c r="C398" s="20" t="str">
        <f>'Grad Raw Data'!H200</f>
        <v>Robillard</v>
      </c>
      <c r="D398" s="20"/>
      <c r="E398" s="20" t="str">
        <f>'Grad Raw Data'!D200</f>
        <v>RIGHT</v>
      </c>
      <c r="F398" s="20">
        <f>'Grad Raw Data'!E200</f>
        <v>9</v>
      </c>
    </row>
    <row r="399" spans="1:6" ht="24.95" customHeight="1" x14ac:dyDescent="0.25">
      <c r="A399" s="20"/>
      <c r="B399" s="20"/>
      <c r="C399" s="20"/>
      <c r="D399" s="20"/>
      <c r="E399" s="20"/>
      <c r="F399" s="20"/>
    </row>
    <row r="400" spans="1:6" ht="24.95" customHeight="1" x14ac:dyDescent="0.25">
      <c r="A400" s="20" t="str">
        <f>'Grad Raw Data'!I201</f>
        <v>Isaac</v>
      </c>
      <c r="B400" s="20" t="str">
        <f>'Grad Raw Data'!K201</f>
        <v/>
      </c>
      <c r="C400" s="20" t="str">
        <f>'Grad Raw Data'!H201</f>
        <v>Robinson</v>
      </c>
      <c r="D400" s="20"/>
      <c r="E400" s="20" t="str">
        <f>'Grad Raw Data'!D201</f>
        <v>RIGHT</v>
      </c>
      <c r="F400" s="20">
        <f>'Grad Raw Data'!E201</f>
        <v>9</v>
      </c>
    </row>
    <row r="401" spans="1:6" ht="24.95" customHeight="1" x14ac:dyDescent="0.25">
      <c r="A401" s="20"/>
      <c r="B401" s="20"/>
      <c r="C401" s="20"/>
      <c r="D401" s="20"/>
      <c r="E401" s="20"/>
      <c r="F401" s="20"/>
    </row>
    <row r="402" spans="1:6" ht="24.95" customHeight="1" x14ac:dyDescent="0.25">
      <c r="A402" s="20" t="str">
        <f>'Grad Raw Data'!I202</f>
        <v>Teresa</v>
      </c>
      <c r="B402" s="20" t="str">
        <f>'Grad Raw Data'!K202</f>
        <v/>
      </c>
      <c r="C402" s="20" t="str">
        <f>'Grad Raw Data'!H202</f>
        <v>Rock</v>
      </c>
      <c r="D402" s="20"/>
      <c r="E402" s="20" t="str">
        <f>'Grad Raw Data'!D202</f>
        <v>RIGHT</v>
      </c>
      <c r="F402" s="20">
        <f>'Grad Raw Data'!E202</f>
        <v>9</v>
      </c>
    </row>
    <row r="403" spans="1:6" ht="24.95" customHeight="1" x14ac:dyDescent="0.25">
      <c r="A403" s="20"/>
      <c r="B403" s="20"/>
      <c r="C403" s="20"/>
      <c r="D403" s="20"/>
      <c r="E403" s="20"/>
      <c r="F403" s="20"/>
    </row>
    <row r="404" spans="1:6" ht="24.95" customHeight="1" x14ac:dyDescent="0.25">
      <c r="A404" s="20" t="str">
        <f>'Grad Raw Data'!I203</f>
        <v>James</v>
      </c>
      <c r="B404" s="20" t="str">
        <f>'Grad Raw Data'!K203</f>
        <v/>
      </c>
      <c r="C404" s="20" t="str">
        <f>'Grad Raw Data'!H203</f>
        <v>Rodrigues</v>
      </c>
      <c r="D404" s="20"/>
      <c r="E404" s="20" t="str">
        <f>'Grad Raw Data'!D203</f>
        <v>RIGHT</v>
      </c>
      <c r="F404" s="20">
        <f>'Grad Raw Data'!E203</f>
        <v>9</v>
      </c>
    </row>
    <row r="405" spans="1:6" ht="24.95" customHeight="1" x14ac:dyDescent="0.25">
      <c r="A405" s="20"/>
      <c r="B405" s="20"/>
      <c r="C405" s="20"/>
      <c r="D405" s="20"/>
      <c r="E405" s="20"/>
      <c r="F405" s="20"/>
    </row>
    <row r="406" spans="1:6" ht="24.95" customHeight="1" x14ac:dyDescent="0.25">
      <c r="A406" s="20" t="str">
        <f>'Grad Raw Data'!I204</f>
        <v>Luke</v>
      </c>
      <c r="B406" s="20" t="str">
        <f>'Grad Raw Data'!K204</f>
        <v/>
      </c>
      <c r="C406" s="20" t="str">
        <f>'Grad Raw Data'!H204</f>
        <v>Rogerson</v>
      </c>
      <c r="D406" s="20"/>
      <c r="E406" s="20" t="str">
        <f>'Grad Raw Data'!D204</f>
        <v>RIGHT</v>
      </c>
      <c r="F406" s="20">
        <f>'Grad Raw Data'!E204</f>
        <v>9</v>
      </c>
    </row>
    <row r="407" spans="1:6" ht="24.95" customHeight="1" x14ac:dyDescent="0.25">
      <c r="A407" s="20"/>
      <c r="B407" s="20"/>
      <c r="C407" s="20"/>
      <c r="D407" s="20"/>
      <c r="E407" s="20"/>
      <c r="F407" s="20"/>
    </row>
    <row r="408" spans="1:6" ht="24.95" customHeight="1" x14ac:dyDescent="0.25">
      <c r="A408" s="20" t="str">
        <f>'Grad Raw Data'!I205</f>
        <v>Javian</v>
      </c>
      <c r="B408" s="20" t="str">
        <f>'Grad Raw Data'!K205</f>
        <v/>
      </c>
      <c r="C408" s="20" t="str">
        <f>'Grad Raw Data'!H205</f>
        <v>Rojas</v>
      </c>
      <c r="D408" s="20"/>
      <c r="E408" s="20" t="str">
        <f>'Grad Raw Data'!D205</f>
        <v>RIGHT</v>
      </c>
      <c r="F408" s="20">
        <f>'Grad Raw Data'!E205</f>
        <v>9</v>
      </c>
    </row>
    <row r="409" spans="1:6" ht="24.95" customHeight="1" x14ac:dyDescent="0.25">
      <c r="A409" s="20"/>
      <c r="B409" s="20"/>
      <c r="C409" s="20"/>
      <c r="D409" s="20"/>
      <c r="E409" s="20"/>
      <c r="F409" s="20"/>
    </row>
    <row r="410" spans="1:6" ht="24.95" customHeight="1" x14ac:dyDescent="0.25">
      <c r="A410" s="20" t="str">
        <f>'Grad Raw Data'!I206</f>
        <v>Ellie</v>
      </c>
      <c r="B410" s="20" t="str">
        <f>'Grad Raw Data'!K206</f>
        <v/>
      </c>
      <c r="C410" s="20" t="str">
        <f>'Grad Raw Data'!H206</f>
        <v>Russo</v>
      </c>
      <c r="D410" s="20"/>
      <c r="E410" s="20" t="str">
        <f>'Grad Raw Data'!D206</f>
        <v>RIGHT</v>
      </c>
      <c r="F410" s="20">
        <f>'Grad Raw Data'!E206</f>
        <v>9</v>
      </c>
    </row>
    <row r="411" spans="1:6" ht="24.95" customHeight="1" x14ac:dyDescent="0.25">
      <c r="A411" s="20"/>
      <c r="B411" s="20"/>
      <c r="C411" s="20"/>
      <c r="D411" s="20"/>
      <c r="E411" s="20"/>
      <c r="F411" s="20"/>
    </row>
    <row r="412" spans="1:6" ht="24.95" customHeight="1" x14ac:dyDescent="0.25">
      <c r="A412" s="20" t="str">
        <f>'Grad Raw Data'!I207</f>
        <v>Rejon</v>
      </c>
      <c r="B412" s="20" t="str">
        <f>'Grad Raw Data'!K207</f>
        <v/>
      </c>
      <c r="C412" s="20" t="str">
        <f>'Grad Raw Data'!H207</f>
        <v>Ryland</v>
      </c>
      <c r="D412" s="20"/>
      <c r="E412" s="20" t="str">
        <f>'Grad Raw Data'!D207</f>
        <v>RIGHT</v>
      </c>
      <c r="F412" s="20">
        <f>'Grad Raw Data'!E207</f>
        <v>9</v>
      </c>
    </row>
    <row r="413" spans="1:6" ht="24.95" customHeight="1" x14ac:dyDescent="0.25">
      <c r="A413" s="20"/>
      <c r="B413" s="20"/>
      <c r="C413" s="20"/>
      <c r="D413" s="20"/>
      <c r="E413" s="20"/>
      <c r="F413" s="20"/>
    </row>
    <row r="414" spans="1:6" ht="24.95" customHeight="1" x14ac:dyDescent="0.25">
      <c r="A414" s="20" t="str">
        <f>'Grad Raw Data'!I208</f>
        <v>Lorenzo</v>
      </c>
      <c r="B414" s="20" t="str">
        <f>'Grad Raw Data'!K208</f>
        <v/>
      </c>
      <c r="C414" s="20" t="str">
        <f>'Grad Raw Data'!H208</f>
        <v>Sardinha</v>
      </c>
      <c r="D414" s="20"/>
      <c r="E414" s="20" t="str">
        <f>'Grad Raw Data'!D208</f>
        <v>RIGHT</v>
      </c>
      <c r="F414" s="20">
        <f>'Grad Raw Data'!E208</f>
        <v>9</v>
      </c>
    </row>
    <row r="415" spans="1:6" ht="24.95" customHeight="1" x14ac:dyDescent="0.25">
      <c r="A415" s="20"/>
      <c r="B415" s="20"/>
      <c r="C415" s="20"/>
      <c r="D415" s="20"/>
      <c r="E415" s="20"/>
      <c r="F415" s="20"/>
    </row>
    <row r="416" spans="1:6" ht="24.95" customHeight="1" x14ac:dyDescent="0.25">
      <c r="A416" s="20" t="str">
        <f>'Grad Raw Data'!I209</f>
        <v>Noah</v>
      </c>
      <c r="B416" s="20" t="str">
        <f>'Grad Raw Data'!K209</f>
        <v/>
      </c>
      <c r="C416" s="20" t="str">
        <f>'Grad Raw Data'!H209</f>
        <v>Sarre</v>
      </c>
      <c r="D416" s="20"/>
      <c r="E416" s="20" t="str">
        <f>'Grad Raw Data'!D209</f>
        <v>RIGHT</v>
      </c>
      <c r="F416" s="20">
        <f>'Grad Raw Data'!E209</f>
        <v>9</v>
      </c>
    </row>
    <row r="417" spans="1:6" ht="24.95" customHeight="1" x14ac:dyDescent="0.25">
      <c r="A417" s="20"/>
      <c r="B417" s="20"/>
      <c r="C417" s="20"/>
      <c r="D417" s="20"/>
      <c r="E417" s="20"/>
      <c r="F417" s="20"/>
    </row>
    <row r="418" spans="1:6" ht="24.95" customHeight="1" x14ac:dyDescent="0.25">
      <c r="A418" s="20" t="str">
        <f>'Grad Raw Data'!I210</f>
        <v>Katherine</v>
      </c>
      <c r="B418" s="20" t="str">
        <f>'Grad Raw Data'!K210</f>
        <v/>
      </c>
      <c r="C418" s="20" t="str">
        <f>'Grad Raw Data'!H210</f>
        <v>Savio</v>
      </c>
      <c r="D418" s="20"/>
      <c r="E418" s="20" t="str">
        <f>'Grad Raw Data'!D210</f>
        <v>RIGHT</v>
      </c>
      <c r="F418" s="20">
        <f>'Grad Raw Data'!E210</f>
        <v>9</v>
      </c>
    </row>
    <row r="419" spans="1:6" ht="24.95" customHeight="1" x14ac:dyDescent="0.25">
      <c r="A419" s="20"/>
      <c r="B419" s="20"/>
      <c r="C419" s="20"/>
      <c r="D419" s="20"/>
      <c r="E419" s="20"/>
      <c r="F419" s="20"/>
    </row>
    <row r="420" spans="1:6" ht="24.95" customHeight="1" x14ac:dyDescent="0.25">
      <c r="A420" s="20" t="str">
        <f>'Grad Raw Data'!I211</f>
        <v>Megan</v>
      </c>
      <c r="B420" s="20" t="str">
        <f>'Grad Raw Data'!K211</f>
        <v/>
      </c>
      <c r="C420" s="20" t="str">
        <f>'Grad Raw Data'!H211</f>
        <v>Scales</v>
      </c>
      <c r="D420" s="20"/>
      <c r="E420" s="20" t="str">
        <f>'Grad Raw Data'!D211</f>
        <v>LEFT</v>
      </c>
      <c r="F420" s="20">
        <f>'Grad Raw Data'!E211</f>
        <v>9</v>
      </c>
    </row>
    <row r="421" spans="1:6" ht="24.95" customHeight="1" x14ac:dyDescent="0.25">
      <c r="A421" s="20"/>
      <c r="B421" s="20"/>
      <c r="C421" s="20"/>
      <c r="D421" s="20"/>
      <c r="E421" s="20"/>
      <c r="F421" s="20"/>
    </row>
    <row r="422" spans="1:6" ht="24.95" customHeight="1" x14ac:dyDescent="0.25">
      <c r="A422" s="20" t="str">
        <f>'Grad Raw Data'!I212</f>
        <v>Sophie</v>
      </c>
      <c r="B422" s="20" t="str">
        <f>'Grad Raw Data'!K212</f>
        <v/>
      </c>
      <c r="C422" s="20" t="str">
        <f>'Grad Raw Data'!H212</f>
        <v>Schrager</v>
      </c>
      <c r="D422" s="20"/>
      <c r="E422" s="20" t="str">
        <f>'Grad Raw Data'!D212</f>
        <v>LEFT</v>
      </c>
      <c r="F422" s="20">
        <f>'Grad Raw Data'!E212</f>
        <v>9</v>
      </c>
    </row>
    <row r="423" spans="1:6" ht="24.95" customHeight="1" x14ac:dyDescent="0.25">
      <c r="A423" s="20"/>
      <c r="B423" s="20"/>
      <c r="C423" s="20"/>
      <c r="D423" s="20"/>
      <c r="E423" s="20"/>
      <c r="F423" s="20"/>
    </row>
    <row r="424" spans="1:6" ht="24.95" customHeight="1" x14ac:dyDescent="0.25">
      <c r="A424" s="20" t="str">
        <f>'Grad Raw Data'!I213</f>
        <v>Rylie</v>
      </c>
      <c r="B424" s="20" t="str">
        <f>'Grad Raw Data'!K213</f>
        <v/>
      </c>
      <c r="C424" s="20" t="str">
        <f>'Grad Raw Data'!H213</f>
        <v>Schultz</v>
      </c>
      <c r="D424" s="20"/>
      <c r="E424" s="20" t="str">
        <f>'Grad Raw Data'!D213</f>
        <v>LEFT</v>
      </c>
      <c r="F424" s="20">
        <f>'Grad Raw Data'!E213</f>
        <v>9</v>
      </c>
    </row>
    <row r="425" spans="1:6" ht="24.95" customHeight="1" x14ac:dyDescent="0.25">
      <c r="A425" s="20"/>
      <c r="B425" s="20"/>
      <c r="C425" s="20"/>
      <c r="D425" s="20"/>
      <c r="E425" s="20"/>
      <c r="F425" s="20"/>
    </row>
    <row r="426" spans="1:6" ht="24.95" customHeight="1" x14ac:dyDescent="0.25">
      <c r="A426" s="20" t="str">
        <f>'Grad Raw Data'!I214</f>
        <v>Madeline</v>
      </c>
      <c r="B426" s="20" t="str">
        <f>'Grad Raw Data'!K214</f>
        <v/>
      </c>
      <c r="C426" s="20" t="str">
        <f>'Grad Raw Data'!H214</f>
        <v>Scully</v>
      </c>
      <c r="D426" s="20"/>
      <c r="E426" s="20" t="str">
        <f>'Grad Raw Data'!D214</f>
        <v>LEFT</v>
      </c>
      <c r="F426" s="20">
        <f>'Grad Raw Data'!E214</f>
        <v>9</v>
      </c>
    </row>
    <row r="427" spans="1:6" ht="24.95" customHeight="1" x14ac:dyDescent="0.25">
      <c r="A427" s="20"/>
      <c r="B427" s="20"/>
      <c r="C427" s="20"/>
      <c r="D427" s="20"/>
      <c r="E427" s="20"/>
      <c r="F427" s="20"/>
    </row>
    <row r="428" spans="1:6" ht="24.95" customHeight="1" x14ac:dyDescent="0.25">
      <c r="A428" s="20" t="str">
        <f>'Grad Raw Data'!I215</f>
        <v>Sachi</v>
      </c>
      <c r="B428" s="20" t="str">
        <f>'Grad Raw Data'!K215</f>
        <v/>
      </c>
      <c r="C428" s="20" t="str">
        <f>'Grad Raw Data'!H215</f>
        <v>Selvakumar</v>
      </c>
      <c r="D428" s="20"/>
      <c r="E428" s="20" t="str">
        <f>'Grad Raw Data'!D215</f>
        <v>LEFT</v>
      </c>
      <c r="F428" s="20">
        <f>'Grad Raw Data'!E215</f>
        <v>9</v>
      </c>
    </row>
    <row r="429" spans="1:6" ht="24.95" customHeight="1" x14ac:dyDescent="0.25">
      <c r="A429" s="20"/>
      <c r="B429" s="20"/>
      <c r="C429" s="20"/>
      <c r="D429" s="20"/>
      <c r="E429" s="20"/>
      <c r="F429" s="20"/>
    </row>
    <row r="430" spans="1:6" ht="24.95" customHeight="1" x14ac:dyDescent="0.25">
      <c r="A430" s="20" t="str">
        <f>'Grad Raw Data'!I216</f>
        <v>Katie</v>
      </c>
      <c r="B430" s="20" t="str">
        <f>'Grad Raw Data'!K216</f>
        <v/>
      </c>
      <c r="C430" s="20" t="str">
        <f>'Grad Raw Data'!H216</f>
        <v>Severance</v>
      </c>
      <c r="D430" s="20"/>
      <c r="E430" s="20" t="str">
        <f>'Grad Raw Data'!D216</f>
        <v>LEFT</v>
      </c>
      <c r="F430" s="20">
        <f>'Grad Raw Data'!E216</f>
        <v>9</v>
      </c>
    </row>
    <row r="431" spans="1:6" ht="24.95" customHeight="1" x14ac:dyDescent="0.25">
      <c r="A431" s="20"/>
      <c r="B431" s="20"/>
      <c r="C431" s="20"/>
      <c r="D431" s="20"/>
      <c r="E431" s="20"/>
      <c r="F431" s="20"/>
    </row>
    <row r="432" spans="1:6" ht="24.95" customHeight="1" x14ac:dyDescent="0.25">
      <c r="A432" s="20" t="str">
        <f>'Grad Raw Data'!I217</f>
        <v>Annabelle</v>
      </c>
      <c r="B432" s="20" t="str">
        <f>'Grad Raw Data'!K217</f>
        <v/>
      </c>
      <c r="C432" s="20" t="str">
        <f>'Grad Raw Data'!H217</f>
        <v>Shanley</v>
      </c>
      <c r="D432" s="20"/>
      <c r="E432" s="20" t="str">
        <f>'Grad Raw Data'!D217</f>
        <v>LEFT</v>
      </c>
      <c r="F432" s="20">
        <f>'Grad Raw Data'!E217</f>
        <v>9</v>
      </c>
    </row>
    <row r="433" spans="1:6" ht="24.95" customHeight="1" x14ac:dyDescent="0.25">
      <c r="A433" s="20"/>
      <c r="B433" s="20"/>
      <c r="C433" s="20"/>
      <c r="D433" s="20"/>
      <c r="E433" s="20"/>
      <c r="F433" s="20"/>
    </row>
    <row r="434" spans="1:6" ht="24.95" customHeight="1" x14ac:dyDescent="0.25">
      <c r="A434" s="20" t="str">
        <f>'Grad Raw Data'!I218</f>
        <v>Emme</v>
      </c>
      <c r="B434" s="20" t="str">
        <f>'Grad Raw Data'!K218</f>
        <v/>
      </c>
      <c r="C434" s="20" t="str">
        <f>'Grad Raw Data'!H218</f>
        <v>Shediac</v>
      </c>
      <c r="D434" s="20"/>
      <c r="E434" s="20" t="str">
        <f>'Grad Raw Data'!D218</f>
        <v>LEFT</v>
      </c>
      <c r="F434" s="20">
        <f>'Grad Raw Data'!E218</f>
        <v>9</v>
      </c>
    </row>
    <row r="435" spans="1:6" ht="24.95" customHeight="1" x14ac:dyDescent="0.25">
      <c r="A435" s="20"/>
      <c r="B435" s="20"/>
      <c r="C435" s="20"/>
      <c r="D435" s="20"/>
      <c r="E435" s="20"/>
      <c r="F435" s="20"/>
    </row>
    <row r="436" spans="1:6" ht="24.95" customHeight="1" x14ac:dyDescent="0.25">
      <c r="A436" s="20" t="str">
        <f>'Grad Raw Data'!I219</f>
        <v>Allison</v>
      </c>
      <c r="B436" s="20" t="str">
        <f>'Grad Raw Data'!K219</f>
        <v>Claire</v>
      </c>
      <c r="C436" s="20" t="str">
        <f>'Grad Raw Data'!H219</f>
        <v>Shindelman</v>
      </c>
      <c r="D436" s="20"/>
      <c r="E436" s="20" t="str">
        <f>'Grad Raw Data'!D219</f>
        <v>LEFT</v>
      </c>
      <c r="F436" s="20">
        <f>'Grad Raw Data'!E219</f>
        <v>9</v>
      </c>
    </row>
    <row r="437" spans="1:6" ht="24.95" customHeight="1" x14ac:dyDescent="0.25">
      <c r="A437" s="20"/>
      <c r="B437" s="20"/>
      <c r="C437" s="20"/>
      <c r="D437" s="20"/>
      <c r="E437" s="20"/>
      <c r="F437" s="20"/>
    </row>
    <row r="438" spans="1:6" ht="24.95" customHeight="1" x14ac:dyDescent="0.25">
      <c r="A438" s="20" t="str">
        <f>'Grad Raw Data'!I220</f>
        <v>John</v>
      </c>
      <c r="B438" s="20" t="str">
        <f>'Grad Raw Data'!K220</f>
        <v>Paul</v>
      </c>
      <c r="C438" s="20" t="str">
        <f>'Grad Raw Data'!H220</f>
        <v>Siciliano</v>
      </c>
      <c r="D438" s="20"/>
      <c r="E438" s="20" t="str">
        <f>'Grad Raw Data'!D220</f>
        <v>LEFT</v>
      </c>
      <c r="F438" s="20">
        <f>'Grad Raw Data'!E220</f>
        <v>9</v>
      </c>
    </row>
    <row r="439" spans="1:6" ht="24.95" customHeight="1" x14ac:dyDescent="0.25">
      <c r="A439" s="20"/>
      <c r="B439" s="20"/>
      <c r="C439" s="20"/>
      <c r="D439" s="20"/>
      <c r="E439" s="20"/>
      <c r="F439" s="20"/>
    </row>
    <row r="440" spans="1:6" ht="24.95" customHeight="1" x14ac:dyDescent="0.25">
      <c r="A440" s="20" t="str">
        <f>'Grad Raw Data'!I221</f>
        <v>Owen</v>
      </c>
      <c r="B440" s="20" t="str">
        <f>'Grad Raw Data'!K221</f>
        <v/>
      </c>
      <c r="C440" s="20" t="str">
        <f>'Grad Raw Data'!H221</f>
        <v>Sinclair</v>
      </c>
      <c r="D440" s="20"/>
      <c r="E440" s="20" t="str">
        <f>'Grad Raw Data'!D221</f>
        <v>LEFT</v>
      </c>
      <c r="F440" s="20">
        <f>'Grad Raw Data'!E221</f>
        <v>9</v>
      </c>
    </row>
    <row r="441" spans="1:6" ht="24.95" customHeight="1" x14ac:dyDescent="0.25">
      <c r="A441" s="20"/>
      <c r="B441" s="20"/>
      <c r="C441" s="20"/>
      <c r="D441" s="20"/>
      <c r="E441" s="20"/>
      <c r="F441" s="20"/>
    </row>
    <row r="442" spans="1:6" ht="24.95" customHeight="1" x14ac:dyDescent="0.25">
      <c r="A442" s="20" t="str">
        <f>'Grad Raw Data'!I222</f>
        <v>Sierra</v>
      </c>
      <c r="B442" s="20" t="str">
        <f>'Grad Raw Data'!K222</f>
        <v/>
      </c>
      <c r="C442" s="20" t="str">
        <f>'Grad Raw Data'!H222</f>
        <v>Skenderian</v>
      </c>
      <c r="D442" s="20"/>
      <c r="E442" s="20" t="str">
        <f>'Grad Raw Data'!D222</f>
        <v>LEFT</v>
      </c>
      <c r="F442" s="20">
        <f>'Grad Raw Data'!E222</f>
        <v>9</v>
      </c>
    </row>
    <row r="443" spans="1:6" ht="24.95" customHeight="1" x14ac:dyDescent="0.25">
      <c r="A443" s="20"/>
      <c r="B443" s="20"/>
      <c r="C443" s="20"/>
      <c r="D443" s="20"/>
      <c r="E443" s="20"/>
      <c r="F443" s="20"/>
    </row>
    <row r="444" spans="1:6" ht="24.95" customHeight="1" x14ac:dyDescent="0.25">
      <c r="A444" s="20" t="str">
        <f>'Grad Raw Data'!I223</f>
        <v>John</v>
      </c>
      <c r="B444" s="20" t="str">
        <f>'Grad Raw Data'!K223</f>
        <v/>
      </c>
      <c r="C444" s="20" t="str">
        <f>'Grad Raw Data'!H223</f>
        <v>Slinn</v>
      </c>
      <c r="D444" s="20"/>
      <c r="E444" s="20" t="str">
        <f>'Grad Raw Data'!D223</f>
        <v>RIGHT</v>
      </c>
      <c r="F444" s="20">
        <f>'Grad Raw Data'!E223</f>
        <v>10</v>
      </c>
    </row>
    <row r="445" spans="1:6" ht="24.95" customHeight="1" x14ac:dyDescent="0.25">
      <c r="A445" s="20"/>
      <c r="B445" s="20"/>
      <c r="C445" s="20"/>
      <c r="D445" s="20"/>
      <c r="E445" s="20"/>
      <c r="F445" s="20"/>
    </row>
    <row r="446" spans="1:6" ht="24.95" customHeight="1" x14ac:dyDescent="0.25">
      <c r="A446" s="20" t="str">
        <f>'Grad Raw Data'!I224</f>
        <v>Julia</v>
      </c>
      <c r="B446" s="20" t="str">
        <f>'Grad Raw Data'!K224</f>
        <v/>
      </c>
      <c r="C446" s="20" t="str">
        <f>'Grad Raw Data'!H224</f>
        <v>Smith</v>
      </c>
      <c r="D446" s="20"/>
      <c r="E446" s="20" t="str">
        <f>'Grad Raw Data'!D224</f>
        <v>RIGHT</v>
      </c>
      <c r="F446" s="20">
        <f>'Grad Raw Data'!E224</f>
        <v>10</v>
      </c>
    </row>
    <row r="447" spans="1:6" ht="24.95" customHeight="1" x14ac:dyDescent="0.25">
      <c r="A447" s="20"/>
      <c r="B447" s="20"/>
      <c r="C447" s="20"/>
      <c r="D447" s="20"/>
      <c r="E447" s="20"/>
      <c r="F447" s="20"/>
    </row>
    <row r="448" spans="1:6" ht="24.95" customHeight="1" x14ac:dyDescent="0.25">
      <c r="A448" s="20" t="str">
        <f>'Grad Raw Data'!I225</f>
        <v>Noah</v>
      </c>
      <c r="B448" s="20" t="str">
        <f>'Grad Raw Data'!K225</f>
        <v/>
      </c>
      <c r="C448" s="20" t="str">
        <f>'Grad Raw Data'!H225</f>
        <v>Snyder</v>
      </c>
      <c r="D448" s="20"/>
      <c r="E448" s="20" t="str">
        <f>'Grad Raw Data'!D225</f>
        <v>RIGHT</v>
      </c>
      <c r="F448" s="20">
        <f>'Grad Raw Data'!E225</f>
        <v>10</v>
      </c>
    </row>
    <row r="449" spans="1:6" ht="24.95" customHeight="1" x14ac:dyDescent="0.25">
      <c r="A449" s="20"/>
      <c r="B449" s="20"/>
      <c r="C449" s="20"/>
      <c r="D449" s="20"/>
      <c r="E449" s="20"/>
      <c r="F449" s="20"/>
    </row>
    <row r="450" spans="1:6" ht="24.95" customHeight="1" x14ac:dyDescent="0.25">
      <c r="A450" s="20" t="str">
        <f>'Grad Raw Data'!I226</f>
        <v>Aaron</v>
      </c>
      <c r="B450" s="20" t="str">
        <f>'Grad Raw Data'!K226</f>
        <v>Sylvan</v>
      </c>
      <c r="C450" s="20" t="str">
        <f>'Grad Raw Data'!H226</f>
        <v>Soto</v>
      </c>
      <c r="D450" s="20"/>
      <c r="E450" s="20" t="str">
        <f>'Grad Raw Data'!D226</f>
        <v>RIGHT</v>
      </c>
      <c r="F450" s="20">
        <f>'Grad Raw Data'!E226</f>
        <v>10</v>
      </c>
    </row>
    <row r="451" spans="1:6" ht="24.95" customHeight="1" x14ac:dyDescent="0.25">
      <c r="A451" s="20"/>
      <c r="B451" s="20"/>
      <c r="C451" s="20"/>
      <c r="D451" s="20"/>
      <c r="E451" s="20"/>
      <c r="F451" s="20"/>
    </row>
    <row r="452" spans="1:6" ht="24.95" customHeight="1" x14ac:dyDescent="0.25">
      <c r="A452" s="20" t="str">
        <f>'Grad Raw Data'!I227</f>
        <v>Andrew</v>
      </c>
      <c r="B452" s="20" t="str">
        <f>'Grad Raw Data'!K227</f>
        <v/>
      </c>
      <c r="C452" s="20" t="str">
        <f>'Grad Raw Data'!H227</f>
        <v>Spencer</v>
      </c>
      <c r="D452" s="20"/>
      <c r="E452" s="20" t="str">
        <f>'Grad Raw Data'!D227</f>
        <v>RIGHT</v>
      </c>
      <c r="F452" s="20">
        <f>'Grad Raw Data'!E227</f>
        <v>10</v>
      </c>
    </row>
    <row r="453" spans="1:6" ht="24.95" customHeight="1" x14ac:dyDescent="0.25">
      <c r="A453" s="20"/>
      <c r="B453" s="20"/>
      <c r="C453" s="20"/>
      <c r="D453" s="20"/>
      <c r="E453" s="20"/>
      <c r="F453" s="20"/>
    </row>
    <row r="454" spans="1:6" ht="24.95" customHeight="1" x14ac:dyDescent="0.25">
      <c r="A454" s="20" t="str">
        <f>'Grad Raw Data'!I228</f>
        <v>Elias</v>
      </c>
      <c r="B454" s="20" t="str">
        <f>'Grad Raw Data'!K228</f>
        <v/>
      </c>
      <c r="C454" s="20" t="str">
        <f>'Grad Raw Data'!H228</f>
        <v>Speros</v>
      </c>
      <c r="D454" s="20"/>
      <c r="E454" s="20" t="str">
        <f>'Grad Raw Data'!D228</f>
        <v>RIGHT</v>
      </c>
      <c r="F454" s="20">
        <f>'Grad Raw Data'!E228</f>
        <v>10</v>
      </c>
    </row>
    <row r="455" spans="1:6" ht="24.95" customHeight="1" x14ac:dyDescent="0.25">
      <c r="A455" s="20"/>
      <c r="B455" s="20"/>
      <c r="C455" s="20"/>
      <c r="D455" s="20"/>
      <c r="E455" s="20"/>
      <c r="F455" s="20"/>
    </row>
    <row r="456" spans="1:6" ht="24.95" customHeight="1" x14ac:dyDescent="0.25">
      <c r="A456" s="20" t="str">
        <f>'Grad Raw Data'!I229</f>
        <v>Ava</v>
      </c>
      <c r="B456" s="20" t="str">
        <f>'Grad Raw Data'!K229</f>
        <v/>
      </c>
      <c r="C456" s="20" t="str">
        <f>'Grad Raw Data'!H229</f>
        <v>Spinazzola</v>
      </c>
      <c r="D456" s="20"/>
      <c r="E456" s="20" t="str">
        <f>'Grad Raw Data'!D229</f>
        <v>RIGHT</v>
      </c>
      <c r="F456" s="20">
        <f>'Grad Raw Data'!E229</f>
        <v>10</v>
      </c>
    </row>
    <row r="457" spans="1:6" ht="24.95" customHeight="1" x14ac:dyDescent="0.25">
      <c r="A457" s="20"/>
      <c r="B457" s="20"/>
      <c r="C457" s="20"/>
      <c r="D457" s="20"/>
      <c r="E457" s="20"/>
      <c r="F457" s="20"/>
    </row>
    <row r="458" spans="1:6" ht="24.95" customHeight="1" x14ac:dyDescent="0.25">
      <c r="A458" s="20" t="str">
        <f>'Grad Raw Data'!I230</f>
        <v>Ava</v>
      </c>
      <c r="B458" s="20" t="str">
        <f>'Grad Raw Data'!K230</f>
        <v/>
      </c>
      <c r="C458" s="20" t="str">
        <f>'Grad Raw Data'!H230</f>
        <v>Staffier</v>
      </c>
      <c r="D458" s="20"/>
      <c r="E458" s="20" t="str">
        <f>'Grad Raw Data'!D230</f>
        <v>RIGHT</v>
      </c>
      <c r="F458" s="20">
        <f>'Grad Raw Data'!E230</f>
        <v>10</v>
      </c>
    </row>
    <row r="459" spans="1:6" ht="24.95" customHeight="1" x14ac:dyDescent="0.25">
      <c r="A459" s="20"/>
      <c r="B459" s="20"/>
      <c r="C459" s="20"/>
      <c r="D459" s="20"/>
      <c r="E459" s="20"/>
      <c r="F459" s="20"/>
    </row>
    <row r="460" spans="1:6" ht="24.95" customHeight="1" x14ac:dyDescent="0.25">
      <c r="A460" s="20" t="str">
        <f>'Grad Raw Data'!I231</f>
        <v>Charlie</v>
      </c>
      <c r="B460" s="20" t="str">
        <f>'Grad Raw Data'!K231</f>
        <v/>
      </c>
      <c r="C460" s="20" t="str">
        <f>'Grad Raw Data'!H231</f>
        <v>Studley</v>
      </c>
      <c r="D460" s="20"/>
      <c r="E460" s="20" t="str">
        <f>'Grad Raw Data'!D231</f>
        <v>RIGHT</v>
      </c>
      <c r="F460" s="20">
        <f>'Grad Raw Data'!E231</f>
        <v>10</v>
      </c>
    </row>
    <row r="461" spans="1:6" ht="24.95" customHeight="1" x14ac:dyDescent="0.25">
      <c r="A461" s="20"/>
      <c r="B461" s="20"/>
      <c r="C461" s="20"/>
      <c r="D461" s="20"/>
      <c r="E461" s="20"/>
      <c r="F461" s="20"/>
    </row>
    <row r="462" spans="1:6" ht="24.95" customHeight="1" x14ac:dyDescent="0.25">
      <c r="A462" s="20" t="str">
        <f>'Grad Raw Data'!I232</f>
        <v>Nolan</v>
      </c>
      <c r="B462" s="20" t="str">
        <f>'Grad Raw Data'!K232</f>
        <v/>
      </c>
      <c r="C462" s="20" t="str">
        <f>'Grad Raw Data'!H232</f>
        <v>Sullivan</v>
      </c>
      <c r="D462" s="20"/>
      <c r="E462" s="20" t="str">
        <f>'Grad Raw Data'!D232</f>
        <v>RIGHT</v>
      </c>
      <c r="F462" s="20">
        <f>'Grad Raw Data'!E232</f>
        <v>10</v>
      </c>
    </row>
    <row r="463" spans="1:6" ht="24.95" customHeight="1" x14ac:dyDescent="0.25">
      <c r="A463" s="20"/>
      <c r="B463" s="20"/>
      <c r="C463" s="20"/>
      <c r="D463" s="20"/>
      <c r="E463" s="20"/>
      <c r="F463" s="20"/>
    </row>
    <row r="464" spans="1:6" ht="24.95" customHeight="1" x14ac:dyDescent="0.25">
      <c r="A464" s="20" t="str">
        <f>'Grad Raw Data'!I233</f>
        <v>Sabrina</v>
      </c>
      <c r="B464" s="20" t="str">
        <f>'Grad Raw Data'!K233</f>
        <v/>
      </c>
      <c r="C464" s="20" t="str">
        <f>'Grad Raw Data'!H233</f>
        <v>Sweat</v>
      </c>
      <c r="D464" s="20"/>
      <c r="E464" s="20" t="str">
        <f>'Grad Raw Data'!D233</f>
        <v>RIGHT</v>
      </c>
      <c r="F464" s="20">
        <f>'Grad Raw Data'!E233</f>
        <v>10</v>
      </c>
    </row>
    <row r="465" spans="1:6" ht="24.95" customHeight="1" x14ac:dyDescent="0.25">
      <c r="A465" s="20"/>
      <c r="B465" s="20"/>
      <c r="C465" s="20"/>
      <c r="D465" s="20"/>
      <c r="E465" s="20"/>
      <c r="F465" s="20"/>
    </row>
    <row r="466" spans="1:6" ht="24.95" customHeight="1" x14ac:dyDescent="0.25">
      <c r="A466" s="20" t="str">
        <f>'Grad Raw Data'!I234</f>
        <v>Brooklynne</v>
      </c>
      <c r="B466" s="20" t="str">
        <f>'Grad Raw Data'!K234</f>
        <v/>
      </c>
      <c r="C466" s="20" t="str">
        <f>'Grad Raw Data'!H234</f>
        <v>Tartarini</v>
      </c>
      <c r="D466" s="20"/>
      <c r="E466" s="20" t="str">
        <f>'Grad Raw Data'!D234</f>
        <v>RIGHT</v>
      </c>
      <c r="F466" s="20">
        <f>'Grad Raw Data'!E234</f>
        <v>10</v>
      </c>
    </row>
    <row r="467" spans="1:6" ht="24.95" customHeight="1" x14ac:dyDescent="0.25">
      <c r="A467" s="20"/>
      <c r="B467" s="20"/>
      <c r="C467" s="20"/>
      <c r="D467" s="20"/>
      <c r="E467" s="20"/>
      <c r="F467" s="20"/>
    </row>
    <row r="468" spans="1:6" ht="24.95" customHeight="1" x14ac:dyDescent="0.25">
      <c r="A468" s="20" t="str">
        <f>'Grad Raw Data'!I235</f>
        <v>Nina</v>
      </c>
      <c r="B468" s="20" t="str">
        <f>'Grad Raw Data'!K235</f>
        <v/>
      </c>
      <c r="C468" s="20" t="str">
        <f>'Grad Raw Data'!H235</f>
        <v>Taubman</v>
      </c>
      <c r="D468" s="20"/>
      <c r="E468" s="20" t="str">
        <f>'Grad Raw Data'!D235</f>
        <v>LEFT</v>
      </c>
      <c r="F468" s="20">
        <f>'Grad Raw Data'!E235</f>
        <v>10</v>
      </c>
    </row>
    <row r="469" spans="1:6" ht="24.95" customHeight="1" x14ac:dyDescent="0.25">
      <c r="A469" s="20"/>
      <c r="B469" s="20"/>
      <c r="C469" s="20"/>
      <c r="D469" s="20"/>
      <c r="E469" s="20"/>
      <c r="F469" s="20"/>
    </row>
    <row r="470" spans="1:6" ht="24.95" customHeight="1" x14ac:dyDescent="0.25">
      <c r="A470" s="20" t="str">
        <f>'Grad Raw Data'!I236</f>
        <v>Natalie</v>
      </c>
      <c r="B470" s="20" t="str">
        <f>'Grad Raw Data'!K236</f>
        <v/>
      </c>
      <c r="C470" s="20" t="str">
        <f>'Grad Raw Data'!H236</f>
        <v>Tawadros</v>
      </c>
      <c r="D470" s="20"/>
      <c r="E470" s="20" t="str">
        <f>'Grad Raw Data'!D236</f>
        <v>LEFT</v>
      </c>
      <c r="F470" s="20">
        <f>'Grad Raw Data'!E236</f>
        <v>10</v>
      </c>
    </row>
    <row r="471" spans="1:6" ht="24.95" customHeight="1" x14ac:dyDescent="0.25">
      <c r="A471" s="20"/>
      <c r="B471" s="20"/>
      <c r="C471" s="20"/>
      <c r="D471" s="20"/>
      <c r="E471" s="20"/>
      <c r="F471" s="20"/>
    </row>
    <row r="472" spans="1:6" ht="24.95" customHeight="1" x14ac:dyDescent="0.25">
      <c r="A472" s="20" t="str">
        <f>'Grad Raw Data'!I237</f>
        <v>Samantha</v>
      </c>
      <c r="B472" s="20" t="str">
        <f>'Grad Raw Data'!K237</f>
        <v/>
      </c>
      <c r="C472" s="20" t="str">
        <f>'Grad Raw Data'!H237</f>
        <v>Toomey</v>
      </c>
      <c r="D472" s="20"/>
      <c r="E472" s="20" t="str">
        <f>'Grad Raw Data'!D237</f>
        <v>LEFT</v>
      </c>
      <c r="F472" s="20">
        <f>'Grad Raw Data'!E237</f>
        <v>10</v>
      </c>
    </row>
    <row r="473" spans="1:6" ht="24.95" customHeight="1" x14ac:dyDescent="0.25">
      <c r="A473" s="20"/>
      <c r="B473" s="20"/>
      <c r="C473" s="20"/>
      <c r="D473" s="20"/>
      <c r="E473" s="20"/>
      <c r="F473" s="20"/>
    </row>
    <row r="474" spans="1:6" ht="24.95" customHeight="1" x14ac:dyDescent="0.25">
      <c r="A474" s="20" t="str">
        <f>'Grad Raw Data'!I238</f>
        <v>Alyson</v>
      </c>
      <c r="B474" s="20" t="str">
        <f>'Grad Raw Data'!K238</f>
        <v/>
      </c>
      <c r="C474" s="20" t="str">
        <f>'Grad Raw Data'!H238</f>
        <v>Torrens</v>
      </c>
      <c r="D474" s="20"/>
      <c r="E474" s="20" t="str">
        <f>'Grad Raw Data'!D238</f>
        <v>LEFT</v>
      </c>
      <c r="F474" s="20">
        <f>'Grad Raw Data'!E238</f>
        <v>10</v>
      </c>
    </row>
    <row r="475" spans="1:6" ht="24.95" customHeight="1" x14ac:dyDescent="0.25">
      <c r="A475" s="20"/>
      <c r="B475" s="20"/>
      <c r="C475" s="20"/>
      <c r="D475" s="20"/>
      <c r="E475" s="20"/>
      <c r="F475" s="20"/>
    </row>
    <row r="476" spans="1:6" ht="24.95" customHeight="1" x14ac:dyDescent="0.25">
      <c r="A476" s="20" t="str">
        <f>'Grad Raw Data'!I239</f>
        <v>Franklin</v>
      </c>
      <c r="B476" s="20" t="str">
        <f>'Grad Raw Data'!K239</f>
        <v/>
      </c>
      <c r="C476" s="20" t="str">
        <f>'Grad Raw Data'!H239</f>
        <v>Travassos</v>
      </c>
      <c r="D476" s="20"/>
      <c r="E476" s="20" t="str">
        <f>'Grad Raw Data'!D239</f>
        <v>LEFT</v>
      </c>
      <c r="F476" s="20">
        <f>'Grad Raw Data'!E239</f>
        <v>10</v>
      </c>
    </row>
    <row r="477" spans="1:6" ht="24.95" customHeight="1" x14ac:dyDescent="0.25">
      <c r="A477" s="20"/>
      <c r="B477" s="20"/>
      <c r="C477" s="20"/>
      <c r="D477" s="20"/>
      <c r="E477" s="20"/>
      <c r="F477" s="20"/>
    </row>
    <row r="478" spans="1:6" ht="24.95" customHeight="1" x14ac:dyDescent="0.25">
      <c r="A478" s="20" t="str">
        <f>'Grad Raw Data'!I240</f>
        <v>Meredith</v>
      </c>
      <c r="B478" s="20" t="str">
        <f>'Grad Raw Data'!K240</f>
        <v>Lynne</v>
      </c>
      <c r="C478" s="20" t="str">
        <f>'Grad Raw Data'!H240</f>
        <v>Upton</v>
      </c>
      <c r="D478" s="20"/>
      <c r="E478" s="20" t="str">
        <f>'Grad Raw Data'!D240</f>
        <v>LEFT</v>
      </c>
      <c r="F478" s="20">
        <f>'Grad Raw Data'!E240</f>
        <v>10</v>
      </c>
    </row>
    <row r="479" spans="1:6" ht="24.95" customHeight="1" x14ac:dyDescent="0.25">
      <c r="A479" s="20"/>
      <c r="B479" s="20"/>
      <c r="C479" s="20"/>
      <c r="D479" s="20"/>
      <c r="E479" s="20"/>
      <c r="F479" s="20"/>
    </row>
    <row r="480" spans="1:6" ht="24.95" customHeight="1" x14ac:dyDescent="0.25">
      <c r="A480" s="20" t="str">
        <f>'Grad Raw Data'!I241</f>
        <v>Andrew</v>
      </c>
      <c r="B480" s="20" t="str">
        <f>'Grad Raw Data'!K241</f>
        <v>Jacob</v>
      </c>
      <c r="C480" s="20" t="str">
        <f>'Grad Raw Data'!H241</f>
        <v>Valentin</v>
      </c>
      <c r="D480" s="20"/>
      <c r="E480" s="20" t="str">
        <f>'Grad Raw Data'!D241</f>
        <v>LEFT</v>
      </c>
      <c r="F480" s="20">
        <f>'Grad Raw Data'!E241</f>
        <v>10</v>
      </c>
    </row>
    <row r="481" spans="1:6" ht="24.95" customHeight="1" x14ac:dyDescent="0.25">
      <c r="A481" s="20"/>
      <c r="B481" s="20"/>
      <c r="C481" s="20"/>
      <c r="D481" s="20"/>
      <c r="E481" s="20"/>
      <c r="F481" s="20"/>
    </row>
    <row r="482" spans="1:6" ht="24.95" customHeight="1" x14ac:dyDescent="0.25">
      <c r="A482" s="20" t="str">
        <f>'Grad Raw Data'!I242</f>
        <v>Colby</v>
      </c>
      <c r="B482" s="20">
        <f>'Grad Raw Data'!K242</f>
        <v>0</v>
      </c>
      <c r="C482" s="20" t="str">
        <f>'Grad Raw Data'!H242</f>
        <v>Van Horn</v>
      </c>
      <c r="D482" s="20"/>
      <c r="E482" s="20" t="str">
        <f>'Grad Raw Data'!D242</f>
        <v>LEFT</v>
      </c>
      <c r="F482" s="20">
        <f>'Grad Raw Data'!E242</f>
        <v>10</v>
      </c>
    </row>
    <row r="483" spans="1:6" ht="24.95" customHeight="1" x14ac:dyDescent="0.25">
      <c r="A483" s="20"/>
      <c r="B483" s="20"/>
      <c r="C483" s="20"/>
      <c r="D483" s="20"/>
      <c r="E483" s="20"/>
      <c r="F483" s="20"/>
    </row>
    <row r="484" spans="1:6" ht="24.95" customHeight="1" x14ac:dyDescent="0.25">
      <c r="A484" s="20" t="str">
        <f>'Grad Raw Data'!I243</f>
        <v>Katherine</v>
      </c>
      <c r="B484" s="20" t="str">
        <f>'Grad Raw Data'!K243</f>
        <v>Anne</v>
      </c>
      <c r="C484" s="20" t="str">
        <f>'Grad Raw Data'!H243</f>
        <v>Van Magness</v>
      </c>
      <c r="D484" s="20"/>
      <c r="E484" s="20" t="str">
        <f>'Grad Raw Data'!D243</f>
        <v>LEFT</v>
      </c>
      <c r="F484" s="20">
        <f>'Grad Raw Data'!E243</f>
        <v>10</v>
      </c>
    </row>
    <row r="485" spans="1:6" ht="24.95" customHeight="1" x14ac:dyDescent="0.25">
      <c r="A485" s="20"/>
      <c r="B485" s="20"/>
      <c r="C485" s="20"/>
      <c r="D485" s="20"/>
      <c r="E485" s="20"/>
      <c r="F485" s="20"/>
    </row>
    <row r="486" spans="1:6" ht="24.95" customHeight="1" x14ac:dyDescent="0.25">
      <c r="A486" s="20" t="str">
        <f>'Grad Raw Data'!I244</f>
        <v>Justin</v>
      </c>
      <c r="B486" s="20" t="str">
        <f>'Grad Raw Data'!K244</f>
        <v>Thomas</v>
      </c>
      <c r="C486" s="20" t="str">
        <f>'Grad Raw Data'!H244</f>
        <v>Ventura</v>
      </c>
      <c r="D486" s="20"/>
      <c r="E486" s="20" t="str">
        <f>'Grad Raw Data'!D244</f>
        <v>LEFT</v>
      </c>
      <c r="F486" s="20">
        <f>'Grad Raw Data'!E244</f>
        <v>10</v>
      </c>
    </row>
    <row r="487" spans="1:6" ht="24.95" customHeight="1" x14ac:dyDescent="0.25">
      <c r="A487" s="20"/>
      <c r="B487" s="20"/>
      <c r="C487" s="20"/>
      <c r="D487" s="20"/>
      <c r="E487" s="20"/>
      <c r="F487" s="20"/>
    </row>
    <row r="488" spans="1:6" ht="24.95" customHeight="1" x14ac:dyDescent="0.25">
      <c r="A488" s="20" t="str">
        <f>'Grad Raw Data'!I245</f>
        <v>Dario</v>
      </c>
      <c r="B488" s="20" t="str">
        <f>'Grad Raw Data'!K245</f>
        <v/>
      </c>
      <c r="C488" s="20" t="str">
        <f>'Grad Raw Data'!H245</f>
        <v>Viliott</v>
      </c>
      <c r="D488" s="20"/>
      <c r="E488" s="20" t="str">
        <f>'Grad Raw Data'!D245</f>
        <v>LEFT</v>
      </c>
      <c r="F488" s="20">
        <f>'Grad Raw Data'!E245</f>
        <v>10</v>
      </c>
    </row>
    <row r="489" spans="1:6" ht="24.95" customHeight="1" x14ac:dyDescent="0.25">
      <c r="A489" s="20"/>
      <c r="B489" s="20"/>
      <c r="C489" s="20"/>
      <c r="D489" s="20"/>
      <c r="E489" s="20"/>
      <c r="F489" s="20"/>
    </row>
    <row r="490" spans="1:6" ht="24.95" customHeight="1" x14ac:dyDescent="0.25">
      <c r="A490" s="20" t="str">
        <f>'Grad Raw Data'!I246</f>
        <v>Nathan</v>
      </c>
      <c r="B490" s="20" t="str">
        <f>'Grad Raw Data'!K246</f>
        <v/>
      </c>
      <c r="C490" s="20" t="str">
        <f>'Grad Raw Data'!H246</f>
        <v>Vitarisi</v>
      </c>
      <c r="D490" s="20"/>
      <c r="E490" s="20" t="str">
        <f>'Grad Raw Data'!D246</f>
        <v>LEFT</v>
      </c>
      <c r="F490" s="20">
        <f>'Grad Raw Data'!E246</f>
        <v>10</v>
      </c>
    </row>
    <row r="491" spans="1:6" ht="24.95" customHeight="1" x14ac:dyDescent="0.25">
      <c r="A491" s="20"/>
      <c r="B491" s="20"/>
      <c r="C491" s="20"/>
      <c r="D491" s="20"/>
      <c r="E491" s="20"/>
      <c r="F491" s="20"/>
    </row>
    <row r="492" spans="1:6" ht="24.95" customHeight="1" x14ac:dyDescent="0.25">
      <c r="A492" s="20" t="str">
        <f>'Grad Raw Data'!I247</f>
        <v>Jacob</v>
      </c>
      <c r="B492" s="20" t="str">
        <f>'Grad Raw Data'!K247</f>
        <v>Michael</v>
      </c>
      <c r="C492" s="20" t="str">
        <f>'Grad Raw Data'!H247</f>
        <v>Ward</v>
      </c>
      <c r="D492" s="20"/>
      <c r="E492" s="20" t="str">
        <f>'Grad Raw Data'!D247</f>
        <v>RIGHT</v>
      </c>
      <c r="F492" s="20">
        <f>'Grad Raw Data'!E247</f>
        <v>11</v>
      </c>
    </row>
    <row r="493" spans="1:6" ht="24.95" customHeight="1" x14ac:dyDescent="0.25">
      <c r="A493" s="20"/>
      <c r="B493" s="20"/>
      <c r="C493" s="20"/>
      <c r="D493" s="20"/>
      <c r="E493" s="20"/>
      <c r="F493" s="20"/>
    </row>
    <row r="494" spans="1:6" ht="24.95" customHeight="1" x14ac:dyDescent="0.25">
      <c r="A494" s="20" t="str">
        <f>'Grad Raw Data'!I248</f>
        <v>Kyle</v>
      </c>
      <c r="B494" s="20" t="str">
        <f>'Grad Raw Data'!K248</f>
        <v/>
      </c>
      <c r="C494" s="20" t="str">
        <f>'Grad Raw Data'!H248</f>
        <v>Weaver</v>
      </c>
      <c r="D494" s="20"/>
      <c r="E494" s="20" t="str">
        <f>'Grad Raw Data'!D248</f>
        <v>RIGHT</v>
      </c>
      <c r="F494" s="20">
        <f>'Grad Raw Data'!E248</f>
        <v>11</v>
      </c>
    </row>
    <row r="495" spans="1:6" ht="24.95" customHeight="1" x14ac:dyDescent="0.25">
      <c r="A495" s="20"/>
      <c r="B495" s="20"/>
      <c r="C495" s="20"/>
      <c r="D495" s="20"/>
      <c r="E495" s="20"/>
      <c r="F495" s="20"/>
    </row>
    <row r="496" spans="1:6" ht="24.95" customHeight="1" x14ac:dyDescent="0.25">
      <c r="A496" s="20" t="str">
        <f>'Grad Raw Data'!I249</f>
        <v>Tess</v>
      </c>
      <c r="B496" s="20" t="str">
        <f>'Grad Raw Data'!K249</f>
        <v/>
      </c>
      <c r="C496" s="20" t="str">
        <f>'Grad Raw Data'!H249</f>
        <v>Weaver</v>
      </c>
      <c r="D496" s="20"/>
      <c r="E496" s="20" t="str">
        <f>'Grad Raw Data'!D249</f>
        <v>RIGHT</v>
      </c>
      <c r="F496" s="20">
        <f>'Grad Raw Data'!E249</f>
        <v>11</v>
      </c>
    </row>
    <row r="497" spans="1:6" ht="24.95" customHeight="1" x14ac:dyDescent="0.25">
      <c r="A497" s="20"/>
      <c r="B497" s="20"/>
      <c r="C497" s="20"/>
      <c r="D497" s="20"/>
      <c r="E497" s="20"/>
      <c r="F497" s="20"/>
    </row>
    <row r="498" spans="1:6" ht="24.95" customHeight="1" x14ac:dyDescent="0.25">
      <c r="A498" s="20" t="str">
        <f>'Grad Raw Data'!I250</f>
        <v>Leah</v>
      </c>
      <c r="B498" s="20" t="str">
        <f>'Grad Raw Data'!K250</f>
        <v/>
      </c>
      <c r="C498" s="20" t="str">
        <f>'Grad Raw Data'!H250</f>
        <v>Weber</v>
      </c>
      <c r="D498" s="20"/>
      <c r="E498" s="20" t="str">
        <f>'Grad Raw Data'!D250</f>
        <v>RIGHT</v>
      </c>
      <c r="F498" s="20">
        <f>'Grad Raw Data'!E250</f>
        <v>11</v>
      </c>
    </row>
    <row r="499" spans="1:6" ht="24.95" customHeight="1" x14ac:dyDescent="0.25">
      <c r="A499" s="20"/>
      <c r="B499" s="20"/>
      <c r="C499" s="20"/>
      <c r="D499" s="20"/>
      <c r="E499" s="20"/>
      <c r="F499" s="20"/>
    </row>
    <row r="500" spans="1:6" ht="24.95" customHeight="1" x14ac:dyDescent="0.25">
      <c r="A500" s="20" t="str">
        <f>'Grad Raw Data'!I251</f>
        <v>Emma</v>
      </c>
      <c r="B500" s="20" t="str">
        <f>'Grad Raw Data'!K251</f>
        <v/>
      </c>
      <c r="C500" s="20" t="str">
        <f>'Grad Raw Data'!H251</f>
        <v>White</v>
      </c>
      <c r="D500" s="20"/>
      <c r="E500" s="20" t="str">
        <f>'Grad Raw Data'!D251</f>
        <v>RIGHT</v>
      </c>
      <c r="F500" s="20">
        <f>'Grad Raw Data'!E251</f>
        <v>11</v>
      </c>
    </row>
    <row r="501" spans="1:6" ht="24.95" customHeight="1" x14ac:dyDescent="0.25">
      <c r="A501" s="20"/>
      <c r="B501" s="20"/>
      <c r="C501" s="20"/>
      <c r="D501" s="20"/>
      <c r="E501" s="20"/>
      <c r="F501" s="20"/>
    </row>
    <row r="502" spans="1:6" ht="24.95" customHeight="1" x14ac:dyDescent="0.25">
      <c r="A502" s="20" t="str">
        <f>'Grad Raw Data'!I252</f>
        <v>John</v>
      </c>
      <c r="B502" s="20" t="str">
        <f>'Grad Raw Data'!K252</f>
        <v/>
      </c>
      <c r="C502" s="20" t="str">
        <f>'Grad Raw Data'!H252</f>
        <v>Wiggins</v>
      </c>
      <c r="D502" s="20"/>
      <c r="E502" s="20" t="str">
        <f>'Grad Raw Data'!D252</f>
        <v>RIGHT</v>
      </c>
      <c r="F502" s="20">
        <f>'Grad Raw Data'!E252</f>
        <v>11</v>
      </c>
    </row>
    <row r="503" spans="1:6" ht="24.95" customHeight="1" x14ac:dyDescent="0.25">
      <c r="A503" s="20"/>
      <c r="B503" s="20"/>
      <c r="C503" s="20"/>
      <c r="D503" s="20"/>
      <c r="E503" s="20"/>
      <c r="F503" s="20"/>
    </row>
    <row r="504" spans="1:6" ht="24.95" customHeight="1" x14ac:dyDescent="0.25">
      <c r="A504" s="20" t="str">
        <f>'Grad Raw Data'!I253</f>
        <v>Angela</v>
      </c>
      <c r="B504" s="20" t="str">
        <f>'Grad Raw Data'!K253</f>
        <v/>
      </c>
      <c r="C504" s="20" t="str">
        <f>'Grad Raw Data'!H253</f>
        <v>Wilder</v>
      </c>
      <c r="D504" s="20"/>
      <c r="E504" s="20" t="str">
        <f>'Grad Raw Data'!D253</f>
        <v>RIGHT</v>
      </c>
      <c r="F504" s="20">
        <f>'Grad Raw Data'!E253</f>
        <v>11</v>
      </c>
    </row>
    <row r="505" spans="1:6" ht="24.95" customHeight="1" x14ac:dyDescent="0.25">
      <c r="A505" s="20"/>
      <c r="B505" s="20"/>
      <c r="C505" s="20"/>
      <c r="D505" s="20"/>
      <c r="E505" s="20"/>
      <c r="F505" s="20"/>
    </row>
    <row r="506" spans="1:6" ht="24.95" customHeight="1" x14ac:dyDescent="0.25">
      <c r="A506" s="20" t="e">
        <f>'Grad Raw Data'!I254</f>
        <v>#N/A</v>
      </c>
      <c r="B506" s="20" t="e">
        <f>'Grad Raw Data'!K254</f>
        <v>#N/A</v>
      </c>
      <c r="C506" s="20" t="e">
        <f>'Grad Raw Data'!H254</f>
        <v>#N/A</v>
      </c>
      <c r="D506" s="20"/>
      <c r="E506" s="20" t="str">
        <f>'Grad Raw Data'!D254</f>
        <v>RIGHT</v>
      </c>
      <c r="F506" s="20">
        <f>'Grad Raw Data'!E254</f>
        <v>11</v>
      </c>
    </row>
    <row r="507" spans="1:6" ht="24.95" customHeight="1" x14ac:dyDescent="0.25">
      <c r="A507" s="20"/>
      <c r="B507" s="20"/>
      <c r="C507" s="20"/>
      <c r="D507" s="20"/>
      <c r="E507" s="20"/>
      <c r="F507" s="20"/>
    </row>
    <row r="508" spans="1:6" ht="24.95" customHeight="1" x14ac:dyDescent="0.25">
      <c r="A508" s="20" t="e">
        <f>'Grad Raw Data'!I255</f>
        <v>#N/A</v>
      </c>
      <c r="B508" s="20" t="e">
        <f>'Grad Raw Data'!K255</f>
        <v>#N/A</v>
      </c>
      <c r="C508" s="20" t="e">
        <f>'Grad Raw Data'!H255</f>
        <v>#N/A</v>
      </c>
      <c r="D508" s="20"/>
      <c r="E508" s="20" t="str">
        <f>'Grad Raw Data'!D255</f>
        <v>RIGHT</v>
      </c>
      <c r="F508" s="20">
        <f>'Grad Raw Data'!E255</f>
        <v>11</v>
      </c>
    </row>
    <row r="509" spans="1:6" ht="24.95" customHeight="1" x14ac:dyDescent="0.25">
      <c r="A509" s="20"/>
      <c r="B509" s="20"/>
      <c r="C509" s="20"/>
      <c r="D509" s="20"/>
      <c r="E509" s="20"/>
      <c r="F509" s="20"/>
    </row>
    <row r="510" spans="1:6" ht="24.95" customHeight="1" x14ac:dyDescent="0.25">
      <c r="A510" s="20" t="e">
        <f>'Grad Raw Data'!I256</f>
        <v>#N/A</v>
      </c>
      <c r="B510" s="20" t="e">
        <f>'Grad Raw Data'!K256</f>
        <v>#N/A</v>
      </c>
      <c r="C510" s="20" t="e">
        <f>'Grad Raw Data'!H256</f>
        <v>#N/A</v>
      </c>
      <c r="D510" s="20"/>
      <c r="E510" s="20" t="str">
        <f>'Grad Raw Data'!D256</f>
        <v>RIGHT</v>
      </c>
      <c r="F510" s="20">
        <f>'Grad Raw Data'!E256</f>
        <v>11</v>
      </c>
    </row>
    <row r="511" spans="1:6" ht="24.95" customHeight="1" x14ac:dyDescent="0.25">
      <c r="A511" s="20"/>
      <c r="B511" s="20"/>
      <c r="C511" s="20"/>
      <c r="D511" s="20"/>
      <c r="E511" s="20"/>
      <c r="F511" s="20"/>
    </row>
    <row r="512" spans="1:6" ht="24.95" customHeight="1" x14ac:dyDescent="0.25">
      <c r="A512" s="20" t="e">
        <f>'Grad Raw Data'!I257</f>
        <v>#N/A</v>
      </c>
      <c r="B512" s="20" t="e">
        <f>'Grad Raw Data'!K257</f>
        <v>#N/A</v>
      </c>
      <c r="C512" s="20" t="e">
        <f>'Grad Raw Data'!H257</f>
        <v>#N/A</v>
      </c>
      <c r="D512" s="20"/>
      <c r="E512" s="20" t="str">
        <f>'Grad Raw Data'!D257</f>
        <v>RIGHT</v>
      </c>
      <c r="F512" s="20">
        <f>'Grad Raw Data'!E257</f>
        <v>11</v>
      </c>
    </row>
    <row r="513" spans="1:6" ht="24.95" customHeight="1" x14ac:dyDescent="0.25">
      <c r="A513" s="20"/>
      <c r="B513" s="20"/>
      <c r="C513" s="20"/>
      <c r="D513" s="20"/>
      <c r="E513" s="20"/>
      <c r="F513" s="20"/>
    </row>
    <row r="514" spans="1:6" ht="24.95" customHeight="1" x14ac:dyDescent="0.25">
      <c r="A514" s="20" t="e">
        <f>'Grad Raw Data'!I258</f>
        <v>#N/A</v>
      </c>
      <c r="B514" s="20" t="e">
        <f>'Grad Raw Data'!K258</f>
        <v>#N/A</v>
      </c>
      <c r="C514" s="20" t="e">
        <f>'Grad Raw Data'!H258</f>
        <v>#N/A</v>
      </c>
      <c r="D514" s="20"/>
      <c r="E514" s="20" t="str">
        <f>'Grad Raw Data'!D258</f>
        <v>RIGHT</v>
      </c>
      <c r="F514" s="20">
        <f>'Grad Raw Data'!E258</f>
        <v>11</v>
      </c>
    </row>
    <row r="515" spans="1:6" ht="24.95" customHeight="1" x14ac:dyDescent="0.25">
      <c r="A515" s="20"/>
      <c r="B515" s="20"/>
      <c r="C515" s="20"/>
      <c r="D515" s="20"/>
      <c r="E515" s="20"/>
      <c r="F515" s="20"/>
    </row>
    <row r="516" spans="1:6" ht="24.95" customHeight="1" x14ac:dyDescent="0.25">
      <c r="A516" s="20" t="str">
        <f>'Grad Raw Data'!I259</f>
        <v>Aidan</v>
      </c>
      <c r="B516" s="20" t="str">
        <f>'Grad Raw Data'!K259</f>
        <v>Auddie</v>
      </c>
      <c r="C516" s="20" t="str">
        <f>'Grad Raw Data'!H259</f>
        <v>Williams</v>
      </c>
      <c r="D516" s="20"/>
      <c r="E516" s="20" t="str">
        <f>'Grad Raw Data'!D259</f>
        <v>LEFT</v>
      </c>
      <c r="F516" s="20">
        <f>'Grad Raw Data'!E259</f>
        <v>11</v>
      </c>
    </row>
    <row r="517" spans="1:6" ht="24.95" customHeight="1" x14ac:dyDescent="0.25">
      <c r="A517" s="20"/>
      <c r="B517" s="20"/>
      <c r="C517" s="20"/>
      <c r="D517" s="20"/>
      <c r="E517" s="20"/>
      <c r="F517" s="20"/>
    </row>
    <row r="518" spans="1:6" ht="24.95" customHeight="1" x14ac:dyDescent="0.25">
      <c r="A518" s="20" t="str">
        <f>'Grad Raw Data'!I260</f>
        <v>Jamari</v>
      </c>
      <c r="B518" s="20" t="str">
        <f>'Grad Raw Data'!K259</f>
        <v>Auddie</v>
      </c>
      <c r="C518" s="20" t="str">
        <f>'Grad Raw Data'!H260</f>
        <v>Wright</v>
      </c>
      <c r="D518" s="20"/>
      <c r="E518" s="20" t="str">
        <f>'Grad Raw Data'!D260</f>
        <v>LEFT</v>
      </c>
      <c r="F518" s="20">
        <f>'Grad Raw Data'!E260</f>
        <v>11</v>
      </c>
    </row>
    <row r="519" spans="1:6" ht="24.95" customHeight="1" x14ac:dyDescent="0.25">
      <c r="A519" s="20"/>
      <c r="B519" s="20"/>
      <c r="C519" s="20"/>
      <c r="D519" s="20"/>
      <c r="E519" s="20"/>
      <c r="F519" s="20"/>
    </row>
    <row r="520" spans="1:6" ht="24.95" customHeight="1" x14ac:dyDescent="0.25">
      <c r="A520" s="20" t="str">
        <f>'Grad Raw Data'!I261</f>
        <v>Jared</v>
      </c>
      <c r="B520" s="20"/>
      <c r="C520" s="20" t="str">
        <f>'Grad Raw Data'!H261</f>
        <v>Wright</v>
      </c>
      <c r="D520" s="20"/>
      <c r="E520" s="20" t="str">
        <f>'Grad Raw Data'!D262</f>
        <v>LEFT</v>
      </c>
      <c r="F520" s="20">
        <f>'Grad Raw Data'!E262</f>
        <v>11</v>
      </c>
    </row>
    <row r="521" spans="1:6" ht="24.95" customHeight="1" x14ac:dyDescent="0.25">
      <c r="A521" s="20"/>
      <c r="B521" s="20"/>
      <c r="C521" s="20"/>
      <c r="D521" s="20"/>
      <c r="E521" s="20"/>
      <c r="F521" s="20"/>
    </row>
    <row r="522" spans="1:6" ht="24.95" customHeight="1" x14ac:dyDescent="0.25">
      <c r="A522" s="20" t="str">
        <f>'Grad Raw Data'!I262</f>
        <v>Quinn</v>
      </c>
      <c r="B522" s="20"/>
      <c r="C522" s="20" t="str">
        <f>'Grad Raw Data'!H262</f>
        <v>Yandle</v>
      </c>
      <c r="D522" s="20"/>
      <c r="E522" s="20" t="str">
        <f>'Grad Raw Data'!D264</f>
        <v>LEFT</v>
      </c>
      <c r="F522" s="20">
        <f>'Grad Raw Data'!E264</f>
        <v>11</v>
      </c>
    </row>
    <row r="523" spans="1:6" ht="24.95" customHeight="1" x14ac:dyDescent="0.25">
      <c r="A523" s="20"/>
      <c r="B523" s="20"/>
      <c r="C523" s="20"/>
      <c r="D523" s="20"/>
      <c r="E523" s="20"/>
      <c r="F523" s="20"/>
    </row>
    <row r="524" spans="1:6" ht="24.95" customHeight="1" x14ac:dyDescent="0.25">
      <c r="A524" s="20" t="str">
        <f>'Grad Raw Data'!I263</f>
        <v>John</v>
      </c>
      <c r="B524" s="20"/>
      <c r="C524" s="20" t="str">
        <f>'Grad Raw Data'!H263</f>
        <v>Zani</v>
      </c>
      <c r="D524" s="20"/>
      <c r="E524" s="20" t="str">
        <f>'Grad Raw Data'!D266</f>
        <v>LEFT</v>
      </c>
      <c r="F524" s="20">
        <f>'Grad Raw Data'!E266</f>
        <v>11</v>
      </c>
    </row>
    <row r="525" spans="1:6" ht="24.95" customHeight="1" x14ac:dyDescent="0.25">
      <c r="A525" s="20"/>
      <c r="B525" s="20"/>
      <c r="C525" s="20"/>
      <c r="D525" s="20"/>
      <c r="E525" s="20"/>
      <c r="F525" s="20"/>
    </row>
    <row r="526" spans="1:6" ht="24.95" customHeight="1" x14ac:dyDescent="0.25">
      <c r="A526" s="20" t="str">
        <f>'Grad Raw Data'!I264</f>
        <v>Jiayu</v>
      </c>
      <c r="B526" s="20"/>
      <c r="C526" s="20" t="str">
        <f>'Grad Raw Data'!H264</f>
        <v>Zheng</v>
      </c>
      <c r="D526" s="20"/>
      <c r="E526" s="20" t="str">
        <f>'Grad Raw Data'!D268</f>
        <v>LEFT</v>
      </c>
      <c r="F526" s="20">
        <f>'Grad Raw Data'!E268</f>
        <v>11</v>
      </c>
    </row>
    <row r="527" spans="1:6" ht="24.95" customHeight="1" x14ac:dyDescent="0.25">
      <c r="A527" s="20"/>
      <c r="B527" s="20"/>
      <c r="C527" s="20"/>
      <c r="D527" s="20"/>
      <c r="E527" s="20"/>
      <c r="F527" s="20"/>
    </row>
    <row r="528" spans="1:6" ht="24.95" customHeight="1" x14ac:dyDescent="0.25">
      <c r="A528" s="20"/>
      <c r="B528" s="20"/>
      <c r="C528" s="20"/>
      <c r="D528" s="20"/>
      <c r="E528" s="20"/>
      <c r="F528" s="20"/>
    </row>
    <row r="529" spans="1:6" ht="24.95" customHeight="1" x14ac:dyDescent="0.25">
      <c r="A529" s="20"/>
      <c r="B529" s="20"/>
      <c r="C529" s="20"/>
      <c r="D529" s="20"/>
      <c r="E529" s="20"/>
      <c r="F529" s="20"/>
    </row>
    <row r="530" spans="1:6" ht="24.95" customHeight="1" x14ac:dyDescent="0.25">
      <c r="A530" s="20"/>
      <c r="B530" s="20"/>
      <c r="C530" s="20"/>
      <c r="D530" s="20"/>
      <c r="E530" s="20"/>
      <c r="F530" s="20"/>
    </row>
    <row r="531" spans="1:6" ht="24.95" customHeight="1" x14ac:dyDescent="0.25">
      <c r="A531" s="20"/>
      <c r="B531" s="20"/>
      <c r="C531" s="20"/>
      <c r="D531" s="20"/>
      <c r="E531" s="20"/>
      <c r="F531" s="20"/>
    </row>
    <row r="532" spans="1:6" ht="24.95" customHeight="1" x14ac:dyDescent="0.25">
      <c r="A532" s="20"/>
      <c r="B532" s="20"/>
      <c r="C532" s="20"/>
      <c r="D532" s="20"/>
      <c r="E532" s="20"/>
      <c r="F532" s="20"/>
    </row>
    <row r="533" spans="1:6" ht="24.95" customHeight="1" x14ac:dyDescent="0.25">
      <c r="A533" s="20"/>
      <c r="B533" s="20"/>
      <c r="C533" s="20"/>
      <c r="D533" s="20"/>
      <c r="E533" s="20"/>
      <c r="F533" s="20"/>
    </row>
    <row r="534" spans="1:6" ht="24.95" customHeight="1" x14ac:dyDescent="0.25">
      <c r="A534" s="20"/>
      <c r="B534" s="20"/>
      <c r="C534" s="20"/>
      <c r="D534" s="20"/>
      <c r="E534" s="20"/>
      <c r="F534" s="20"/>
    </row>
    <row r="535" spans="1:6" ht="24.95" customHeight="1" x14ac:dyDescent="0.25">
      <c r="A535" s="20"/>
      <c r="B535" s="20"/>
      <c r="C535" s="20"/>
      <c r="D535" s="20"/>
      <c r="E535" s="20"/>
      <c r="F535" s="20"/>
    </row>
    <row r="536" spans="1:6" ht="24.95" customHeight="1" x14ac:dyDescent="0.25">
      <c r="A536" s="20"/>
      <c r="B536" s="20"/>
      <c r="C536" s="20"/>
      <c r="D536" s="20"/>
      <c r="E536" s="20"/>
      <c r="F536" s="20"/>
    </row>
    <row r="537" spans="1:6" ht="24.95" customHeight="1" x14ac:dyDescent="0.25">
      <c r="A537" s="20"/>
      <c r="B537" s="20"/>
      <c r="C537" s="20"/>
      <c r="D537" s="20"/>
      <c r="E537" s="20"/>
      <c r="F537" s="20"/>
    </row>
    <row r="538" spans="1:6" ht="24.95" customHeight="1" x14ac:dyDescent="0.25">
      <c r="A538" s="20"/>
      <c r="B538" s="20"/>
      <c r="C538" s="20"/>
      <c r="D538" s="20"/>
      <c r="E538" s="20"/>
      <c r="F538" s="20"/>
    </row>
    <row r="539" spans="1:6" ht="24.95" customHeight="1" x14ac:dyDescent="0.25">
      <c r="A539" s="20"/>
      <c r="B539" s="20"/>
      <c r="C539" s="20"/>
      <c r="D539" s="20"/>
      <c r="E539" s="20"/>
      <c r="F539" s="20"/>
    </row>
    <row r="540" spans="1:6" ht="24.95" customHeight="1" x14ac:dyDescent="0.25">
      <c r="A540" s="20"/>
      <c r="B540" s="20"/>
      <c r="C540" s="20"/>
      <c r="D540" s="20"/>
      <c r="E540" s="20"/>
      <c r="F540" s="20"/>
    </row>
    <row r="541" spans="1:6" ht="24.95" customHeight="1" x14ac:dyDescent="0.25">
      <c r="A541" s="20"/>
      <c r="B541" s="20"/>
      <c r="C541" s="20"/>
      <c r="D541" s="20"/>
      <c r="E541" s="20"/>
      <c r="F541" s="20"/>
    </row>
    <row r="542" spans="1:6" ht="24.95" customHeight="1" x14ac:dyDescent="0.25">
      <c r="A542" s="20"/>
      <c r="B542" s="20"/>
      <c r="C542" s="20"/>
      <c r="D542" s="20"/>
      <c r="E542" s="20"/>
      <c r="F542" s="20"/>
    </row>
    <row r="543" spans="1:6" ht="24.95" customHeight="1" x14ac:dyDescent="0.25">
      <c r="A543" s="20"/>
      <c r="B543" s="20"/>
      <c r="C543" s="20"/>
      <c r="D543" s="20"/>
      <c r="E543" s="20"/>
      <c r="F543" s="20"/>
    </row>
    <row r="544" spans="1:6" ht="24.95" customHeight="1" x14ac:dyDescent="0.25">
      <c r="A544" s="20"/>
      <c r="B544" s="20"/>
      <c r="C544" s="20"/>
      <c r="D544" s="20"/>
      <c r="E544" s="20"/>
      <c r="F544" s="20"/>
    </row>
    <row r="545" spans="1:6" ht="24.95" customHeight="1" x14ac:dyDescent="0.25">
      <c r="A545" s="20"/>
      <c r="B545" s="20"/>
      <c r="C545" s="20"/>
      <c r="D545" s="20"/>
      <c r="E545" s="20"/>
      <c r="F545" s="20"/>
    </row>
    <row r="546" spans="1:6" ht="24.95" customHeight="1" x14ac:dyDescent="0.25">
      <c r="A546" s="20"/>
      <c r="B546" s="20"/>
      <c r="C546" s="20"/>
      <c r="D546" s="20"/>
      <c r="E546" s="20"/>
      <c r="F546" s="20"/>
    </row>
    <row r="547" spans="1:6" ht="24.95" customHeight="1" x14ac:dyDescent="0.25">
      <c r="A547" s="20"/>
      <c r="B547" s="20"/>
      <c r="C547" s="20"/>
      <c r="D547" s="20"/>
      <c r="E547" s="20"/>
      <c r="F547" s="20"/>
    </row>
    <row r="548" spans="1:6" ht="24.95" customHeight="1" x14ac:dyDescent="0.25">
      <c r="A548" s="20"/>
      <c r="B548" s="20"/>
      <c r="C548" s="20"/>
      <c r="D548" s="20"/>
      <c r="E548" s="20"/>
      <c r="F548" s="20"/>
    </row>
    <row r="549" spans="1:6" ht="24.95" customHeight="1" x14ac:dyDescent="0.25">
      <c r="A549" s="20"/>
      <c r="B549" s="20"/>
      <c r="C549" s="20"/>
      <c r="D549" s="20"/>
      <c r="E549" s="20"/>
      <c r="F549" s="20"/>
    </row>
    <row r="550" spans="1:6" ht="24.95" customHeight="1" x14ac:dyDescent="0.25">
      <c r="A550" s="20"/>
      <c r="B550" s="20"/>
      <c r="C550" s="20"/>
      <c r="D550" s="20"/>
      <c r="E550" s="20"/>
      <c r="F550" s="20"/>
    </row>
    <row r="551" spans="1:6" ht="24.95" customHeight="1" x14ac:dyDescent="0.25">
      <c r="A551" s="20"/>
      <c r="B551" s="20"/>
      <c r="C551" s="20"/>
      <c r="D551" s="20"/>
      <c r="E551" s="20"/>
      <c r="F551" s="20"/>
    </row>
    <row r="552" spans="1:6" ht="24.95" customHeight="1" x14ac:dyDescent="0.25">
      <c r="A552" s="20"/>
      <c r="B552" s="20"/>
      <c r="C552" s="20"/>
      <c r="D552" s="20"/>
      <c r="E552" s="20"/>
      <c r="F552" s="20"/>
    </row>
    <row r="553" spans="1:6" ht="24.95" customHeight="1" x14ac:dyDescent="0.25">
      <c r="A553" s="20"/>
      <c r="B553" s="20"/>
      <c r="C553" s="20"/>
      <c r="D553" s="20"/>
      <c r="E553" s="20"/>
      <c r="F553" s="20"/>
    </row>
    <row r="554" spans="1:6" ht="24.95" customHeight="1" x14ac:dyDescent="0.25">
      <c r="A554" s="20"/>
      <c r="B554" s="20"/>
      <c r="C554" s="20"/>
      <c r="D554" s="20"/>
      <c r="E554" s="20"/>
      <c r="F554" s="20"/>
    </row>
    <row r="555" spans="1:6" ht="24.95" customHeight="1" x14ac:dyDescent="0.25">
      <c r="A555" s="20"/>
      <c r="B555" s="20"/>
      <c r="C555" s="20"/>
      <c r="D555" s="20"/>
      <c r="E555" s="20"/>
      <c r="F555" s="20"/>
    </row>
    <row r="556" spans="1:6" ht="24.95" customHeight="1" x14ac:dyDescent="0.25">
      <c r="A556" s="20"/>
      <c r="B556" s="20"/>
      <c r="C556" s="20"/>
      <c r="D556" s="20"/>
      <c r="E556" s="20"/>
      <c r="F556" s="20"/>
    </row>
    <row r="557" spans="1:6" ht="24.95" customHeight="1" x14ac:dyDescent="0.25">
      <c r="A557" s="20"/>
      <c r="B557" s="20"/>
      <c r="C557" s="20"/>
      <c r="D557" s="20"/>
      <c r="E557" s="20"/>
      <c r="F557" s="20"/>
    </row>
    <row r="558" spans="1:6" ht="24.95" customHeight="1" x14ac:dyDescent="0.25">
      <c r="A558" s="20"/>
      <c r="B558" s="20"/>
      <c r="C558" s="20"/>
      <c r="D558" s="20"/>
      <c r="E558" s="20"/>
      <c r="F558" s="20"/>
    </row>
    <row r="559" spans="1:6" ht="24.95" customHeight="1" x14ac:dyDescent="0.25">
      <c r="A559" s="20"/>
      <c r="B559" s="20"/>
      <c r="C559" s="20"/>
      <c r="D559" s="20"/>
      <c r="E559" s="20"/>
      <c r="F559" s="20"/>
    </row>
    <row r="560" spans="1:6" ht="24.95" customHeight="1" x14ac:dyDescent="0.25">
      <c r="A560" s="20"/>
      <c r="B560" s="20"/>
      <c r="C560" s="20"/>
      <c r="D560" s="20"/>
      <c r="E560" s="20"/>
      <c r="F560" s="20"/>
    </row>
    <row r="561" spans="1:6" ht="24.95" customHeight="1" x14ac:dyDescent="0.25">
      <c r="A561" s="20"/>
      <c r="B561" s="20"/>
      <c r="C561" s="20"/>
      <c r="D561" s="20"/>
      <c r="E561" s="20"/>
      <c r="F561" s="20"/>
    </row>
    <row r="562" spans="1:6" ht="24.95" customHeight="1" x14ac:dyDescent="0.25">
      <c r="A562" s="20"/>
      <c r="B562" s="20"/>
      <c r="C562" s="20"/>
      <c r="D562" s="20"/>
      <c r="E562" s="20"/>
      <c r="F562" s="20"/>
    </row>
    <row r="563" spans="1:6" ht="24.95" customHeight="1" x14ac:dyDescent="0.25">
      <c r="A563" s="20"/>
      <c r="B563" s="20"/>
      <c r="C563" s="20"/>
      <c r="D563" s="20"/>
      <c r="E563" s="20"/>
      <c r="F563" s="20"/>
    </row>
    <row r="564" spans="1:6" ht="24.95" customHeight="1" x14ac:dyDescent="0.25">
      <c r="A564" s="20"/>
      <c r="B564" s="20"/>
      <c r="C564" s="20"/>
      <c r="D564" s="20"/>
      <c r="E564" s="20"/>
      <c r="F564" s="20"/>
    </row>
    <row r="565" spans="1:6" ht="24.95" customHeight="1" x14ac:dyDescent="0.25">
      <c r="A565" s="20"/>
      <c r="B565" s="20"/>
      <c r="C565" s="20"/>
      <c r="D565" s="20"/>
      <c r="E565" s="20"/>
      <c r="F565" s="20"/>
    </row>
    <row r="566" spans="1:6" ht="24.95" customHeight="1" x14ac:dyDescent="0.25">
      <c r="A566" s="20"/>
      <c r="B566" s="20"/>
      <c r="C566" s="20"/>
      <c r="D566" s="20"/>
      <c r="E566" s="20"/>
      <c r="F566" s="20"/>
    </row>
    <row r="567" spans="1:6" ht="24.95" customHeight="1" x14ac:dyDescent="0.25">
      <c r="A567" s="20"/>
      <c r="B567" s="20"/>
      <c r="C567" s="20"/>
      <c r="D567" s="20"/>
      <c r="E567" s="20"/>
      <c r="F567" s="20"/>
    </row>
    <row r="568" spans="1:6" ht="24.95" customHeight="1" x14ac:dyDescent="0.25">
      <c r="A568" s="20"/>
      <c r="B568" s="20"/>
      <c r="C568" s="20"/>
      <c r="D568" s="20"/>
      <c r="E568" s="20"/>
      <c r="F568" s="20"/>
    </row>
    <row r="569" spans="1:6" ht="24.95" customHeight="1" x14ac:dyDescent="0.25">
      <c r="A569" s="20"/>
      <c r="B569" s="20"/>
      <c r="C569" s="20"/>
      <c r="D569" s="20"/>
      <c r="E569" s="20"/>
      <c r="F569" s="20"/>
    </row>
    <row r="570" spans="1:6" ht="24.95" customHeight="1" x14ac:dyDescent="0.25">
      <c r="A570" s="20"/>
      <c r="B570" s="20"/>
      <c r="C570" s="20"/>
      <c r="D570" s="20"/>
      <c r="E570" s="20"/>
      <c r="F570" s="20"/>
    </row>
    <row r="571" spans="1:6" ht="24.95" customHeight="1" x14ac:dyDescent="0.25">
      <c r="A571" s="20"/>
      <c r="B571" s="20"/>
      <c r="C571" s="20"/>
      <c r="D571" s="20"/>
      <c r="E571" s="20"/>
      <c r="F571" s="20"/>
    </row>
    <row r="572" spans="1:6" ht="24.95" customHeight="1" x14ac:dyDescent="0.25">
      <c r="A572" s="20"/>
      <c r="B572" s="20"/>
      <c r="C572" s="20"/>
      <c r="D572" s="20"/>
      <c r="E572" s="20"/>
      <c r="F572" s="20"/>
    </row>
    <row r="573" spans="1:6" ht="24.95" customHeight="1" x14ac:dyDescent="0.25">
      <c r="A573" s="20"/>
      <c r="B573" s="20"/>
      <c r="C573" s="20"/>
      <c r="D573" s="20"/>
      <c r="E573" s="20"/>
      <c r="F573" s="20"/>
    </row>
    <row r="574" spans="1:6" ht="24.95" customHeight="1" x14ac:dyDescent="0.25">
      <c r="A574" s="20"/>
      <c r="B574" s="20"/>
      <c r="C574" s="20"/>
      <c r="D574" s="20"/>
      <c r="E574" s="20"/>
      <c r="F574" s="20"/>
    </row>
    <row r="575" spans="1:6" ht="24.95" customHeight="1" x14ac:dyDescent="0.25">
      <c r="A575" s="20"/>
      <c r="B575" s="20"/>
      <c r="C575" s="20"/>
      <c r="D575" s="20"/>
      <c r="E575" s="20"/>
      <c r="F575" s="20"/>
    </row>
    <row r="576" spans="1:6" ht="24.95" customHeight="1" x14ac:dyDescent="0.25">
      <c r="A576" s="20"/>
      <c r="B576" s="20"/>
      <c r="C576" s="20"/>
      <c r="D576" s="20"/>
      <c r="E576" s="20"/>
      <c r="F576" s="20"/>
    </row>
    <row r="577" spans="1:6" ht="24.95" customHeight="1" x14ac:dyDescent="0.25">
      <c r="A577" s="20"/>
      <c r="B577" s="20"/>
      <c r="C577" s="20"/>
      <c r="D577" s="20"/>
      <c r="E577" s="20"/>
      <c r="F577" s="20"/>
    </row>
    <row r="578" spans="1:6" ht="24.95" customHeight="1" x14ac:dyDescent="0.25">
      <c r="A578" s="20"/>
      <c r="B578" s="20"/>
      <c r="C578" s="20"/>
      <c r="D578" s="20"/>
      <c r="E578" s="20"/>
      <c r="F578" s="20"/>
    </row>
    <row r="579" spans="1:6" ht="24.95" customHeight="1" x14ac:dyDescent="0.25">
      <c r="A579" s="20"/>
      <c r="B579" s="20"/>
      <c r="C579" s="20"/>
      <c r="D579" s="20"/>
      <c r="E579" s="20"/>
      <c r="F579" s="20"/>
    </row>
    <row r="580" spans="1:6" ht="24.95" customHeight="1" x14ac:dyDescent="0.25">
      <c r="A580" s="20"/>
      <c r="B580" s="20"/>
      <c r="C580" s="20"/>
      <c r="D580" s="20"/>
      <c r="E580" s="20"/>
      <c r="F580" s="20"/>
    </row>
    <row r="581" spans="1:6" ht="24.95" customHeight="1" x14ac:dyDescent="0.25">
      <c r="A581" s="20"/>
      <c r="B581" s="20"/>
      <c r="C581" s="20"/>
      <c r="D581" s="20"/>
      <c r="E581" s="20"/>
      <c r="F581" s="20"/>
    </row>
    <row r="582" spans="1:6" ht="24.95" customHeight="1" x14ac:dyDescent="0.25">
      <c r="A582" s="20"/>
      <c r="B582" s="20"/>
      <c r="C582" s="20"/>
      <c r="D582" s="20"/>
      <c r="E582" s="20"/>
      <c r="F582" s="20"/>
    </row>
    <row r="583" spans="1:6" ht="24.95" customHeight="1" x14ac:dyDescent="0.25">
      <c r="A583" s="20"/>
      <c r="B583" s="20"/>
      <c r="C583" s="20"/>
      <c r="D583" s="20"/>
      <c r="E583" s="20"/>
      <c r="F583" s="20"/>
    </row>
    <row r="584" spans="1:6" ht="24.95" customHeight="1" x14ac:dyDescent="0.25">
      <c r="A584" s="20"/>
      <c r="B584" s="20"/>
      <c r="C584" s="20"/>
      <c r="D584" s="20"/>
      <c r="E584" s="20"/>
      <c r="F584" s="20"/>
    </row>
  </sheetData>
  <phoneticPr fontId="3" type="noConversion"/>
  <pageMargins left="0.25" right="0.25" top="0.75" bottom="0.75" header="0.3" footer="0.3"/>
  <pageSetup orientation="portrait" r:id="rId1"/>
  <headerFooter alignWithMargins="0"/>
  <rowBreaks count="24" manualBreakCount="24">
    <brk id="11" max="16383" man="1"/>
    <brk id="35" max="16383" man="1"/>
    <brk id="59" max="16383" man="1"/>
    <brk id="83" max="5" man="1"/>
    <brk id="107" max="5" man="1"/>
    <brk id="131" max="5" man="1"/>
    <brk id="155" max="5" man="1"/>
    <brk id="179" max="5" man="1"/>
    <brk id="203" max="5" man="1"/>
    <brk id="227" max="5" man="1"/>
    <brk id="251" max="5" man="1"/>
    <brk id="275" max="5" man="1"/>
    <brk id="299" max="5" man="1"/>
    <brk id="323" max="5" man="1"/>
    <brk id="347" max="5" man="1"/>
    <brk id="371" max="5" man="1"/>
    <brk id="395" max="5" man="1"/>
    <brk id="419" max="5" man="1"/>
    <brk id="443" max="5" man="1"/>
    <brk id="467" max="5" man="1"/>
    <brk id="491" max="5" man="1"/>
    <brk id="515" max="5" man="1"/>
    <brk id="539" max="5" man="1"/>
    <brk id="563" max="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73"/>
  <sheetViews>
    <sheetView topLeftCell="A228" workbookViewId="0">
      <selection activeCell="I287" sqref="I287"/>
    </sheetView>
  </sheetViews>
  <sheetFormatPr defaultRowHeight="18" x14ac:dyDescent="0.25"/>
  <cols>
    <col min="1" max="1" width="15.5703125" style="25" customWidth="1"/>
    <col min="2" max="2" width="12.42578125" style="26" customWidth="1"/>
    <col min="3" max="4" width="15.140625" style="25" customWidth="1"/>
    <col min="5" max="6" width="9.140625" style="26"/>
    <col min="7" max="7" width="18.28515625" style="25" customWidth="1"/>
    <col min="8" max="8" width="18.140625" style="25" customWidth="1"/>
    <col min="9" max="9" width="11.28515625" style="25" customWidth="1"/>
    <col min="10" max="10" width="9.140625" style="25"/>
    <col min="11" max="16384" width="9.140625" style="24"/>
  </cols>
  <sheetData>
    <row r="1" spans="1:10" s="33" customFormat="1" ht="18.75" thickBot="1" x14ac:dyDescent="0.3">
      <c r="A1" s="36" t="s">
        <v>77</v>
      </c>
      <c r="B1" s="34" t="s">
        <v>78</v>
      </c>
      <c r="C1" s="36" t="s">
        <v>79</v>
      </c>
      <c r="D1" s="36" t="s">
        <v>80</v>
      </c>
      <c r="E1" s="34" t="s">
        <v>76</v>
      </c>
      <c r="F1" s="34" t="s">
        <v>81</v>
      </c>
      <c r="G1" s="35" t="s">
        <v>18</v>
      </c>
      <c r="H1" s="35" t="s">
        <v>20</v>
      </c>
      <c r="I1" s="34" t="s">
        <v>78</v>
      </c>
      <c r="J1" s="34"/>
    </row>
    <row r="2" spans="1:10" ht="19.5" thickTop="1" thickBot="1" x14ac:dyDescent="0.3">
      <c r="A2" s="31" t="s">
        <v>82</v>
      </c>
      <c r="B2" s="32">
        <v>1</v>
      </c>
      <c r="C2" s="31" t="s">
        <v>83</v>
      </c>
      <c r="D2" s="25" t="s">
        <v>50</v>
      </c>
      <c r="E2" s="32" t="s">
        <v>49</v>
      </c>
      <c r="F2" s="32">
        <v>16</v>
      </c>
      <c r="G2" s="31" t="str">
        <f>VLOOKUP(I2,'Names with Seat Code'!B:E,2)</f>
        <v>Jillian</v>
      </c>
      <c r="H2" s="31" t="str">
        <f>VLOOKUP(I2,'Names with Seat Code'!B:E,4)</f>
        <v>Abate</v>
      </c>
      <c r="I2" s="25">
        <v>1</v>
      </c>
    </row>
    <row r="3" spans="1:10" ht="19.5" thickTop="1" thickBot="1" x14ac:dyDescent="0.3">
      <c r="A3" s="28" t="s">
        <v>82</v>
      </c>
      <c r="B3" s="27">
        <v>2</v>
      </c>
      <c r="C3" s="28" t="s">
        <v>83</v>
      </c>
      <c r="D3" s="30" t="s">
        <v>50</v>
      </c>
      <c r="E3" s="27" t="s">
        <v>49</v>
      </c>
      <c r="F3" s="27">
        <v>14</v>
      </c>
      <c r="G3" s="31" t="str">
        <f>VLOOKUP(I3,'Names with Seat Code'!B:E,2)</f>
        <v>Logan</v>
      </c>
      <c r="H3" s="31" t="str">
        <f>VLOOKUP(I3,'Names with Seat Code'!B:E,4)</f>
        <v>Abrams</v>
      </c>
      <c r="I3" s="25">
        <f>IF(B2+1&lt;DIRECTIONS!$E$24,B2+1,0)</f>
        <v>2</v>
      </c>
    </row>
    <row r="4" spans="1:10" ht="19.5" thickTop="1" thickBot="1" x14ac:dyDescent="0.3">
      <c r="A4" s="28" t="s">
        <v>82</v>
      </c>
      <c r="B4" s="27">
        <v>3</v>
      </c>
      <c r="C4" s="28" t="s">
        <v>83</v>
      </c>
      <c r="D4" s="28" t="s">
        <v>50</v>
      </c>
      <c r="E4" s="27" t="s">
        <v>49</v>
      </c>
      <c r="F4" s="27">
        <v>12</v>
      </c>
      <c r="G4" s="31" t="str">
        <f>VLOOKUP(I4,'Names with Seat Code'!B:E,2)</f>
        <v>Raniya</v>
      </c>
      <c r="H4" s="31" t="str">
        <f>VLOOKUP(I4,'Names with Seat Code'!B:E,4)</f>
        <v>Abubakar</v>
      </c>
      <c r="I4" s="25">
        <f>IF(B3+1&lt;DIRECTIONS!$E$24,B3+1,0)</f>
        <v>3</v>
      </c>
    </row>
    <row r="5" spans="1:10" ht="19.5" thickTop="1" thickBot="1" x14ac:dyDescent="0.3">
      <c r="A5" s="28" t="s">
        <v>82</v>
      </c>
      <c r="B5" s="27">
        <v>4</v>
      </c>
      <c r="C5" s="28" t="s">
        <v>83</v>
      </c>
      <c r="D5" s="30" t="s">
        <v>50</v>
      </c>
      <c r="E5" s="27" t="s">
        <v>49</v>
      </c>
      <c r="F5" s="27">
        <v>10</v>
      </c>
      <c r="G5" s="31" t="str">
        <f>VLOOKUP(I5,'Names with Seat Code'!B:E,2)</f>
        <v>Luis</v>
      </c>
      <c r="H5" s="31" t="str">
        <f>VLOOKUP(I5,'Names with Seat Code'!B:E,4)</f>
        <v>Aburto Campos</v>
      </c>
      <c r="I5" s="25">
        <f>IF(B4+1&lt;DIRECTIONS!$E$24,B4+1,0)</f>
        <v>4</v>
      </c>
    </row>
    <row r="6" spans="1:10" ht="19.5" thickTop="1" thickBot="1" x14ac:dyDescent="0.3">
      <c r="A6" s="28" t="s">
        <v>82</v>
      </c>
      <c r="B6" s="27">
        <v>5</v>
      </c>
      <c r="C6" s="28" t="s">
        <v>83</v>
      </c>
      <c r="D6" s="29" t="s">
        <v>50</v>
      </c>
      <c r="E6" s="27" t="s">
        <v>49</v>
      </c>
      <c r="F6" s="27">
        <v>8</v>
      </c>
      <c r="G6" s="31" t="str">
        <f>VLOOKUP(I6,'Names with Seat Code'!B:E,2)</f>
        <v>Devyn</v>
      </c>
      <c r="H6" s="31" t="str">
        <f>VLOOKUP(I6,'Names with Seat Code'!B:E,4)</f>
        <v>Ahlert</v>
      </c>
      <c r="I6" s="25">
        <f>IF(B5+1&lt;DIRECTIONS!$E$24,B5+1,0)</f>
        <v>5</v>
      </c>
    </row>
    <row r="7" spans="1:10" ht="19.5" thickTop="1" thickBot="1" x14ac:dyDescent="0.3">
      <c r="A7" s="28" t="s">
        <v>82</v>
      </c>
      <c r="B7" s="27">
        <v>6</v>
      </c>
      <c r="C7" s="28" t="s">
        <v>83</v>
      </c>
      <c r="D7" s="28" t="s">
        <v>50</v>
      </c>
      <c r="E7" s="27" t="s">
        <v>49</v>
      </c>
      <c r="F7" s="27">
        <v>6</v>
      </c>
      <c r="G7" s="31" t="str">
        <f>VLOOKUP(I7,'Names with Seat Code'!B:E,2)</f>
        <v>Alexander</v>
      </c>
      <c r="H7" s="31" t="str">
        <f>VLOOKUP(I7,'Names with Seat Code'!B:E,4)</f>
        <v>Aiello</v>
      </c>
      <c r="I7" s="25">
        <f>IF(B6+1&lt;DIRECTIONS!$E$24,B6+1,0)</f>
        <v>6</v>
      </c>
    </row>
    <row r="8" spans="1:10" ht="19.5" thickTop="1" thickBot="1" x14ac:dyDescent="0.3">
      <c r="A8" s="28" t="s">
        <v>82</v>
      </c>
      <c r="B8" s="27">
        <v>7</v>
      </c>
      <c r="C8" s="28" t="s">
        <v>83</v>
      </c>
      <c r="D8" s="28" t="s">
        <v>50</v>
      </c>
      <c r="E8" s="27" t="s">
        <v>49</v>
      </c>
      <c r="F8" s="27">
        <v>4</v>
      </c>
      <c r="G8" s="31" t="str">
        <f>VLOOKUP(I8,'Names with Seat Code'!B:E,2)</f>
        <v>Reese</v>
      </c>
      <c r="H8" s="31" t="str">
        <f>VLOOKUP(I8,'Names with Seat Code'!B:E,4)</f>
        <v>Allen</v>
      </c>
      <c r="I8" s="25">
        <f>IF(B7+1&lt;DIRECTIONS!$E$24,B7+1,0)</f>
        <v>7</v>
      </c>
    </row>
    <row r="9" spans="1:10" ht="19.5" thickTop="1" thickBot="1" x14ac:dyDescent="0.3">
      <c r="A9" s="28" t="s">
        <v>82</v>
      </c>
      <c r="B9" s="27">
        <v>8</v>
      </c>
      <c r="C9" s="28" t="s">
        <v>83</v>
      </c>
      <c r="D9" s="28" t="s">
        <v>50</v>
      </c>
      <c r="E9" s="27" t="s">
        <v>49</v>
      </c>
      <c r="F9" s="27">
        <v>2</v>
      </c>
      <c r="G9" s="31" t="str">
        <f>VLOOKUP(I9,'Names with Seat Code'!B:E,2)</f>
        <v>Fabricio</v>
      </c>
      <c r="H9" s="31" t="str">
        <f>VLOOKUP(I9,'Names with Seat Code'!B:E,4)</f>
        <v>Amado</v>
      </c>
      <c r="I9" s="25">
        <f>IF(B8+1&lt;DIRECTIONS!$E$24,B8+1,0)</f>
        <v>8</v>
      </c>
    </row>
    <row r="10" spans="1:10" ht="19.5" thickTop="1" thickBot="1" x14ac:dyDescent="0.3">
      <c r="A10" s="28" t="s">
        <v>82</v>
      </c>
      <c r="B10" s="27">
        <v>9</v>
      </c>
      <c r="C10" s="28" t="s">
        <v>84</v>
      </c>
      <c r="D10" s="28" t="s">
        <v>85</v>
      </c>
      <c r="E10" s="27" t="s">
        <v>54</v>
      </c>
      <c r="F10" s="27">
        <v>107</v>
      </c>
      <c r="G10" s="31" t="str">
        <f>VLOOKUP(I10,'Names with Seat Code'!B:E,2)</f>
        <v>Joseph</v>
      </c>
      <c r="H10" s="31" t="str">
        <f>VLOOKUP(I10,'Names with Seat Code'!B:E,4)</f>
        <v>Amirault</v>
      </c>
      <c r="I10" s="25">
        <f>IF(B9+1&lt;DIRECTIONS!$E$24,B9+1,0)</f>
        <v>9</v>
      </c>
    </row>
    <row r="11" spans="1:10" ht="19.5" thickTop="1" thickBot="1" x14ac:dyDescent="0.3">
      <c r="A11" s="28" t="s">
        <v>82</v>
      </c>
      <c r="B11" s="27">
        <v>10</v>
      </c>
      <c r="C11" s="28" t="s">
        <v>84</v>
      </c>
      <c r="D11" s="28" t="s">
        <v>85</v>
      </c>
      <c r="E11" s="27" t="s">
        <v>54</v>
      </c>
      <c r="F11" s="27">
        <v>106</v>
      </c>
      <c r="G11" s="31" t="str">
        <f>VLOOKUP(I11,'Names with Seat Code'!B:E,2)</f>
        <v>Brady</v>
      </c>
      <c r="H11" s="31" t="str">
        <f>VLOOKUP(I11,'Names with Seat Code'!B:E,4)</f>
        <v>Anderson</v>
      </c>
      <c r="I11" s="25">
        <f>IF(B10+1&lt;DIRECTIONS!$E$24,B10+1,0)</f>
        <v>10</v>
      </c>
    </row>
    <row r="12" spans="1:10" ht="19.5" thickTop="1" thickBot="1" x14ac:dyDescent="0.3">
      <c r="A12" s="28" t="s">
        <v>82</v>
      </c>
      <c r="B12" s="27">
        <v>11</v>
      </c>
      <c r="C12" s="28" t="s">
        <v>84</v>
      </c>
      <c r="D12" s="28" t="s">
        <v>85</v>
      </c>
      <c r="E12" s="27" t="s">
        <v>54</v>
      </c>
      <c r="F12" s="27">
        <v>105</v>
      </c>
      <c r="G12" s="31" t="str">
        <f>VLOOKUP(I12,'Names with Seat Code'!B:E,2)</f>
        <v>Barrington</v>
      </c>
      <c r="H12" s="31" t="str">
        <f>VLOOKUP(I12,'Names with Seat Code'!B:E,4)</f>
        <v>Anderson</v>
      </c>
      <c r="I12" s="25">
        <f>IF(B11+1&lt;DIRECTIONS!$E$24,B11+1,0)</f>
        <v>11</v>
      </c>
    </row>
    <row r="13" spans="1:10" ht="19.5" thickTop="1" thickBot="1" x14ac:dyDescent="0.3">
      <c r="A13" s="28" t="s">
        <v>82</v>
      </c>
      <c r="B13" s="27">
        <v>12</v>
      </c>
      <c r="C13" s="28" t="s">
        <v>84</v>
      </c>
      <c r="D13" s="28" t="s">
        <v>85</v>
      </c>
      <c r="E13" s="27" t="s">
        <v>54</v>
      </c>
      <c r="F13" s="27">
        <v>104</v>
      </c>
      <c r="G13" s="31" t="str">
        <f>VLOOKUP(I13,'Names with Seat Code'!B:E,2)</f>
        <v>Isabella</v>
      </c>
      <c r="H13" s="31" t="str">
        <f>VLOOKUP(I13,'Names with Seat Code'!B:E,4)</f>
        <v>Aquino</v>
      </c>
      <c r="I13" s="25">
        <f>IF(B12+1&lt;DIRECTIONS!$E$24,B12+1,0)</f>
        <v>12</v>
      </c>
    </row>
    <row r="14" spans="1:10" ht="19.5" thickTop="1" thickBot="1" x14ac:dyDescent="0.3">
      <c r="A14" s="28" t="s">
        <v>82</v>
      </c>
      <c r="B14" s="27">
        <v>13</v>
      </c>
      <c r="C14" s="28" t="s">
        <v>84</v>
      </c>
      <c r="D14" s="28" t="s">
        <v>85</v>
      </c>
      <c r="E14" s="27" t="s">
        <v>54</v>
      </c>
      <c r="F14" s="27">
        <v>103</v>
      </c>
      <c r="G14" s="31" t="str">
        <f>VLOOKUP(I14,'Names with Seat Code'!B:E,2)</f>
        <v>Lucas</v>
      </c>
      <c r="H14" s="31" t="str">
        <f>VLOOKUP(I14,'Names with Seat Code'!B:E,4)</f>
        <v>Aquino</v>
      </c>
      <c r="I14" s="25">
        <f>IF(B13+1&lt;DIRECTIONS!$E$24,B13+1,0)</f>
        <v>13</v>
      </c>
    </row>
    <row r="15" spans="1:10" ht="19.5" thickTop="1" thickBot="1" x14ac:dyDescent="0.3">
      <c r="A15" s="28" t="s">
        <v>82</v>
      </c>
      <c r="B15" s="27">
        <v>14</v>
      </c>
      <c r="C15" s="28" t="s">
        <v>84</v>
      </c>
      <c r="D15" s="28" t="s">
        <v>85</v>
      </c>
      <c r="E15" s="27" t="s">
        <v>54</v>
      </c>
      <c r="F15" s="27">
        <v>102</v>
      </c>
      <c r="G15" s="31" t="str">
        <f>VLOOKUP(I15,'Names with Seat Code'!B:E,2)</f>
        <v>Tiago</v>
      </c>
      <c r="H15" s="31" t="str">
        <f>VLOOKUP(I15,'Names with Seat Code'!B:E,4)</f>
        <v>Araujo</v>
      </c>
      <c r="I15" s="25">
        <f>IF(B14+1&lt;DIRECTIONS!$E$24,B14+1,0)</f>
        <v>14</v>
      </c>
    </row>
    <row r="16" spans="1:10" ht="19.5" thickTop="1" thickBot="1" x14ac:dyDescent="0.3">
      <c r="A16" s="28" t="s">
        <v>82</v>
      </c>
      <c r="B16" s="27">
        <v>15</v>
      </c>
      <c r="C16" s="28" t="s">
        <v>83</v>
      </c>
      <c r="D16" s="25" t="s">
        <v>50</v>
      </c>
      <c r="E16" s="27" t="s">
        <v>54</v>
      </c>
      <c r="F16" s="27">
        <v>18</v>
      </c>
      <c r="G16" s="31" t="str">
        <f>VLOOKUP(I16,'Names with Seat Code'!B:E,2)</f>
        <v>Chloe</v>
      </c>
      <c r="H16" s="31" t="str">
        <f>VLOOKUP(I16,'Names with Seat Code'!B:E,4)</f>
        <v>Aretusi</v>
      </c>
      <c r="I16" s="25">
        <f>IF(B15+1&lt;DIRECTIONS!$E$24,B15+1,0)</f>
        <v>15</v>
      </c>
    </row>
    <row r="17" spans="1:9" ht="19.5" thickTop="1" thickBot="1" x14ac:dyDescent="0.3">
      <c r="A17" s="28" t="s">
        <v>82</v>
      </c>
      <c r="B17" s="27">
        <v>16</v>
      </c>
      <c r="C17" s="28" t="s">
        <v>83</v>
      </c>
      <c r="D17" s="28" t="s">
        <v>50</v>
      </c>
      <c r="E17" s="27" t="s">
        <v>54</v>
      </c>
      <c r="F17" s="27">
        <v>16</v>
      </c>
      <c r="G17" s="31" t="str">
        <f>VLOOKUP(I17,'Names with Seat Code'!B:E,2)</f>
        <v>Evan</v>
      </c>
      <c r="H17" s="31" t="str">
        <f>VLOOKUP(I17,'Names with Seat Code'!B:E,4)</f>
        <v>Audley</v>
      </c>
      <c r="I17" s="25">
        <f>IF(B16+1&lt;DIRECTIONS!$E$24,B16+1,0)</f>
        <v>16</v>
      </c>
    </row>
    <row r="18" spans="1:9" ht="19.5" thickTop="1" thickBot="1" x14ac:dyDescent="0.3">
      <c r="A18" s="28" t="s">
        <v>82</v>
      </c>
      <c r="B18" s="27">
        <v>17</v>
      </c>
      <c r="C18" s="28" t="s">
        <v>83</v>
      </c>
      <c r="D18" s="25" t="s">
        <v>50</v>
      </c>
      <c r="E18" s="27" t="s">
        <v>54</v>
      </c>
      <c r="F18" s="27">
        <v>14</v>
      </c>
      <c r="G18" s="31" t="str">
        <f>VLOOKUP(I18,'Names with Seat Code'!B:E,2)</f>
        <v>Natalie</v>
      </c>
      <c r="H18" s="31" t="str">
        <f>VLOOKUP(I18,'Names with Seat Code'!B:E,4)</f>
        <v>Austin</v>
      </c>
      <c r="I18" s="25">
        <f>IF(B17+1&lt;DIRECTIONS!$E$24,B17+1,0)</f>
        <v>17</v>
      </c>
    </row>
    <row r="19" spans="1:9" ht="19.5" thickTop="1" thickBot="1" x14ac:dyDescent="0.3">
      <c r="A19" s="28" t="s">
        <v>82</v>
      </c>
      <c r="B19" s="27">
        <v>18</v>
      </c>
      <c r="C19" s="28" t="s">
        <v>83</v>
      </c>
      <c r="D19" s="28" t="s">
        <v>50</v>
      </c>
      <c r="E19" s="27" t="s">
        <v>54</v>
      </c>
      <c r="F19" s="27">
        <v>12</v>
      </c>
      <c r="G19" s="31" t="str">
        <f>VLOOKUP(I19,'Names with Seat Code'!B:E,2)</f>
        <v>Vivian</v>
      </c>
      <c r="H19" s="31" t="str">
        <f>VLOOKUP(I19,'Names with Seat Code'!B:E,4)</f>
        <v>Balas</v>
      </c>
      <c r="I19" s="25">
        <f>IF(B18+1&lt;DIRECTIONS!$E$24,B18+1,0)</f>
        <v>18</v>
      </c>
    </row>
    <row r="20" spans="1:9" ht="19.5" thickTop="1" thickBot="1" x14ac:dyDescent="0.3">
      <c r="A20" s="28" t="s">
        <v>82</v>
      </c>
      <c r="B20" s="27">
        <v>19</v>
      </c>
      <c r="C20" s="28" t="s">
        <v>83</v>
      </c>
      <c r="D20" s="25" t="s">
        <v>50</v>
      </c>
      <c r="E20" s="27" t="s">
        <v>54</v>
      </c>
      <c r="F20" s="27">
        <v>10</v>
      </c>
      <c r="G20" s="31" t="str">
        <f>VLOOKUP(I20,'Names with Seat Code'!B:E,2)</f>
        <v>Kaua</v>
      </c>
      <c r="H20" s="31" t="str">
        <f>VLOOKUP(I20,'Names with Seat Code'!B:E,4)</f>
        <v>Batista</v>
      </c>
      <c r="I20" s="25">
        <f>IF(B19+1&lt;DIRECTIONS!$E$24,B19+1,0)</f>
        <v>19</v>
      </c>
    </row>
    <row r="21" spans="1:9" ht="19.5" thickTop="1" thickBot="1" x14ac:dyDescent="0.3">
      <c r="A21" s="28" t="s">
        <v>82</v>
      </c>
      <c r="B21" s="27">
        <v>20</v>
      </c>
      <c r="C21" s="28" t="s">
        <v>83</v>
      </c>
      <c r="D21" s="28" t="s">
        <v>50</v>
      </c>
      <c r="E21" s="27" t="s">
        <v>54</v>
      </c>
      <c r="F21" s="27">
        <v>8</v>
      </c>
      <c r="G21" s="31" t="str">
        <f>VLOOKUP(I21,'Names with Seat Code'!B:E,2)</f>
        <v>Carson</v>
      </c>
      <c r="H21" s="31" t="str">
        <f>VLOOKUP(I21,'Names with Seat Code'!B:E,4)</f>
        <v>Beaulieu</v>
      </c>
      <c r="I21" s="25">
        <f>IF(B20+1&lt;DIRECTIONS!$E$24,B20+1,0)</f>
        <v>20</v>
      </c>
    </row>
    <row r="22" spans="1:9" ht="19.5" thickTop="1" thickBot="1" x14ac:dyDescent="0.3">
      <c r="A22" s="28" t="s">
        <v>82</v>
      </c>
      <c r="B22" s="27">
        <v>21</v>
      </c>
      <c r="C22" s="28" t="s">
        <v>83</v>
      </c>
      <c r="D22" s="28" t="s">
        <v>50</v>
      </c>
      <c r="E22" s="27" t="s">
        <v>54</v>
      </c>
      <c r="F22" s="27">
        <v>6</v>
      </c>
      <c r="G22" s="31" t="str">
        <f>VLOOKUP(I22,'Names with Seat Code'!B:E,2)</f>
        <v>Jahnai</v>
      </c>
      <c r="H22" s="31" t="str">
        <f>VLOOKUP(I22,'Names with Seat Code'!B:E,4)</f>
        <v>Belfon</v>
      </c>
      <c r="I22" s="25">
        <f>IF(B21+1&lt;DIRECTIONS!$E$24,B21+1,0)</f>
        <v>21</v>
      </c>
    </row>
    <row r="23" spans="1:9" ht="19.5" thickTop="1" thickBot="1" x14ac:dyDescent="0.3">
      <c r="A23" s="28" t="s">
        <v>82</v>
      </c>
      <c r="B23" s="27">
        <v>22</v>
      </c>
      <c r="C23" s="28" t="s">
        <v>83</v>
      </c>
      <c r="D23" s="29" t="s">
        <v>50</v>
      </c>
      <c r="E23" s="27" t="s">
        <v>54</v>
      </c>
      <c r="F23" s="27">
        <v>4</v>
      </c>
      <c r="G23" s="31" t="str">
        <f>VLOOKUP(I23,'Names with Seat Code'!B:E,2)</f>
        <v>Amelia</v>
      </c>
      <c r="H23" s="31" t="str">
        <f>VLOOKUP(I23,'Names with Seat Code'!B:E,4)</f>
        <v>Benedict</v>
      </c>
      <c r="I23" s="25">
        <f>IF(B22+1&lt;DIRECTIONS!$E$24,B22+1,0)</f>
        <v>22</v>
      </c>
    </row>
    <row r="24" spans="1:9" ht="19.5" thickTop="1" thickBot="1" x14ac:dyDescent="0.3">
      <c r="A24" s="28" t="s">
        <v>82</v>
      </c>
      <c r="B24" s="27">
        <v>23</v>
      </c>
      <c r="C24" s="28" t="s">
        <v>83</v>
      </c>
      <c r="D24" s="29" t="s">
        <v>50</v>
      </c>
      <c r="E24" s="27" t="s">
        <v>54</v>
      </c>
      <c r="F24" s="27">
        <v>2</v>
      </c>
      <c r="G24" s="31" t="str">
        <f>VLOOKUP(I24,'Names with Seat Code'!B:E,2)</f>
        <v>Jamison</v>
      </c>
      <c r="H24" s="31" t="str">
        <f>VLOOKUP(I24,'Names with Seat Code'!B:E,4)</f>
        <v>Bentley</v>
      </c>
      <c r="I24" s="25">
        <f>IF(B23+1&lt;DIRECTIONS!$E$24,B23+1,0)</f>
        <v>23</v>
      </c>
    </row>
    <row r="25" spans="1:9" ht="19.5" thickTop="1" thickBot="1" x14ac:dyDescent="0.3">
      <c r="A25" s="28" t="s">
        <v>82</v>
      </c>
      <c r="B25" s="27">
        <v>24</v>
      </c>
      <c r="C25" s="28" t="s">
        <v>84</v>
      </c>
      <c r="D25" s="28" t="s">
        <v>85</v>
      </c>
      <c r="E25" s="27" t="s">
        <v>55</v>
      </c>
      <c r="F25" s="27">
        <v>105</v>
      </c>
      <c r="G25" s="31" t="str">
        <f>VLOOKUP(I25,'Names with Seat Code'!B:E,2)</f>
        <v>Dhanya</v>
      </c>
      <c r="H25" s="31" t="str">
        <f>VLOOKUP(I25,'Names with Seat Code'!B:E,4)</f>
        <v>Bhola</v>
      </c>
      <c r="I25" s="25">
        <f>IF(B24+1&lt;DIRECTIONS!$E$24,B24+1,0)</f>
        <v>24</v>
      </c>
    </row>
    <row r="26" spans="1:9" ht="19.5" thickTop="1" thickBot="1" x14ac:dyDescent="0.3">
      <c r="A26" s="28" t="s">
        <v>82</v>
      </c>
      <c r="B26" s="27">
        <v>25</v>
      </c>
      <c r="C26" s="28" t="s">
        <v>84</v>
      </c>
      <c r="D26" s="28" t="s">
        <v>85</v>
      </c>
      <c r="E26" s="27" t="s">
        <v>55</v>
      </c>
      <c r="F26" s="27">
        <v>104</v>
      </c>
      <c r="G26" s="31" t="str">
        <f>VLOOKUP(I26,'Names with Seat Code'!B:E,2)</f>
        <v>Elizabeth</v>
      </c>
      <c r="H26" s="31" t="str">
        <f>VLOOKUP(I26,'Names with Seat Code'!B:E,4)</f>
        <v>Boucher</v>
      </c>
      <c r="I26" s="25">
        <f>IF(B25+1&lt;DIRECTIONS!$E$24,B25+1,0)</f>
        <v>25</v>
      </c>
    </row>
    <row r="27" spans="1:9" ht="19.5" thickTop="1" thickBot="1" x14ac:dyDescent="0.3">
      <c r="A27" s="28" t="s">
        <v>82</v>
      </c>
      <c r="B27" s="27">
        <v>26</v>
      </c>
      <c r="C27" s="28" t="s">
        <v>84</v>
      </c>
      <c r="D27" s="28" t="s">
        <v>85</v>
      </c>
      <c r="E27" s="27" t="s">
        <v>55</v>
      </c>
      <c r="F27" s="27">
        <v>103</v>
      </c>
      <c r="G27" s="31" t="str">
        <f>VLOOKUP(I27,'Names with Seat Code'!B:E,2)</f>
        <v>Danielle</v>
      </c>
      <c r="H27" s="31" t="str">
        <f>VLOOKUP(I27,'Names with Seat Code'!B:E,4)</f>
        <v>Bowers</v>
      </c>
      <c r="I27" s="25">
        <f>IF(B26+1&lt;DIRECTIONS!$E$24,B26+1,0)</f>
        <v>26</v>
      </c>
    </row>
    <row r="28" spans="1:9" ht="19.5" thickTop="1" thickBot="1" x14ac:dyDescent="0.3">
      <c r="A28" s="28" t="s">
        <v>82</v>
      </c>
      <c r="B28" s="27">
        <v>27</v>
      </c>
      <c r="C28" s="28" t="s">
        <v>84</v>
      </c>
      <c r="D28" s="28" t="s">
        <v>85</v>
      </c>
      <c r="E28" s="27" t="s">
        <v>55</v>
      </c>
      <c r="F28" s="27">
        <v>102</v>
      </c>
      <c r="G28" s="31" t="str">
        <f>VLOOKUP(I28,'Names with Seat Code'!B:E,2)</f>
        <v>Lucas</v>
      </c>
      <c r="H28" s="31" t="str">
        <f>VLOOKUP(I28,'Names with Seat Code'!B:E,4)</f>
        <v>Bowlin</v>
      </c>
      <c r="I28" s="25">
        <f>IF(B27+1&lt;DIRECTIONS!$E$24,B27+1,0)</f>
        <v>27</v>
      </c>
    </row>
    <row r="29" spans="1:9" ht="19.5" thickTop="1" thickBot="1" x14ac:dyDescent="0.3">
      <c r="A29" s="28" t="s">
        <v>82</v>
      </c>
      <c r="B29" s="27">
        <v>28</v>
      </c>
      <c r="C29" s="28" t="s">
        <v>84</v>
      </c>
      <c r="D29" s="28" t="s">
        <v>85</v>
      </c>
      <c r="E29" s="27" t="s">
        <v>55</v>
      </c>
      <c r="F29" s="27">
        <v>101</v>
      </c>
      <c r="G29" s="31" t="str">
        <f>VLOOKUP(I29,'Names with Seat Code'!B:E,2)</f>
        <v>Kaleb</v>
      </c>
      <c r="H29" s="31" t="str">
        <f>VLOOKUP(I29,'Names with Seat Code'!B:E,4)</f>
        <v>Brady</v>
      </c>
      <c r="I29" s="25">
        <f>IF(B28+1&lt;DIRECTIONS!$E$24,B28+1,0)</f>
        <v>28</v>
      </c>
    </row>
    <row r="30" spans="1:9" ht="19.5" thickTop="1" thickBot="1" x14ac:dyDescent="0.3">
      <c r="A30" s="28" t="s">
        <v>82</v>
      </c>
      <c r="B30" s="27">
        <v>29</v>
      </c>
      <c r="C30" s="28" t="s">
        <v>83</v>
      </c>
      <c r="D30" s="28" t="s">
        <v>50</v>
      </c>
      <c r="E30" s="27" t="s">
        <v>55</v>
      </c>
      <c r="F30" s="27">
        <v>18</v>
      </c>
      <c r="G30" s="31" t="str">
        <f>VLOOKUP(I30,'Names with Seat Code'!B:E,2)</f>
        <v>A.J.</v>
      </c>
      <c r="H30" s="31" t="str">
        <f>VLOOKUP(I30,'Names with Seat Code'!B:E,4)</f>
        <v>Bramante</v>
      </c>
      <c r="I30" s="25">
        <f>IF(B29+1&lt;DIRECTIONS!$E$24,B29+1,0)</f>
        <v>29</v>
      </c>
    </row>
    <row r="31" spans="1:9" ht="19.5" thickTop="1" thickBot="1" x14ac:dyDescent="0.3">
      <c r="A31" s="28" t="s">
        <v>82</v>
      </c>
      <c r="B31" s="27">
        <v>30</v>
      </c>
      <c r="C31" s="28" t="s">
        <v>83</v>
      </c>
      <c r="D31" s="28" t="s">
        <v>50</v>
      </c>
      <c r="E31" s="27" t="s">
        <v>55</v>
      </c>
      <c r="F31" s="27">
        <v>16</v>
      </c>
      <c r="G31" s="31" t="str">
        <f>VLOOKUP(I31,'Names with Seat Code'!B:E,2)</f>
        <v>Ashley</v>
      </c>
      <c r="H31" s="31" t="str">
        <f>VLOOKUP(I31,'Names with Seat Code'!B:E,4)</f>
        <v>Brown</v>
      </c>
      <c r="I31" s="25">
        <f>IF(B30+1&lt;DIRECTIONS!$E$24,B30+1,0)</f>
        <v>30</v>
      </c>
    </row>
    <row r="32" spans="1:9" ht="19.5" thickTop="1" thickBot="1" x14ac:dyDescent="0.3">
      <c r="A32" s="28" t="s">
        <v>82</v>
      </c>
      <c r="B32" s="27">
        <v>31</v>
      </c>
      <c r="C32" s="28" t="s">
        <v>83</v>
      </c>
      <c r="D32" s="28" t="s">
        <v>50</v>
      </c>
      <c r="E32" s="27" t="s">
        <v>55</v>
      </c>
      <c r="F32" s="27">
        <v>14</v>
      </c>
      <c r="G32" s="31" t="str">
        <f>VLOOKUP(I32,'Names with Seat Code'!B:E,2)</f>
        <v>Elijah</v>
      </c>
      <c r="H32" s="31" t="str">
        <f>VLOOKUP(I32,'Names with Seat Code'!B:E,4)</f>
        <v>Brown</v>
      </c>
      <c r="I32" s="25">
        <f>IF(B31+1&lt;DIRECTIONS!$E$24,B31+1,0)</f>
        <v>31</v>
      </c>
    </row>
    <row r="33" spans="1:9" ht="19.5" thickTop="1" thickBot="1" x14ac:dyDescent="0.3">
      <c r="A33" s="28" t="s">
        <v>82</v>
      </c>
      <c r="B33" s="27">
        <v>32</v>
      </c>
      <c r="C33" s="28" t="s">
        <v>83</v>
      </c>
      <c r="D33" s="28" t="s">
        <v>50</v>
      </c>
      <c r="E33" s="27" t="s">
        <v>55</v>
      </c>
      <c r="F33" s="27">
        <v>12</v>
      </c>
      <c r="G33" s="31" t="str">
        <f>VLOOKUP(I33,'Names with Seat Code'!B:E,2)</f>
        <v>Braeden</v>
      </c>
      <c r="H33" s="31" t="str">
        <f>VLOOKUP(I33,'Names with Seat Code'!B:E,4)</f>
        <v>Callan</v>
      </c>
      <c r="I33" s="25">
        <f>IF(B32+1&lt;DIRECTIONS!$E$24,B32+1,0)</f>
        <v>32</v>
      </c>
    </row>
    <row r="34" spans="1:9" ht="19.5" thickTop="1" thickBot="1" x14ac:dyDescent="0.3">
      <c r="A34" s="28" t="s">
        <v>82</v>
      </c>
      <c r="B34" s="27">
        <v>33</v>
      </c>
      <c r="C34" s="28" t="s">
        <v>83</v>
      </c>
      <c r="D34" s="28" t="s">
        <v>50</v>
      </c>
      <c r="E34" s="27" t="s">
        <v>55</v>
      </c>
      <c r="F34" s="27">
        <v>10</v>
      </c>
      <c r="G34" s="31" t="str">
        <f>VLOOKUP(I34,'Names with Seat Code'!B:E,2)</f>
        <v>Nilton</v>
      </c>
      <c r="H34" s="31" t="str">
        <f>VLOOKUP(I34,'Names with Seat Code'!B:E,4)</f>
        <v>Campos</v>
      </c>
      <c r="I34" s="25">
        <f>IF(B33+1&lt;DIRECTIONS!$E$24,B33+1,0)</f>
        <v>33</v>
      </c>
    </row>
    <row r="35" spans="1:9" ht="19.5" thickTop="1" thickBot="1" x14ac:dyDescent="0.3">
      <c r="A35" s="28" t="s">
        <v>82</v>
      </c>
      <c r="B35" s="27">
        <v>34</v>
      </c>
      <c r="C35" s="28" t="s">
        <v>83</v>
      </c>
      <c r="D35" s="28" t="s">
        <v>50</v>
      </c>
      <c r="E35" s="27" t="s">
        <v>55</v>
      </c>
      <c r="F35" s="27">
        <v>8</v>
      </c>
      <c r="G35" s="31" t="str">
        <f>VLOOKUP(I35,'Names with Seat Code'!B:E,2)</f>
        <v>Ethan</v>
      </c>
      <c r="H35" s="31" t="str">
        <f>VLOOKUP(I35,'Names with Seat Code'!B:E,4)</f>
        <v>Cannon</v>
      </c>
      <c r="I35" s="25">
        <f>IF(B34+1&lt;DIRECTIONS!$E$24,B34+1,0)</f>
        <v>34</v>
      </c>
    </row>
    <row r="36" spans="1:9" ht="19.5" thickTop="1" thickBot="1" x14ac:dyDescent="0.3">
      <c r="A36" s="28" t="s">
        <v>82</v>
      </c>
      <c r="B36" s="27">
        <v>35</v>
      </c>
      <c r="C36" s="28" t="s">
        <v>83</v>
      </c>
      <c r="D36" s="28" t="s">
        <v>50</v>
      </c>
      <c r="E36" s="27" t="s">
        <v>55</v>
      </c>
      <c r="F36" s="27">
        <v>6</v>
      </c>
      <c r="G36" s="31" t="str">
        <f>VLOOKUP(I36,'Names with Seat Code'!B:E,2)</f>
        <v>Lucas</v>
      </c>
      <c r="H36" s="31" t="str">
        <f>VLOOKUP(I36,'Names with Seat Code'!B:E,4)</f>
        <v>Carcione</v>
      </c>
      <c r="I36" s="25">
        <f>IF(B35+1&lt;DIRECTIONS!$E$24,B35+1,0)</f>
        <v>35</v>
      </c>
    </row>
    <row r="37" spans="1:9" ht="19.5" thickTop="1" thickBot="1" x14ac:dyDescent="0.3">
      <c r="A37" s="28" t="s">
        <v>82</v>
      </c>
      <c r="B37" s="27">
        <v>36</v>
      </c>
      <c r="C37" s="28" t="s">
        <v>83</v>
      </c>
      <c r="D37" s="28" t="s">
        <v>50</v>
      </c>
      <c r="E37" s="27" t="s">
        <v>55</v>
      </c>
      <c r="F37" s="27">
        <v>4</v>
      </c>
      <c r="G37" s="31" t="str">
        <f>VLOOKUP(I37,'Names with Seat Code'!B:E,2)</f>
        <v>Nicholas</v>
      </c>
      <c r="H37" s="31" t="str">
        <f>VLOOKUP(I37,'Names with Seat Code'!B:E,4)</f>
        <v>Casarano</v>
      </c>
      <c r="I37" s="25">
        <f>IF(B36+1&lt;DIRECTIONS!$E$24,B36+1,0)</f>
        <v>36</v>
      </c>
    </row>
    <row r="38" spans="1:9" ht="19.5" thickTop="1" thickBot="1" x14ac:dyDescent="0.3">
      <c r="A38" s="28" t="s">
        <v>82</v>
      </c>
      <c r="B38" s="27">
        <v>37</v>
      </c>
      <c r="C38" s="28" t="s">
        <v>83</v>
      </c>
      <c r="D38" s="28" t="s">
        <v>50</v>
      </c>
      <c r="E38" s="27" t="s">
        <v>55</v>
      </c>
      <c r="F38" s="27">
        <v>2</v>
      </c>
      <c r="G38" s="31" t="str">
        <f>VLOOKUP(I38,'Names with Seat Code'!B:E,2)</f>
        <v>Maggie</v>
      </c>
      <c r="H38" s="31" t="str">
        <f>VLOOKUP(I38,'Names with Seat Code'!B:E,4)</f>
        <v>Champlin-Scharff</v>
      </c>
      <c r="I38" s="25">
        <f>IF(B37+1&lt;DIRECTIONS!$E$24,B37+1,0)</f>
        <v>37</v>
      </c>
    </row>
    <row r="39" spans="1:9" ht="19.5" thickTop="1" thickBot="1" x14ac:dyDescent="0.3">
      <c r="A39" s="28" t="s">
        <v>82</v>
      </c>
      <c r="B39" s="27">
        <v>38</v>
      </c>
      <c r="C39" s="28" t="s">
        <v>84</v>
      </c>
      <c r="D39" s="28" t="s">
        <v>85</v>
      </c>
      <c r="E39" s="27" t="s">
        <v>57</v>
      </c>
      <c r="F39" s="27">
        <v>106</v>
      </c>
      <c r="G39" s="31" t="str">
        <f>VLOOKUP(I39,'Names with Seat Code'!B:E,2)</f>
        <v>Elsa</v>
      </c>
      <c r="H39" s="31" t="str">
        <f>VLOOKUP(I39,'Names with Seat Code'!B:E,4)</f>
        <v>Chow</v>
      </c>
      <c r="I39" s="25">
        <f>IF(B38+1&lt;DIRECTIONS!$E$24,B38+1,0)</f>
        <v>38</v>
      </c>
    </row>
    <row r="40" spans="1:9" ht="19.5" thickTop="1" thickBot="1" x14ac:dyDescent="0.3">
      <c r="A40" s="28" t="s">
        <v>82</v>
      </c>
      <c r="B40" s="27">
        <v>39</v>
      </c>
      <c r="C40" s="28" t="s">
        <v>84</v>
      </c>
      <c r="D40" s="28" t="s">
        <v>85</v>
      </c>
      <c r="E40" s="27" t="s">
        <v>57</v>
      </c>
      <c r="F40" s="27">
        <v>105</v>
      </c>
      <c r="G40" s="31" t="str">
        <f>VLOOKUP(I40,'Names with Seat Code'!B:E,2)</f>
        <v>Will</v>
      </c>
      <c r="H40" s="31" t="str">
        <f>VLOOKUP(I40,'Names with Seat Code'!B:E,4)</f>
        <v>Chute</v>
      </c>
      <c r="I40" s="25">
        <f>IF(B39+1&lt;DIRECTIONS!$E$24,B39+1,0)</f>
        <v>39</v>
      </c>
    </row>
    <row r="41" spans="1:9" ht="19.5" thickTop="1" thickBot="1" x14ac:dyDescent="0.3">
      <c r="A41" s="28" t="s">
        <v>82</v>
      </c>
      <c r="B41" s="27">
        <v>40</v>
      </c>
      <c r="C41" s="28" t="s">
        <v>84</v>
      </c>
      <c r="D41" s="28" t="s">
        <v>85</v>
      </c>
      <c r="E41" s="27" t="s">
        <v>57</v>
      </c>
      <c r="F41" s="27">
        <v>104</v>
      </c>
      <c r="G41" s="31" t="str">
        <f>VLOOKUP(I41,'Names with Seat Code'!B:E,2)</f>
        <v>Max</v>
      </c>
      <c r="H41" s="31" t="str">
        <f>VLOOKUP(I41,'Names with Seat Code'!B:E,4)</f>
        <v>Cinelli</v>
      </c>
      <c r="I41" s="25">
        <f>IF(B40+1&lt;DIRECTIONS!$E$24,B40+1,0)</f>
        <v>40</v>
      </c>
    </row>
    <row r="42" spans="1:9" ht="19.5" thickTop="1" thickBot="1" x14ac:dyDescent="0.3">
      <c r="A42" s="28" t="s">
        <v>82</v>
      </c>
      <c r="B42" s="27">
        <v>41</v>
      </c>
      <c r="C42" s="28" t="s">
        <v>84</v>
      </c>
      <c r="D42" s="28" t="s">
        <v>85</v>
      </c>
      <c r="E42" s="27" t="s">
        <v>57</v>
      </c>
      <c r="F42" s="27">
        <v>103</v>
      </c>
      <c r="G42" s="31" t="str">
        <f>VLOOKUP(I42,'Names with Seat Code'!B:E,2)</f>
        <v>Olivia</v>
      </c>
      <c r="H42" s="31" t="str">
        <f>VLOOKUP(I42,'Names with Seat Code'!B:E,4)</f>
        <v>Cirrone</v>
      </c>
      <c r="I42" s="25">
        <f>IF(B41+1&lt;DIRECTIONS!$E$24,B41+1,0)</f>
        <v>41</v>
      </c>
    </row>
    <row r="43" spans="1:9" ht="19.5" thickTop="1" thickBot="1" x14ac:dyDescent="0.3">
      <c r="A43" s="28" t="s">
        <v>82</v>
      </c>
      <c r="B43" s="27">
        <v>42</v>
      </c>
      <c r="C43" s="28" t="s">
        <v>84</v>
      </c>
      <c r="D43" s="28" t="s">
        <v>85</v>
      </c>
      <c r="E43" s="27" t="s">
        <v>57</v>
      </c>
      <c r="F43" s="27">
        <v>102</v>
      </c>
      <c r="G43" s="31" t="str">
        <f>VLOOKUP(I43,'Names with Seat Code'!B:E,2)</f>
        <v>Chadley</v>
      </c>
      <c r="H43" s="31" t="str">
        <f>VLOOKUP(I43,'Names with Seat Code'!B:E,4)</f>
        <v>Civil</v>
      </c>
      <c r="I43" s="25">
        <f>IF(B42+1&lt;DIRECTIONS!$E$24,B42+1,0)</f>
        <v>42</v>
      </c>
    </row>
    <row r="44" spans="1:9" ht="19.5" thickTop="1" thickBot="1" x14ac:dyDescent="0.3">
      <c r="A44" s="28" t="s">
        <v>82</v>
      </c>
      <c r="B44" s="27">
        <v>43</v>
      </c>
      <c r="C44" s="28" t="s">
        <v>84</v>
      </c>
      <c r="D44" s="28" t="s">
        <v>85</v>
      </c>
      <c r="E44" s="27" t="s">
        <v>57</v>
      </c>
      <c r="F44" s="27">
        <v>101</v>
      </c>
      <c r="G44" s="31" t="str">
        <f>VLOOKUP(I44,'Names with Seat Code'!B:E,2)</f>
        <v>Sam</v>
      </c>
      <c r="H44" s="31" t="str">
        <f>VLOOKUP(I44,'Names with Seat Code'!B:E,4)</f>
        <v>Clark</v>
      </c>
      <c r="I44" s="25">
        <f>IF(B43+1&lt;DIRECTIONS!$E$24,B43+1,0)</f>
        <v>43</v>
      </c>
    </row>
    <row r="45" spans="1:9" ht="19.5" thickTop="1" thickBot="1" x14ac:dyDescent="0.3">
      <c r="A45" s="28" t="s">
        <v>82</v>
      </c>
      <c r="B45" s="27">
        <v>44</v>
      </c>
      <c r="C45" s="28" t="s">
        <v>83</v>
      </c>
      <c r="D45" s="28" t="s">
        <v>50</v>
      </c>
      <c r="E45" s="27" t="s">
        <v>57</v>
      </c>
      <c r="F45" s="27">
        <v>20</v>
      </c>
      <c r="G45" s="31" t="str">
        <f>VLOOKUP(I45,'Names with Seat Code'!B:E,2)</f>
        <v>Thomas</v>
      </c>
      <c r="H45" s="31" t="str">
        <f>VLOOKUP(I45,'Names with Seat Code'!B:E,4)</f>
        <v>Cockrell</v>
      </c>
      <c r="I45" s="25">
        <f>IF(B44+1&lt;DIRECTIONS!$E$24,B44+1,0)</f>
        <v>44</v>
      </c>
    </row>
    <row r="46" spans="1:9" ht="19.5" thickTop="1" thickBot="1" x14ac:dyDescent="0.3">
      <c r="A46" s="28" t="s">
        <v>82</v>
      </c>
      <c r="B46" s="27">
        <v>45</v>
      </c>
      <c r="C46" s="28" t="s">
        <v>83</v>
      </c>
      <c r="D46" s="28" t="s">
        <v>50</v>
      </c>
      <c r="E46" s="27" t="s">
        <v>57</v>
      </c>
      <c r="F46" s="27">
        <v>18</v>
      </c>
      <c r="G46" s="31" t="str">
        <f>VLOOKUP(I46,'Names with Seat Code'!B:E,2)</f>
        <v>Brady</v>
      </c>
      <c r="H46" s="31" t="str">
        <f>VLOOKUP(I46,'Names with Seat Code'!B:E,4)</f>
        <v>Comenos</v>
      </c>
      <c r="I46" s="25">
        <f>IF(B45+1&lt;DIRECTIONS!$E$24,B45+1,0)</f>
        <v>45</v>
      </c>
    </row>
    <row r="47" spans="1:9" ht="19.5" thickTop="1" thickBot="1" x14ac:dyDescent="0.3">
      <c r="A47" s="28" t="s">
        <v>82</v>
      </c>
      <c r="B47" s="27">
        <v>46</v>
      </c>
      <c r="C47" s="28" t="s">
        <v>83</v>
      </c>
      <c r="D47" s="28" t="s">
        <v>50</v>
      </c>
      <c r="E47" s="27" t="s">
        <v>57</v>
      </c>
      <c r="F47" s="27">
        <v>16</v>
      </c>
      <c r="G47" s="31" t="str">
        <f>VLOOKUP(I47,'Names with Seat Code'!B:E,2)</f>
        <v>Landen</v>
      </c>
      <c r="H47" s="31" t="str">
        <f>VLOOKUP(I47,'Names with Seat Code'!B:E,4)</f>
        <v>Connelly</v>
      </c>
      <c r="I47" s="25">
        <f>IF(B46+1&lt;DIRECTIONS!$E$24,B46+1,0)</f>
        <v>46</v>
      </c>
    </row>
    <row r="48" spans="1:9" ht="19.5" thickTop="1" thickBot="1" x14ac:dyDescent="0.3">
      <c r="A48" s="28" t="s">
        <v>82</v>
      </c>
      <c r="B48" s="27">
        <v>47</v>
      </c>
      <c r="C48" s="28" t="s">
        <v>83</v>
      </c>
      <c r="D48" s="28" t="s">
        <v>50</v>
      </c>
      <c r="E48" s="27" t="s">
        <v>57</v>
      </c>
      <c r="F48" s="27">
        <v>14</v>
      </c>
      <c r="G48" s="31" t="str">
        <f>VLOOKUP(I48,'Names with Seat Code'!B:E,2)</f>
        <v>Tim</v>
      </c>
      <c r="H48" s="31" t="str">
        <f>VLOOKUP(I48,'Names with Seat Code'!B:E,4)</f>
        <v>Connolly</v>
      </c>
      <c r="I48" s="25">
        <f>IF(B47+1&lt;DIRECTIONS!$E$24,B47+1,0)</f>
        <v>47</v>
      </c>
    </row>
    <row r="49" spans="1:9" ht="19.5" thickTop="1" thickBot="1" x14ac:dyDescent="0.3">
      <c r="A49" s="28" t="s">
        <v>82</v>
      </c>
      <c r="B49" s="27">
        <v>48</v>
      </c>
      <c r="C49" s="28" t="s">
        <v>83</v>
      </c>
      <c r="D49" s="28" t="s">
        <v>50</v>
      </c>
      <c r="E49" s="27" t="s">
        <v>57</v>
      </c>
      <c r="F49" s="27">
        <v>12</v>
      </c>
      <c r="G49" s="31" t="str">
        <f>VLOOKUP(I49,'Names with Seat Code'!B:E,2)</f>
        <v>Derek</v>
      </c>
      <c r="H49" s="31" t="str">
        <f>VLOOKUP(I49,'Names with Seat Code'!B:E,4)</f>
        <v>Connor</v>
      </c>
      <c r="I49" s="25">
        <f>IF(B48+1&lt;DIRECTIONS!$E$24,B48+1,0)</f>
        <v>48</v>
      </c>
    </row>
    <row r="50" spans="1:9" ht="19.5" thickTop="1" thickBot="1" x14ac:dyDescent="0.3">
      <c r="A50" s="28" t="s">
        <v>82</v>
      </c>
      <c r="B50" s="27">
        <v>49</v>
      </c>
      <c r="C50" s="28" t="s">
        <v>83</v>
      </c>
      <c r="D50" s="28" t="s">
        <v>50</v>
      </c>
      <c r="E50" s="27" t="s">
        <v>57</v>
      </c>
      <c r="F50" s="27">
        <v>10</v>
      </c>
      <c r="G50" s="31" t="str">
        <f>VLOOKUP(I50,'Names with Seat Code'!B:E,2)</f>
        <v>Kayla</v>
      </c>
      <c r="H50" s="31" t="str">
        <f>VLOOKUP(I50,'Names with Seat Code'!B:E,4)</f>
        <v>Cox</v>
      </c>
      <c r="I50" s="25">
        <f>IF(B49+1&lt;DIRECTIONS!$E$24,B49+1,0)</f>
        <v>49</v>
      </c>
    </row>
    <row r="51" spans="1:9" ht="19.5" thickTop="1" thickBot="1" x14ac:dyDescent="0.3">
      <c r="A51" s="28" t="s">
        <v>82</v>
      </c>
      <c r="B51" s="27">
        <v>50</v>
      </c>
      <c r="C51" s="28" t="s">
        <v>83</v>
      </c>
      <c r="D51" s="28" t="s">
        <v>50</v>
      </c>
      <c r="E51" s="27" t="s">
        <v>57</v>
      </c>
      <c r="F51" s="27">
        <v>8</v>
      </c>
      <c r="G51" s="31" t="str">
        <f>VLOOKUP(I51,'Names with Seat Code'!B:E,2)</f>
        <v>John</v>
      </c>
      <c r="H51" s="31" t="str">
        <f>VLOOKUP(I51,'Names with Seat Code'!B:E,4)</f>
        <v>Coyne</v>
      </c>
      <c r="I51" s="25">
        <f>IF(B50+1&lt;DIRECTIONS!$E$24,B50+1,0)</f>
        <v>50</v>
      </c>
    </row>
    <row r="52" spans="1:9" ht="19.5" thickTop="1" thickBot="1" x14ac:dyDescent="0.3">
      <c r="A52" s="28" t="s">
        <v>82</v>
      </c>
      <c r="B52" s="27">
        <v>51</v>
      </c>
      <c r="C52" s="28" t="s">
        <v>83</v>
      </c>
      <c r="D52" s="28" t="s">
        <v>50</v>
      </c>
      <c r="E52" s="27" t="s">
        <v>57</v>
      </c>
      <c r="F52" s="27">
        <v>6</v>
      </c>
      <c r="G52" s="31" t="str">
        <f>VLOOKUP(I52,'Names with Seat Code'!B:E,2)</f>
        <v>Lily</v>
      </c>
      <c r="H52" s="31" t="str">
        <f>VLOOKUP(I52,'Names with Seat Code'!B:E,4)</f>
        <v>Crosby</v>
      </c>
      <c r="I52" s="25">
        <f>IF(B51+1&lt;DIRECTIONS!$E$24,B51+1,0)</f>
        <v>51</v>
      </c>
    </row>
    <row r="53" spans="1:9" ht="19.5" thickTop="1" thickBot="1" x14ac:dyDescent="0.3">
      <c r="A53" s="28" t="s">
        <v>82</v>
      </c>
      <c r="B53" s="27">
        <v>52</v>
      </c>
      <c r="C53" s="28" t="s">
        <v>83</v>
      </c>
      <c r="D53" s="28" t="s">
        <v>50</v>
      </c>
      <c r="E53" s="27" t="s">
        <v>57</v>
      </c>
      <c r="F53" s="27">
        <v>4</v>
      </c>
      <c r="G53" s="31" t="str">
        <f>VLOOKUP(I53,'Names with Seat Code'!B:E,2)</f>
        <v>Molly</v>
      </c>
      <c r="H53" s="31" t="str">
        <f>VLOOKUP(I53,'Names with Seat Code'!B:E,4)</f>
        <v>Crowley</v>
      </c>
      <c r="I53" s="25">
        <f>IF(B52+1&lt;DIRECTIONS!$E$24,B52+1,0)</f>
        <v>52</v>
      </c>
    </row>
    <row r="54" spans="1:9" ht="19.5" thickTop="1" thickBot="1" x14ac:dyDescent="0.3">
      <c r="A54" s="28" t="s">
        <v>82</v>
      </c>
      <c r="B54" s="27">
        <v>53</v>
      </c>
      <c r="C54" s="28" t="s">
        <v>83</v>
      </c>
      <c r="D54" s="28" t="s">
        <v>50</v>
      </c>
      <c r="E54" s="27" t="s">
        <v>57</v>
      </c>
      <c r="F54" s="27">
        <v>2</v>
      </c>
      <c r="G54" s="31" t="str">
        <f>VLOOKUP(I54,'Names with Seat Code'!B:E,2)</f>
        <v>Shea</v>
      </c>
      <c r="H54" s="31" t="str">
        <f>VLOOKUP(I54,'Names with Seat Code'!B:E,4)</f>
        <v>Cullen</v>
      </c>
      <c r="I54" s="25">
        <f>IF(B53+1&lt;DIRECTIONS!$E$24,B53+1,0)</f>
        <v>53</v>
      </c>
    </row>
    <row r="55" spans="1:9" ht="19.5" thickTop="1" thickBot="1" x14ac:dyDescent="0.3">
      <c r="A55" s="28" t="s">
        <v>82</v>
      </c>
      <c r="B55" s="27">
        <v>54</v>
      </c>
      <c r="C55" s="28" t="s">
        <v>84</v>
      </c>
      <c r="D55" s="28" t="s">
        <v>85</v>
      </c>
      <c r="E55" s="27" t="s">
        <v>58</v>
      </c>
      <c r="F55" s="27">
        <v>106</v>
      </c>
      <c r="G55" s="31" t="str">
        <f>VLOOKUP(I55,'Names with Seat Code'!B:E,2)</f>
        <v>Jacklyn</v>
      </c>
      <c r="H55" s="31" t="str">
        <f>VLOOKUP(I55,'Names with Seat Code'!B:E,4)</f>
        <v>Cusolito</v>
      </c>
      <c r="I55" s="25">
        <f>IF(B54+1&lt;DIRECTIONS!$E$24,B54+1,0)</f>
        <v>54</v>
      </c>
    </row>
    <row r="56" spans="1:9" ht="19.5" thickTop="1" thickBot="1" x14ac:dyDescent="0.3">
      <c r="A56" s="28" t="s">
        <v>82</v>
      </c>
      <c r="B56" s="27">
        <v>55</v>
      </c>
      <c r="C56" s="28" t="s">
        <v>84</v>
      </c>
      <c r="D56" s="28" t="s">
        <v>85</v>
      </c>
      <c r="E56" s="27" t="s">
        <v>58</v>
      </c>
      <c r="F56" s="27">
        <v>105</v>
      </c>
      <c r="G56" s="31" t="str">
        <f>VLOOKUP(I56,'Names with Seat Code'!B:E,2)</f>
        <v>Paige</v>
      </c>
      <c r="H56" s="31" t="str">
        <f>VLOOKUP(I56,'Names with Seat Code'!B:E,4)</f>
        <v>Cusolito</v>
      </c>
      <c r="I56" s="25">
        <f>IF(B55+1&lt;DIRECTIONS!$E$24,B55+1,0)</f>
        <v>55</v>
      </c>
    </row>
    <row r="57" spans="1:9" ht="19.5" thickTop="1" thickBot="1" x14ac:dyDescent="0.3">
      <c r="A57" s="28" t="s">
        <v>82</v>
      </c>
      <c r="B57" s="27">
        <v>56</v>
      </c>
      <c r="C57" s="28" t="s">
        <v>84</v>
      </c>
      <c r="D57" s="28" t="s">
        <v>85</v>
      </c>
      <c r="E57" s="27" t="s">
        <v>58</v>
      </c>
      <c r="F57" s="27">
        <v>104</v>
      </c>
      <c r="G57" s="31" t="str">
        <f>VLOOKUP(I57,'Names with Seat Code'!B:E,2)</f>
        <v>Walick</v>
      </c>
      <c r="H57" s="31" t="str">
        <f>VLOOKUP(I57,'Names with Seat Code'!B:E,4)</f>
        <v>Da Silva</v>
      </c>
      <c r="I57" s="25">
        <f>IF(B56+1&lt;DIRECTIONS!$E$24,B56+1,0)</f>
        <v>56</v>
      </c>
    </row>
    <row r="58" spans="1:9" ht="19.5" thickTop="1" thickBot="1" x14ac:dyDescent="0.3">
      <c r="A58" s="28" t="s">
        <v>82</v>
      </c>
      <c r="B58" s="27">
        <v>57</v>
      </c>
      <c r="C58" s="28" t="s">
        <v>84</v>
      </c>
      <c r="D58" s="28" t="s">
        <v>85</v>
      </c>
      <c r="E58" s="27" t="s">
        <v>58</v>
      </c>
      <c r="F58" s="27">
        <v>103</v>
      </c>
      <c r="G58" s="31" t="str">
        <f>VLOOKUP(I58,'Names with Seat Code'!B:E,2)</f>
        <v>Cooper</v>
      </c>
      <c r="H58" s="31" t="str">
        <f>VLOOKUP(I58,'Names with Seat Code'!B:E,4)</f>
        <v>Dean</v>
      </c>
      <c r="I58" s="25">
        <f>IF(B57+1&lt;DIRECTIONS!$E$24,B57+1,0)</f>
        <v>57</v>
      </c>
    </row>
    <row r="59" spans="1:9" ht="19.5" thickTop="1" thickBot="1" x14ac:dyDescent="0.3">
      <c r="A59" s="28" t="s">
        <v>82</v>
      </c>
      <c r="B59" s="27">
        <v>58</v>
      </c>
      <c r="C59" s="28" t="s">
        <v>84</v>
      </c>
      <c r="D59" s="28" t="s">
        <v>85</v>
      </c>
      <c r="E59" s="27" t="s">
        <v>58</v>
      </c>
      <c r="F59" s="27">
        <v>102</v>
      </c>
      <c r="G59" s="31" t="str">
        <f>VLOOKUP(I59,'Names with Seat Code'!B:E,2)</f>
        <v>Happiness</v>
      </c>
      <c r="H59" s="31" t="str">
        <f>VLOOKUP(I59,'Names with Seat Code'!B:E,4)</f>
        <v>Deji</v>
      </c>
      <c r="I59" s="25">
        <f>IF(B58+1&lt;DIRECTIONS!$E$24,B58+1,0)</f>
        <v>58</v>
      </c>
    </row>
    <row r="60" spans="1:9" ht="19.5" thickTop="1" thickBot="1" x14ac:dyDescent="0.3">
      <c r="A60" s="28" t="s">
        <v>82</v>
      </c>
      <c r="B60" s="27">
        <v>59</v>
      </c>
      <c r="C60" s="28" t="s">
        <v>84</v>
      </c>
      <c r="D60" s="28" t="s">
        <v>85</v>
      </c>
      <c r="E60" s="27" t="s">
        <v>58</v>
      </c>
      <c r="F60" s="27">
        <v>101</v>
      </c>
      <c r="G60" s="31" t="str">
        <f>VLOOKUP(I60,'Names with Seat Code'!B:E,2)</f>
        <v>Jack</v>
      </c>
      <c r="H60" s="31" t="str">
        <f>VLOOKUP(I60,'Names with Seat Code'!B:E,4)</f>
        <v>Denmark</v>
      </c>
      <c r="I60" s="25">
        <f>IF(B59+1&lt;DIRECTIONS!$E$24,B59+1,0)</f>
        <v>59</v>
      </c>
    </row>
    <row r="61" spans="1:9" ht="19.5" thickTop="1" thickBot="1" x14ac:dyDescent="0.3">
      <c r="A61" s="28" t="s">
        <v>82</v>
      </c>
      <c r="B61" s="27">
        <v>60</v>
      </c>
      <c r="C61" s="28" t="s">
        <v>83</v>
      </c>
      <c r="D61" s="28" t="s">
        <v>50</v>
      </c>
      <c r="E61" s="27" t="s">
        <v>58</v>
      </c>
      <c r="F61" s="27">
        <v>20</v>
      </c>
      <c r="G61" s="31" t="str">
        <f>VLOOKUP(I61,'Names with Seat Code'!B:E,2)</f>
        <v>Julie</v>
      </c>
      <c r="H61" s="31" t="str">
        <f>VLOOKUP(I61,'Names with Seat Code'!B:E,4)</f>
        <v>DiDonato</v>
      </c>
      <c r="I61" s="25">
        <f>IF(B60+1&lt;DIRECTIONS!$E$24,B60+1,0)</f>
        <v>60</v>
      </c>
    </row>
    <row r="62" spans="1:9" ht="19.5" thickTop="1" thickBot="1" x14ac:dyDescent="0.3">
      <c r="A62" s="28" t="s">
        <v>82</v>
      </c>
      <c r="B62" s="27">
        <v>61</v>
      </c>
      <c r="C62" s="28" t="s">
        <v>83</v>
      </c>
      <c r="D62" s="28" t="s">
        <v>50</v>
      </c>
      <c r="E62" s="27" t="s">
        <v>58</v>
      </c>
      <c r="F62" s="27">
        <v>18</v>
      </c>
      <c r="G62" s="31" t="str">
        <f>VLOOKUP(I62,'Names with Seat Code'!B:E,2)</f>
        <v>Antonio</v>
      </c>
      <c r="H62" s="31" t="str">
        <f>VLOOKUP(I62,'Names with Seat Code'!B:E,4)</f>
        <v>DiSerio</v>
      </c>
      <c r="I62" s="25">
        <f>IF(B61+1&lt;DIRECTIONS!$E$24,B61+1,0)</f>
        <v>61</v>
      </c>
    </row>
    <row r="63" spans="1:9" ht="19.5" thickTop="1" thickBot="1" x14ac:dyDescent="0.3">
      <c r="A63" s="28" t="s">
        <v>82</v>
      </c>
      <c r="B63" s="27">
        <v>62</v>
      </c>
      <c r="C63" s="28" t="s">
        <v>83</v>
      </c>
      <c r="D63" s="28" t="s">
        <v>50</v>
      </c>
      <c r="E63" s="27" t="s">
        <v>58</v>
      </c>
      <c r="F63" s="27">
        <v>16</v>
      </c>
      <c r="G63" s="31" t="str">
        <f>VLOOKUP(I63,'Names with Seat Code'!B:E,2)</f>
        <v>Dante</v>
      </c>
      <c r="H63" s="31" t="str">
        <f>VLOOKUP(I63,'Names with Seat Code'!B:E,4)</f>
        <v>DiSerio</v>
      </c>
      <c r="I63" s="25">
        <f>IF(B62+1&lt;DIRECTIONS!$E$24,B62+1,0)</f>
        <v>62</v>
      </c>
    </row>
    <row r="64" spans="1:9" ht="19.5" thickTop="1" thickBot="1" x14ac:dyDescent="0.3">
      <c r="A64" s="28" t="s">
        <v>82</v>
      </c>
      <c r="B64" s="27">
        <v>63</v>
      </c>
      <c r="C64" s="28" t="s">
        <v>83</v>
      </c>
      <c r="D64" s="28" t="s">
        <v>50</v>
      </c>
      <c r="E64" s="27" t="s">
        <v>58</v>
      </c>
      <c r="F64" s="27">
        <v>14</v>
      </c>
      <c r="G64" s="31" t="str">
        <f>VLOOKUP(I64,'Names with Seat Code'!B:E,2)</f>
        <v>Caitlin</v>
      </c>
      <c r="H64" s="31" t="str">
        <f>VLOOKUP(I64,'Names with Seat Code'!B:E,4)</f>
        <v>Donaghey</v>
      </c>
      <c r="I64" s="25">
        <f>IF(B63+1&lt;DIRECTIONS!$E$24,B63+1,0)</f>
        <v>63</v>
      </c>
    </row>
    <row r="65" spans="1:9" ht="19.5" thickTop="1" thickBot="1" x14ac:dyDescent="0.3">
      <c r="A65" s="28" t="s">
        <v>82</v>
      </c>
      <c r="B65" s="27">
        <v>64</v>
      </c>
      <c r="C65" s="28" t="s">
        <v>83</v>
      </c>
      <c r="D65" s="28" t="s">
        <v>50</v>
      </c>
      <c r="E65" s="27" t="s">
        <v>58</v>
      </c>
      <c r="F65" s="27">
        <v>12</v>
      </c>
      <c r="G65" s="31" t="str">
        <f>VLOOKUP(I65,'Names with Seat Code'!B:E,2)</f>
        <v>Quinn</v>
      </c>
      <c r="H65" s="31" t="str">
        <f>VLOOKUP(I65,'Names with Seat Code'!B:E,4)</f>
        <v>Donahue</v>
      </c>
      <c r="I65" s="25">
        <f>IF(B64+1&lt;DIRECTIONS!$E$24,B64+1,0)</f>
        <v>64</v>
      </c>
    </row>
    <row r="66" spans="1:9" ht="19.5" thickTop="1" thickBot="1" x14ac:dyDescent="0.3">
      <c r="A66" s="28" t="s">
        <v>82</v>
      </c>
      <c r="B66" s="27">
        <v>65</v>
      </c>
      <c r="C66" s="28" t="s">
        <v>83</v>
      </c>
      <c r="D66" s="28" t="s">
        <v>50</v>
      </c>
      <c r="E66" s="27" t="s">
        <v>58</v>
      </c>
      <c r="F66" s="27">
        <v>10</v>
      </c>
      <c r="G66" s="31" t="str">
        <f>VLOOKUP(I66,'Names with Seat Code'!B:E,2)</f>
        <v>Alana</v>
      </c>
      <c r="H66" s="31" t="str">
        <f>VLOOKUP(I66,'Names with Seat Code'!B:E,4)</f>
        <v>Doroquez</v>
      </c>
      <c r="I66" s="25">
        <f>IF(B65+1&lt;DIRECTIONS!$E$24,B65+1,0)</f>
        <v>65</v>
      </c>
    </row>
    <row r="67" spans="1:9" ht="19.5" thickTop="1" thickBot="1" x14ac:dyDescent="0.3">
      <c r="A67" s="28" t="s">
        <v>82</v>
      </c>
      <c r="B67" s="27">
        <v>66</v>
      </c>
      <c r="C67" s="28" t="s">
        <v>83</v>
      </c>
      <c r="D67" s="28" t="s">
        <v>50</v>
      </c>
      <c r="E67" s="27" t="s">
        <v>58</v>
      </c>
      <c r="F67" s="27">
        <v>8</v>
      </c>
      <c r="G67" s="31" t="str">
        <f>VLOOKUP(I67,'Names with Seat Code'!B:E,2)</f>
        <v>Cassidy</v>
      </c>
      <c r="H67" s="31" t="str">
        <f>VLOOKUP(I67,'Names with Seat Code'!B:E,4)</f>
        <v>Duca</v>
      </c>
      <c r="I67" s="25">
        <f>IF(B66+1&lt;DIRECTIONS!$E$24,B66+1,0)</f>
        <v>66</v>
      </c>
    </row>
    <row r="68" spans="1:9" ht="19.5" thickTop="1" thickBot="1" x14ac:dyDescent="0.3">
      <c r="A68" s="28" t="s">
        <v>82</v>
      </c>
      <c r="B68" s="27">
        <v>67</v>
      </c>
      <c r="C68" s="28" t="s">
        <v>83</v>
      </c>
      <c r="D68" s="28" t="s">
        <v>50</v>
      </c>
      <c r="E68" s="27" t="s">
        <v>58</v>
      </c>
      <c r="F68" s="27">
        <v>6</v>
      </c>
      <c r="G68" s="31" t="str">
        <f>VLOOKUP(I68,'Names with Seat Code'!B:E,2)</f>
        <v>Kyle</v>
      </c>
      <c r="H68" s="31" t="str">
        <f>VLOOKUP(I68,'Names with Seat Code'!B:E,4)</f>
        <v>DuRoss</v>
      </c>
      <c r="I68" s="25">
        <f>IF(B67+1&lt;DIRECTIONS!$E$24,B67+1,0)</f>
        <v>67</v>
      </c>
    </row>
    <row r="69" spans="1:9" ht="19.5" thickTop="1" thickBot="1" x14ac:dyDescent="0.3">
      <c r="A69" s="28" t="s">
        <v>82</v>
      </c>
      <c r="B69" s="27">
        <v>68</v>
      </c>
      <c r="C69" s="28" t="s">
        <v>83</v>
      </c>
      <c r="D69" s="28" t="s">
        <v>50</v>
      </c>
      <c r="E69" s="27" t="s">
        <v>58</v>
      </c>
      <c r="F69" s="27">
        <v>4</v>
      </c>
      <c r="G69" s="31" t="str">
        <f>VLOOKUP(I69,'Names with Seat Code'!B:E,2)</f>
        <v>Sean</v>
      </c>
      <c r="H69" s="31" t="str">
        <f>VLOOKUP(I69,'Names with Seat Code'!B:E,4)</f>
        <v>DuRoss</v>
      </c>
      <c r="I69" s="25">
        <f>IF(B68+1&lt;DIRECTIONS!$E$24,B68+1,0)</f>
        <v>68</v>
      </c>
    </row>
    <row r="70" spans="1:9" ht="19.5" thickTop="1" thickBot="1" x14ac:dyDescent="0.3">
      <c r="A70" s="28" t="s">
        <v>82</v>
      </c>
      <c r="B70" s="27">
        <v>69</v>
      </c>
      <c r="C70" s="28" t="s">
        <v>83</v>
      </c>
      <c r="D70" s="28" t="s">
        <v>50</v>
      </c>
      <c r="E70" s="27" t="s">
        <v>58</v>
      </c>
      <c r="F70" s="27">
        <v>2</v>
      </c>
      <c r="G70" s="31" t="str">
        <f>VLOOKUP(I70,'Names with Seat Code'!B:E,2)</f>
        <v>William</v>
      </c>
      <c r="H70" s="31" t="str">
        <f>VLOOKUP(I70,'Names with Seat Code'!B:E,4)</f>
        <v>Dyment</v>
      </c>
      <c r="I70" s="25">
        <f>IF(B69+1&lt;DIRECTIONS!$E$24,B69+1,0)</f>
        <v>69</v>
      </c>
    </row>
    <row r="71" spans="1:9" ht="19.5" thickTop="1" thickBot="1" x14ac:dyDescent="0.3">
      <c r="A71" s="28" t="s">
        <v>82</v>
      </c>
      <c r="B71" s="27">
        <v>70</v>
      </c>
      <c r="C71" s="28" t="s">
        <v>84</v>
      </c>
      <c r="D71" s="28" t="s">
        <v>85</v>
      </c>
      <c r="E71" s="27" t="s">
        <v>60</v>
      </c>
      <c r="F71" s="27">
        <v>107</v>
      </c>
      <c r="G71" s="31" t="str">
        <f>VLOOKUP(I71,'Names with Seat Code'!B:E,2)</f>
        <v>Finn</v>
      </c>
      <c r="H71" s="31" t="str">
        <f>VLOOKUP(I71,'Names with Seat Code'!B:E,4)</f>
        <v>Ellis</v>
      </c>
      <c r="I71" s="25">
        <f>IF(B70+1&lt;DIRECTIONS!$E$24,B70+1,0)</f>
        <v>70</v>
      </c>
    </row>
    <row r="72" spans="1:9" ht="19.5" thickTop="1" thickBot="1" x14ac:dyDescent="0.3">
      <c r="A72" s="28" t="s">
        <v>82</v>
      </c>
      <c r="B72" s="27">
        <v>71</v>
      </c>
      <c r="C72" s="28" t="s">
        <v>84</v>
      </c>
      <c r="D72" s="28" t="s">
        <v>85</v>
      </c>
      <c r="E72" s="27" t="s">
        <v>60</v>
      </c>
      <c r="F72" s="27">
        <v>106</v>
      </c>
      <c r="G72" s="31" t="str">
        <f>VLOOKUP(I72,'Names with Seat Code'!B:E,2)</f>
        <v>Levi</v>
      </c>
      <c r="H72" s="31" t="str">
        <f>VLOOKUP(I72,'Names with Seat Code'!B:E,4)</f>
        <v>Emmanuel</v>
      </c>
      <c r="I72" s="25">
        <f>IF(B71+1&lt;DIRECTIONS!$E$24,B71+1,0)</f>
        <v>71</v>
      </c>
    </row>
    <row r="73" spans="1:9" ht="19.5" thickTop="1" thickBot="1" x14ac:dyDescent="0.3">
      <c r="A73" s="28" t="s">
        <v>82</v>
      </c>
      <c r="B73" s="27">
        <v>72</v>
      </c>
      <c r="C73" s="28" t="s">
        <v>84</v>
      </c>
      <c r="D73" s="28" t="s">
        <v>85</v>
      </c>
      <c r="E73" s="27" t="s">
        <v>60</v>
      </c>
      <c r="F73" s="27">
        <v>105</v>
      </c>
      <c r="G73" s="31" t="str">
        <f>VLOOKUP(I73,'Names with Seat Code'!B:E,2)</f>
        <v>Kamryn</v>
      </c>
      <c r="H73" s="31" t="str">
        <f>VLOOKUP(I73,'Names with Seat Code'!B:E,4)</f>
        <v>Encarnacao</v>
      </c>
      <c r="I73" s="25">
        <f>IF(B72+1&lt;DIRECTIONS!$E$24,B72+1,0)</f>
        <v>72</v>
      </c>
    </row>
    <row r="74" spans="1:9" ht="19.5" thickTop="1" thickBot="1" x14ac:dyDescent="0.3">
      <c r="A74" s="28" t="s">
        <v>82</v>
      </c>
      <c r="B74" s="27">
        <v>73</v>
      </c>
      <c r="C74" s="28" t="s">
        <v>84</v>
      </c>
      <c r="D74" s="28" t="s">
        <v>85</v>
      </c>
      <c r="E74" s="27" t="s">
        <v>60</v>
      </c>
      <c r="F74" s="27">
        <v>104</v>
      </c>
      <c r="G74" s="31" t="str">
        <f>VLOOKUP(I74,'Names with Seat Code'!B:E,2)</f>
        <v>Samuel</v>
      </c>
      <c r="H74" s="31" t="str">
        <f>VLOOKUP(I74,'Names with Seat Code'!B:E,4)</f>
        <v>Ewald</v>
      </c>
      <c r="I74" s="25">
        <f>IF(B73+1&lt;DIRECTIONS!$E$24,B73+1,0)</f>
        <v>73</v>
      </c>
    </row>
    <row r="75" spans="1:9" ht="19.5" thickTop="1" thickBot="1" x14ac:dyDescent="0.3">
      <c r="A75" s="28" t="s">
        <v>82</v>
      </c>
      <c r="B75" s="27">
        <v>74</v>
      </c>
      <c r="C75" s="28" t="s">
        <v>84</v>
      </c>
      <c r="D75" s="28" t="s">
        <v>85</v>
      </c>
      <c r="E75" s="27" t="s">
        <v>60</v>
      </c>
      <c r="F75" s="27">
        <v>103</v>
      </c>
      <c r="G75" s="31" t="str">
        <f>VLOOKUP(I75,'Names with Seat Code'!B:E,2)</f>
        <v>Kaylie</v>
      </c>
      <c r="H75" s="31" t="str">
        <f>VLOOKUP(I75,'Names with Seat Code'!B:E,4)</f>
        <v>Fantasia</v>
      </c>
      <c r="I75" s="25">
        <f>IF(B74+1&lt;DIRECTIONS!$E$24,B74+1,0)</f>
        <v>74</v>
      </c>
    </row>
    <row r="76" spans="1:9" ht="19.5" thickTop="1" thickBot="1" x14ac:dyDescent="0.3">
      <c r="A76" s="28" t="s">
        <v>82</v>
      </c>
      <c r="B76" s="27">
        <v>75</v>
      </c>
      <c r="C76" s="28" t="s">
        <v>84</v>
      </c>
      <c r="D76" s="28" t="s">
        <v>85</v>
      </c>
      <c r="E76" s="27" t="s">
        <v>60</v>
      </c>
      <c r="F76" s="27">
        <v>102</v>
      </c>
      <c r="G76" s="31" t="str">
        <f>VLOOKUP(I76,'Names with Seat Code'!B:E,2)</f>
        <v>Vince</v>
      </c>
      <c r="H76" s="31" t="str">
        <f>VLOOKUP(I76,'Names with Seat Code'!B:E,4)</f>
        <v>Farnham</v>
      </c>
      <c r="I76" s="25">
        <f>IF(B75+1&lt;DIRECTIONS!$E$24,B75+1,0)</f>
        <v>75</v>
      </c>
    </row>
    <row r="77" spans="1:9" ht="19.5" thickTop="1" thickBot="1" x14ac:dyDescent="0.3">
      <c r="A77" s="28" t="s">
        <v>82</v>
      </c>
      <c r="B77" s="27">
        <v>76</v>
      </c>
      <c r="C77" s="28" t="s">
        <v>84</v>
      </c>
      <c r="D77" s="28" t="s">
        <v>85</v>
      </c>
      <c r="E77" s="27" t="s">
        <v>60</v>
      </c>
      <c r="F77" s="27">
        <v>101</v>
      </c>
      <c r="G77" s="31" t="str">
        <f>VLOOKUP(I77,'Names with Seat Code'!B:E,2)</f>
        <v>Colby</v>
      </c>
      <c r="H77" s="31" t="str">
        <f>VLOOKUP(I77,'Names with Seat Code'!B:E,4)</f>
        <v>Farris</v>
      </c>
      <c r="I77" s="25">
        <f>IF(B76+1&lt;DIRECTIONS!$E$24,B76+1,0)</f>
        <v>76</v>
      </c>
    </row>
    <row r="78" spans="1:9" ht="19.5" thickTop="1" thickBot="1" x14ac:dyDescent="0.3">
      <c r="A78" s="28" t="s">
        <v>82</v>
      </c>
      <c r="B78" s="27">
        <v>77</v>
      </c>
      <c r="C78" s="28" t="s">
        <v>83</v>
      </c>
      <c r="D78" s="28" t="s">
        <v>50</v>
      </c>
      <c r="E78" s="27" t="s">
        <v>60</v>
      </c>
      <c r="F78" s="27">
        <v>20</v>
      </c>
      <c r="G78" s="31" t="str">
        <f>VLOOKUP(I78,'Names with Seat Code'!B:E,2)</f>
        <v>Bryan</v>
      </c>
      <c r="H78" s="31" t="str">
        <f>VLOOKUP(I78,'Names with Seat Code'!B:E,4)</f>
        <v>Fernandez</v>
      </c>
      <c r="I78" s="25">
        <f>IF(B77+1&lt;DIRECTIONS!$E$24,B77+1,0)</f>
        <v>77</v>
      </c>
    </row>
    <row r="79" spans="1:9" ht="19.5" thickTop="1" thickBot="1" x14ac:dyDescent="0.3">
      <c r="A79" s="28" t="s">
        <v>82</v>
      </c>
      <c r="B79" s="27">
        <v>78</v>
      </c>
      <c r="C79" s="28" t="s">
        <v>83</v>
      </c>
      <c r="D79" s="28" t="s">
        <v>50</v>
      </c>
      <c r="E79" s="27" t="s">
        <v>60</v>
      </c>
      <c r="F79" s="27">
        <v>18</v>
      </c>
      <c r="G79" s="31" t="str">
        <f>VLOOKUP(I79,'Names with Seat Code'!B:E,2)</f>
        <v>Thomas</v>
      </c>
      <c r="H79" s="31" t="str">
        <f>VLOOKUP(I79,'Names with Seat Code'!B:E,4)</f>
        <v>Fiore</v>
      </c>
      <c r="I79" s="25">
        <f>IF(B78+1&lt;DIRECTIONS!$E$24,B78+1,0)</f>
        <v>78</v>
      </c>
    </row>
    <row r="80" spans="1:9" ht="19.5" thickTop="1" thickBot="1" x14ac:dyDescent="0.3">
      <c r="A80" s="28" t="s">
        <v>82</v>
      </c>
      <c r="B80" s="27">
        <v>79</v>
      </c>
      <c r="C80" s="28" t="s">
        <v>83</v>
      </c>
      <c r="D80" s="28" t="s">
        <v>50</v>
      </c>
      <c r="E80" s="27" t="s">
        <v>60</v>
      </c>
      <c r="F80" s="27">
        <v>16</v>
      </c>
      <c r="G80" s="31" t="str">
        <f>VLOOKUP(I80,'Names with Seat Code'!B:E,2)</f>
        <v>Finn</v>
      </c>
      <c r="H80" s="31" t="str">
        <f>VLOOKUP(I80,'Names with Seat Code'!B:E,4)</f>
        <v>Flaherty</v>
      </c>
      <c r="I80" s="25">
        <f>IF(B79+1&lt;DIRECTIONS!$E$24,B79+1,0)</f>
        <v>79</v>
      </c>
    </row>
    <row r="81" spans="1:9" ht="19.5" thickTop="1" thickBot="1" x14ac:dyDescent="0.3">
      <c r="A81" s="28" t="s">
        <v>82</v>
      </c>
      <c r="B81" s="27">
        <v>80</v>
      </c>
      <c r="C81" s="28" t="s">
        <v>83</v>
      </c>
      <c r="D81" s="28" t="s">
        <v>50</v>
      </c>
      <c r="E81" s="27" t="s">
        <v>60</v>
      </c>
      <c r="F81" s="27">
        <v>14</v>
      </c>
      <c r="G81" s="31" t="str">
        <f>VLOOKUP(I81,'Names with Seat Code'!B:E,2)</f>
        <v>Matthew</v>
      </c>
      <c r="H81" s="31" t="str">
        <f>VLOOKUP(I81,'Names with Seat Code'!B:E,4)</f>
        <v>Forse</v>
      </c>
      <c r="I81" s="25">
        <f>IF(B80+1&lt;DIRECTIONS!$E$24,B80+1,0)</f>
        <v>80</v>
      </c>
    </row>
    <row r="82" spans="1:9" ht="19.5" thickTop="1" thickBot="1" x14ac:dyDescent="0.3">
      <c r="A82" s="28" t="s">
        <v>82</v>
      </c>
      <c r="B82" s="27">
        <v>81</v>
      </c>
      <c r="C82" s="28" t="s">
        <v>83</v>
      </c>
      <c r="D82" s="28" t="s">
        <v>50</v>
      </c>
      <c r="E82" s="27" t="s">
        <v>60</v>
      </c>
      <c r="F82" s="27">
        <v>12</v>
      </c>
      <c r="G82" s="31" t="str">
        <f>VLOOKUP(I82,'Names with Seat Code'!B:E,2)</f>
        <v>Jacob</v>
      </c>
      <c r="H82" s="31" t="str">
        <f>VLOOKUP(I82,'Names with Seat Code'!B:E,4)</f>
        <v>Frank</v>
      </c>
      <c r="I82" s="25">
        <f>IF(B81+1&lt;DIRECTIONS!$E$24,B81+1,0)</f>
        <v>81</v>
      </c>
    </row>
    <row r="83" spans="1:9" ht="19.5" thickTop="1" thickBot="1" x14ac:dyDescent="0.3">
      <c r="A83" s="28" t="s">
        <v>82</v>
      </c>
      <c r="B83" s="27">
        <v>82</v>
      </c>
      <c r="C83" s="28" t="s">
        <v>83</v>
      </c>
      <c r="D83" s="28" t="s">
        <v>50</v>
      </c>
      <c r="E83" s="27" t="s">
        <v>60</v>
      </c>
      <c r="F83" s="27">
        <v>10</v>
      </c>
      <c r="G83" s="31" t="str">
        <f>VLOOKUP(I83,'Names with Seat Code'!B:E,2)</f>
        <v>Anthony</v>
      </c>
      <c r="H83" s="31" t="str">
        <f>VLOOKUP(I83,'Names with Seat Code'!B:E,4)</f>
        <v>Fratto</v>
      </c>
      <c r="I83" s="25">
        <f>IF(B82+1&lt;DIRECTIONS!$E$24,B82+1,0)</f>
        <v>82</v>
      </c>
    </row>
    <row r="84" spans="1:9" ht="19.5" thickTop="1" thickBot="1" x14ac:dyDescent="0.3">
      <c r="A84" s="28" t="s">
        <v>82</v>
      </c>
      <c r="B84" s="27">
        <v>83</v>
      </c>
      <c r="C84" s="28" t="s">
        <v>83</v>
      </c>
      <c r="D84" s="28" t="s">
        <v>50</v>
      </c>
      <c r="E84" s="27" t="s">
        <v>60</v>
      </c>
      <c r="F84" s="27">
        <v>8</v>
      </c>
      <c r="G84" s="31" t="str">
        <f>VLOOKUP(I84,'Names with Seat Code'!B:E,2)</f>
        <v>Gavin</v>
      </c>
      <c r="H84" s="31" t="str">
        <f>VLOOKUP(I84,'Names with Seat Code'!B:E,4)</f>
        <v>Fucarile</v>
      </c>
      <c r="I84" s="25">
        <f>IF(B83+1&lt;DIRECTIONS!$E$24,B83+1,0)</f>
        <v>83</v>
      </c>
    </row>
    <row r="85" spans="1:9" ht="19.5" thickTop="1" thickBot="1" x14ac:dyDescent="0.3">
      <c r="A85" s="28" t="s">
        <v>82</v>
      </c>
      <c r="B85" s="27">
        <v>84</v>
      </c>
      <c r="C85" s="28" t="s">
        <v>83</v>
      </c>
      <c r="D85" s="28" t="s">
        <v>50</v>
      </c>
      <c r="E85" s="27" t="s">
        <v>60</v>
      </c>
      <c r="F85" s="27">
        <v>6</v>
      </c>
      <c r="G85" s="31" t="str">
        <f>VLOOKUP(I85,'Names with Seat Code'!B:E,2)</f>
        <v>Cole</v>
      </c>
      <c r="H85" s="31" t="str">
        <f>VLOOKUP(I85,'Names with Seat Code'!B:E,4)</f>
        <v>Fusco</v>
      </c>
      <c r="I85" s="25">
        <f>IF(B84+1&lt;DIRECTIONS!$E$24,B84+1,0)</f>
        <v>84</v>
      </c>
    </row>
    <row r="86" spans="1:9" ht="19.5" thickTop="1" thickBot="1" x14ac:dyDescent="0.3">
      <c r="A86" s="28" t="s">
        <v>82</v>
      </c>
      <c r="B86" s="27">
        <v>85</v>
      </c>
      <c r="C86" s="28" t="s">
        <v>83</v>
      </c>
      <c r="D86" s="28" t="s">
        <v>50</v>
      </c>
      <c r="E86" s="27" t="s">
        <v>60</v>
      </c>
      <c r="F86" s="27">
        <v>4</v>
      </c>
      <c r="G86" s="31" t="str">
        <f>VLOOKUP(I86,'Names with Seat Code'!B:E,2)</f>
        <v>Paul</v>
      </c>
      <c r="H86" s="31" t="str">
        <f>VLOOKUP(I86,'Names with Seat Code'!B:E,4)</f>
        <v>Gaeta</v>
      </c>
      <c r="I86" s="25">
        <f>IF(B85+1&lt;DIRECTIONS!$E$24,B85+1,0)</f>
        <v>85</v>
      </c>
    </row>
    <row r="87" spans="1:9" ht="19.5" thickTop="1" thickBot="1" x14ac:dyDescent="0.3">
      <c r="A87" s="28" t="s">
        <v>82</v>
      </c>
      <c r="B87" s="27">
        <v>86</v>
      </c>
      <c r="C87" s="28" t="s">
        <v>83</v>
      </c>
      <c r="D87" s="28" t="s">
        <v>50</v>
      </c>
      <c r="E87" s="27" t="s">
        <v>60</v>
      </c>
      <c r="F87" s="27">
        <v>2</v>
      </c>
      <c r="G87" s="31" t="str">
        <f>VLOOKUP(I87,'Names with Seat Code'!B:E,2)</f>
        <v>Lucas</v>
      </c>
      <c r="H87" s="31" t="str">
        <f>VLOOKUP(I87,'Names with Seat Code'!B:E,4)</f>
        <v>Gager</v>
      </c>
      <c r="I87" s="25">
        <f>IF(B86+1&lt;DIRECTIONS!$E$24,B86+1,0)</f>
        <v>86</v>
      </c>
    </row>
    <row r="88" spans="1:9" ht="19.5" thickTop="1" thickBot="1" x14ac:dyDescent="0.3">
      <c r="A88" s="28" t="s">
        <v>82</v>
      </c>
      <c r="B88" s="27">
        <v>87</v>
      </c>
      <c r="C88" s="28" t="s">
        <v>84</v>
      </c>
      <c r="D88" s="28" t="s">
        <v>85</v>
      </c>
      <c r="E88" s="27" t="s">
        <v>61</v>
      </c>
      <c r="F88" s="27">
        <v>106</v>
      </c>
      <c r="G88" s="31" t="str">
        <f>VLOOKUP(I88,'Names with Seat Code'!B:E,2)</f>
        <v>Nevaeh</v>
      </c>
      <c r="H88" s="31" t="str">
        <f>VLOOKUP(I88,'Names with Seat Code'!B:E,4)</f>
        <v>Galindo</v>
      </c>
      <c r="I88" s="25">
        <f>IF(B87+1&lt;DIRECTIONS!$E$24,B87+1,0)</f>
        <v>87</v>
      </c>
    </row>
    <row r="89" spans="1:9" ht="19.5" thickTop="1" thickBot="1" x14ac:dyDescent="0.3">
      <c r="A89" s="28" t="s">
        <v>82</v>
      </c>
      <c r="B89" s="27">
        <v>88</v>
      </c>
      <c r="C89" s="28" t="s">
        <v>84</v>
      </c>
      <c r="D89" s="28" t="s">
        <v>85</v>
      </c>
      <c r="E89" s="27" t="s">
        <v>61</v>
      </c>
      <c r="F89" s="27">
        <v>105</v>
      </c>
      <c r="G89" s="31" t="str">
        <f>VLOOKUP(I89,'Names with Seat Code'!B:E,2)</f>
        <v>Joseph</v>
      </c>
      <c r="H89" s="31" t="str">
        <f>VLOOKUP(I89,'Names with Seat Code'!B:E,4)</f>
        <v>Gallagher</v>
      </c>
      <c r="I89" s="25">
        <f>IF(B88+1&lt;DIRECTIONS!$E$24,B88+1,0)</f>
        <v>88</v>
      </c>
    </row>
    <row r="90" spans="1:9" ht="19.5" thickTop="1" thickBot="1" x14ac:dyDescent="0.3">
      <c r="A90" s="28" t="s">
        <v>82</v>
      </c>
      <c r="B90" s="27">
        <v>89</v>
      </c>
      <c r="C90" s="28" t="s">
        <v>84</v>
      </c>
      <c r="D90" s="28" t="s">
        <v>85</v>
      </c>
      <c r="E90" s="27" t="s">
        <v>61</v>
      </c>
      <c r="F90" s="27">
        <v>104</v>
      </c>
      <c r="G90" s="31" t="str">
        <f>VLOOKUP(I90,'Names with Seat Code'!B:E,2)</f>
        <v>Brendan</v>
      </c>
      <c r="H90" s="31" t="str">
        <f>VLOOKUP(I90,'Names with Seat Code'!B:E,4)</f>
        <v>Gauvin</v>
      </c>
      <c r="I90" s="25">
        <f>IF(B89+1&lt;DIRECTIONS!$E$24,B89+1,0)</f>
        <v>89</v>
      </c>
    </row>
    <row r="91" spans="1:9" ht="19.5" thickTop="1" thickBot="1" x14ac:dyDescent="0.3">
      <c r="A91" s="28" t="s">
        <v>82</v>
      </c>
      <c r="B91" s="27">
        <v>90</v>
      </c>
      <c r="C91" s="28" t="s">
        <v>84</v>
      </c>
      <c r="D91" s="28" t="s">
        <v>85</v>
      </c>
      <c r="E91" s="27" t="s">
        <v>61</v>
      </c>
      <c r="F91" s="27">
        <v>103</v>
      </c>
      <c r="G91" s="31" t="str">
        <f>VLOOKUP(I91,'Names with Seat Code'!B:E,2)</f>
        <v>Bereket</v>
      </c>
      <c r="H91" s="31" t="str">
        <f>VLOOKUP(I91,'Names with Seat Code'!B:E,4)</f>
        <v>Gebeyaw</v>
      </c>
      <c r="I91" s="25">
        <f>IF(B90+1&lt;DIRECTIONS!$E$24,B90+1,0)</f>
        <v>90</v>
      </c>
    </row>
    <row r="92" spans="1:9" ht="19.5" thickTop="1" thickBot="1" x14ac:dyDescent="0.3">
      <c r="A92" s="28" t="s">
        <v>82</v>
      </c>
      <c r="B92" s="27">
        <v>91</v>
      </c>
      <c r="C92" s="28" t="s">
        <v>84</v>
      </c>
      <c r="D92" s="28" t="s">
        <v>85</v>
      </c>
      <c r="E92" s="27" t="s">
        <v>61</v>
      </c>
      <c r="F92" s="27">
        <v>102</v>
      </c>
      <c r="G92" s="31" t="str">
        <f>VLOOKUP(I92,'Names with Seat Code'!B:E,2)</f>
        <v>Alix</v>
      </c>
      <c r="H92" s="31" t="str">
        <f>VLOOKUP(I92,'Names with Seat Code'!B:E,4)</f>
        <v>Gellot</v>
      </c>
      <c r="I92" s="25">
        <f>IF(B91+1&lt;DIRECTIONS!$E$24,B91+1,0)</f>
        <v>91</v>
      </c>
    </row>
    <row r="93" spans="1:9" ht="19.5" thickTop="1" thickBot="1" x14ac:dyDescent="0.3">
      <c r="A93" s="28" t="s">
        <v>82</v>
      </c>
      <c r="B93" s="27">
        <v>92</v>
      </c>
      <c r="C93" s="28" t="s">
        <v>84</v>
      </c>
      <c r="D93" s="28" t="s">
        <v>85</v>
      </c>
      <c r="E93" s="27" t="s">
        <v>61</v>
      </c>
      <c r="F93" s="27">
        <v>101</v>
      </c>
      <c r="G93" s="31" t="str">
        <f>VLOOKUP(I93,'Names with Seat Code'!B:E,2)</f>
        <v>Cameron</v>
      </c>
      <c r="H93" s="31" t="str">
        <f>VLOOKUP(I93,'Names with Seat Code'!B:E,4)</f>
        <v>Gigler</v>
      </c>
      <c r="I93" s="25">
        <f>IF(B92+1&lt;DIRECTIONS!$E$24,B92+1,0)</f>
        <v>92</v>
      </c>
    </row>
    <row r="94" spans="1:9" ht="19.5" thickTop="1" thickBot="1" x14ac:dyDescent="0.3">
      <c r="A94" s="28" t="s">
        <v>82</v>
      </c>
      <c r="B94" s="27">
        <v>93</v>
      </c>
      <c r="C94" s="28" t="s">
        <v>83</v>
      </c>
      <c r="D94" s="28" t="s">
        <v>50</v>
      </c>
      <c r="E94" s="27" t="s">
        <v>61</v>
      </c>
      <c r="F94" s="27">
        <v>20</v>
      </c>
      <c r="G94" s="31" t="str">
        <f>VLOOKUP(I94,'Names with Seat Code'!B:E,2)</f>
        <v>Alex</v>
      </c>
      <c r="H94" s="31" t="str">
        <f>VLOOKUP(I94,'Names with Seat Code'!B:E,4)</f>
        <v>Gisetto</v>
      </c>
      <c r="I94" s="25">
        <f>IF(B93+1&lt;DIRECTIONS!$E$24,B93+1,0)</f>
        <v>93</v>
      </c>
    </row>
    <row r="95" spans="1:9" ht="19.5" thickTop="1" thickBot="1" x14ac:dyDescent="0.3">
      <c r="A95" s="28" t="s">
        <v>82</v>
      </c>
      <c r="B95" s="27">
        <v>94</v>
      </c>
      <c r="C95" s="28" t="s">
        <v>83</v>
      </c>
      <c r="D95" s="28" t="s">
        <v>50</v>
      </c>
      <c r="E95" s="27" t="s">
        <v>61</v>
      </c>
      <c r="F95" s="27">
        <v>18</v>
      </c>
      <c r="G95" s="31" t="str">
        <f>VLOOKUP(I95,'Names with Seat Code'!B:E,2)</f>
        <v>Benjamin</v>
      </c>
      <c r="H95" s="31" t="str">
        <f>VLOOKUP(I95,'Names with Seat Code'!B:E,4)</f>
        <v>Goldlust</v>
      </c>
      <c r="I95" s="25">
        <f>IF(B94+1&lt;DIRECTIONS!$E$24,B94+1,0)</f>
        <v>94</v>
      </c>
    </row>
    <row r="96" spans="1:9" ht="19.5" thickTop="1" thickBot="1" x14ac:dyDescent="0.3">
      <c r="A96" s="28" t="s">
        <v>82</v>
      </c>
      <c r="B96" s="27">
        <v>95</v>
      </c>
      <c r="C96" s="28" t="s">
        <v>83</v>
      </c>
      <c r="D96" s="28" t="s">
        <v>50</v>
      </c>
      <c r="E96" s="27" t="s">
        <v>61</v>
      </c>
      <c r="F96" s="27">
        <v>16</v>
      </c>
      <c r="G96" s="31" t="str">
        <f>VLOOKUP(I96,'Names with Seat Code'!B:E,2)</f>
        <v>Jack</v>
      </c>
      <c r="H96" s="31" t="str">
        <f>VLOOKUP(I96,'Names with Seat Code'!B:E,4)</f>
        <v>Goodfellow</v>
      </c>
      <c r="I96" s="25">
        <f>IF(B95+1&lt;DIRECTIONS!$E$24,B95+1,0)</f>
        <v>95</v>
      </c>
    </row>
    <row r="97" spans="1:9" ht="19.5" thickTop="1" thickBot="1" x14ac:dyDescent="0.3">
      <c r="A97" s="28" t="s">
        <v>82</v>
      </c>
      <c r="B97" s="27">
        <v>96</v>
      </c>
      <c r="C97" s="28" t="s">
        <v>83</v>
      </c>
      <c r="D97" s="28" t="s">
        <v>50</v>
      </c>
      <c r="E97" s="27" t="s">
        <v>61</v>
      </c>
      <c r="F97" s="27">
        <v>14</v>
      </c>
      <c r="G97" s="31" t="str">
        <f>VLOOKUP(I97,'Names with Seat Code'!B:E,2)</f>
        <v>Drew</v>
      </c>
      <c r="H97" s="31" t="str">
        <f>VLOOKUP(I97,'Names with Seat Code'!B:E,4)</f>
        <v>Gorski</v>
      </c>
      <c r="I97" s="25">
        <f>IF(B96+1&lt;DIRECTIONS!$E$24,B96+1,0)</f>
        <v>96</v>
      </c>
    </row>
    <row r="98" spans="1:9" ht="19.5" thickTop="1" thickBot="1" x14ac:dyDescent="0.3">
      <c r="A98" s="28" t="s">
        <v>82</v>
      </c>
      <c r="B98" s="27">
        <v>97</v>
      </c>
      <c r="C98" s="28" t="s">
        <v>83</v>
      </c>
      <c r="D98" s="28" t="s">
        <v>50</v>
      </c>
      <c r="E98" s="27" t="s">
        <v>61</v>
      </c>
      <c r="F98" s="27">
        <v>12</v>
      </c>
      <c r="G98" s="31" t="str">
        <f>VLOOKUP(I98,'Names with Seat Code'!B:E,2)</f>
        <v>Lila</v>
      </c>
      <c r="H98" s="31" t="str">
        <f>VLOOKUP(I98,'Names with Seat Code'!B:E,4)</f>
        <v>Gosdanian</v>
      </c>
      <c r="I98" s="25">
        <f>IF(B97+1&lt;DIRECTIONS!$E$24,B97+1,0)</f>
        <v>97</v>
      </c>
    </row>
    <row r="99" spans="1:9" ht="19.5" thickTop="1" thickBot="1" x14ac:dyDescent="0.3">
      <c r="A99" s="28" t="s">
        <v>82</v>
      </c>
      <c r="B99" s="27">
        <v>98</v>
      </c>
      <c r="C99" s="28" t="s">
        <v>83</v>
      </c>
      <c r="D99" s="28" t="s">
        <v>50</v>
      </c>
      <c r="E99" s="27" t="s">
        <v>61</v>
      </c>
      <c r="F99" s="27">
        <v>10</v>
      </c>
      <c r="G99" s="31" t="str">
        <f>VLOOKUP(I99,'Names with Seat Code'!B:E,2)</f>
        <v>Cole</v>
      </c>
      <c r="H99" s="31" t="str">
        <f>VLOOKUP(I99,'Names with Seat Code'!B:E,4)</f>
        <v>Grant</v>
      </c>
      <c r="I99" s="25">
        <f>IF(B98+1&lt;DIRECTIONS!$E$24,B98+1,0)</f>
        <v>98</v>
      </c>
    </row>
    <row r="100" spans="1:9" ht="19.5" thickTop="1" thickBot="1" x14ac:dyDescent="0.3">
      <c r="A100" s="28" t="s">
        <v>82</v>
      </c>
      <c r="B100" s="27">
        <v>99</v>
      </c>
      <c r="C100" s="28" t="s">
        <v>83</v>
      </c>
      <c r="D100" s="28" t="s">
        <v>50</v>
      </c>
      <c r="E100" s="27" t="s">
        <v>61</v>
      </c>
      <c r="F100" s="27">
        <v>8</v>
      </c>
      <c r="G100" s="31" t="str">
        <f>VLOOKUP(I100,'Names with Seat Code'!B:E,2)</f>
        <v>Kendall</v>
      </c>
      <c r="H100" s="31" t="str">
        <f>VLOOKUP(I100,'Names with Seat Code'!B:E,4)</f>
        <v>Graves</v>
      </c>
      <c r="I100" s="25">
        <f>IF(B99+1&lt;DIRECTIONS!$E$24,B99+1,0)</f>
        <v>99</v>
      </c>
    </row>
    <row r="101" spans="1:9" ht="19.5" thickTop="1" thickBot="1" x14ac:dyDescent="0.3">
      <c r="A101" s="28" t="s">
        <v>82</v>
      </c>
      <c r="B101" s="27">
        <v>100</v>
      </c>
      <c r="C101" s="28" t="s">
        <v>83</v>
      </c>
      <c r="D101" s="28" t="s">
        <v>50</v>
      </c>
      <c r="E101" s="27" t="s">
        <v>61</v>
      </c>
      <c r="F101" s="27">
        <v>6</v>
      </c>
      <c r="G101" s="31" t="str">
        <f>VLOOKUP(I101,'Names with Seat Code'!B:E,2)</f>
        <v>Griffin</v>
      </c>
      <c r="H101" s="31" t="str">
        <f>VLOOKUP(I101,'Names with Seat Code'!B:E,4)</f>
        <v>Haggerty</v>
      </c>
      <c r="I101" s="25">
        <f>IF(B100+1&lt;DIRECTIONS!$E$24,B100+1,0)</f>
        <v>100</v>
      </c>
    </row>
    <row r="102" spans="1:9" ht="19.5" thickTop="1" thickBot="1" x14ac:dyDescent="0.3">
      <c r="A102" s="28" t="s">
        <v>82</v>
      </c>
      <c r="B102" s="27">
        <v>101</v>
      </c>
      <c r="C102" s="28" t="s">
        <v>83</v>
      </c>
      <c r="D102" s="28" t="s">
        <v>50</v>
      </c>
      <c r="E102" s="27" t="s">
        <v>61</v>
      </c>
      <c r="F102" s="27">
        <v>4</v>
      </c>
      <c r="G102" s="31" t="str">
        <f>VLOOKUP(I102,'Names with Seat Code'!B:E,2)</f>
        <v>Andrea</v>
      </c>
      <c r="H102" s="31" t="str">
        <f>VLOOKUP(I102,'Names with Seat Code'!B:E,4)</f>
        <v>Hall</v>
      </c>
      <c r="I102" s="25">
        <f>IF(B101+1&lt;DIRECTIONS!$E$24,B101+1,0)</f>
        <v>101</v>
      </c>
    </row>
    <row r="103" spans="1:9" ht="19.5" thickTop="1" thickBot="1" x14ac:dyDescent="0.3">
      <c r="A103" s="28" t="s">
        <v>82</v>
      </c>
      <c r="B103" s="27">
        <v>102</v>
      </c>
      <c r="C103" s="28" t="s">
        <v>83</v>
      </c>
      <c r="D103" s="28" t="s">
        <v>50</v>
      </c>
      <c r="E103" s="27" t="s">
        <v>61</v>
      </c>
      <c r="F103" s="27">
        <v>2</v>
      </c>
      <c r="G103" s="31" t="str">
        <f>VLOOKUP(I103,'Names with Seat Code'!B:E,2)</f>
        <v>Sarah</v>
      </c>
      <c r="H103" s="31" t="str">
        <f>VLOOKUP(I103,'Names with Seat Code'!B:E,4)</f>
        <v>Hamilton</v>
      </c>
      <c r="I103" s="25">
        <f>IF(B102+1&lt;DIRECTIONS!$E$24,B102+1,0)</f>
        <v>102</v>
      </c>
    </row>
    <row r="104" spans="1:9" ht="19.5" thickTop="1" thickBot="1" x14ac:dyDescent="0.3">
      <c r="A104" s="28" t="s">
        <v>82</v>
      </c>
      <c r="B104" s="27">
        <v>103</v>
      </c>
      <c r="C104" s="28" t="s">
        <v>84</v>
      </c>
      <c r="D104" s="28" t="s">
        <v>85</v>
      </c>
      <c r="E104" s="27" t="s">
        <v>63</v>
      </c>
      <c r="F104" s="27">
        <v>107</v>
      </c>
      <c r="G104" s="31" t="str">
        <f>VLOOKUP(I104,'Names with Seat Code'!B:E,2)</f>
        <v>Margaret</v>
      </c>
      <c r="H104" s="31" t="str">
        <f>VLOOKUP(I104,'Names with Seat Code'!B:E,4)</f>
        <v>Hanifan</v>
      </c>
      <c r="I104" s="25">
        <f>IF(B103+1&lt;DIRECTIONS!$E$24,B103+1,0)</f>
        <v>103</v>
      </c>
    </row>
    <row r="105" spans="1:9" ht="19.5" thickTop="1" thickBot="1" x14ac:dyDescent="0.3">
      <c r="A105" s="28" t="s">
        <v>82</v>
      </c>
      <c r="B105" s="27">
        <v>104</v>
      </c>
      <c r="C105" s="28" t="s">
        <v>84</v>
      </c>
      <c r="D105" s="28" t="s">
        <v>85</v>
      </c>
      <c r="E105" s="27" t="s">
        <v>63</v>
      </c>
      <c r="F105" s="27">
        <v>106</v>
      </c>
      <c r="G105" s="31" t="str">
        <f>VLOOKUP(I105,'Names with Seat Code'!B:E,2)</f>
        <v>Cameron</v>
      </c>
      <c r="H105" s="31" t="str">
        <f>VLOOKUP(I105,'Names with Seat Code'!B:E,4)</f>
        <v>Harrigan</v>
      </c>
      <c r="I105" s="25">
        <f>IF(B104+1&lt;DIRECTIONS!$E$24,B104+1,0)</f>
        <v>104</v>
      </c>
    </row>
    <row r="106" spans="1:9" ht="19.5" thickTop="1" thickBot="1" x14ac:dyDescent="0.3">
      <c r="A106" s="28" t="s">
        <v>82</v>
      </c>
      <c r="B106" s="27">
        <v>105</v>
      </c>
      <c r="C106" s="28" t="s">
        <v>84</v>
      </c>
      <c r="D106" s="28" t="s">
        <v>85</v>
      </c>
      <c r="E106" s="27" t="s">
        <v>63</v>
      </c>
      <c r="F106" s="27">
        <v>105</v>
      </c>
      <c r="G106" s="31" t="str">
        <f>VLOOKUP(I106,'Names with Seat Code'!B:E,2)</f>
        <v>Victoria</v>
      </c>
      <c r="H106" s="31" t="str">
        <f>VLOOKUP(I106,'Names with Seat Code'!B:E,4)</f>
        <v>Henri</v>
      </c>
      <c r="I106" s="25">
        <f>IF(B105+1&lt;DIRECTIONS!$E$24,B105+1,0)</f>
        <v>105</v>
      </c>
    </row>
    <row r="107" spans="1:9" ht="19.5" thickTop="1" thickBot="1" x14ac:dyDescent="0.3">
      <c r="A107" s="28" t="s">
        <v>82</v>
      </c>
      <c r="B107" s="27">
        <v>106</v>
      </c>
      <c r="C107" s="28" t="s">
        <v>84</v>
      </c>
      <c r="D107" s="28" t="s">
        <v>85</v>
      </c>
      <c r="E107" s="27" t="s">
        <v>63</v>
      </c>
      <c r="F107" s="27">
        <v>104</v>
      </c>
      <c r="G107" s="31" t="str">
        <f>VLOOKUP(I107,'Names with Seat Code'!B:E,2)</f>
        <v>Kayke</v>
      </c>
      <c r="H107" s="31" t="str">
        <f>VLOOKUP(I107,'Names with Seat Code'!B:E,4)</f>
        <v>Henrique</v>
      </c>
      <c r="I107" s="25">
        <f>IF(B106+1&lt;DIRECTIONS!$E$24,B106+1,0)</f>
        <v>106</v>
      </c>
    </row>
    <row r="108" spans="1:9" ht="19.5" thickTop="1" thickBot="1" x14ac:dyDescent="0.3">
      <c r="A108" s="28" t="s">
        <v>82</v>
      </c>
      <c r="B108" s="27">
        <v>107</v>
      </c>
      <c r="C108" s="28" t="s">
        <v>84</v>
      </c>
      <c r="D108" s="28" t="s">
        <v>85</v>
      </c>
      <c r="E108" s="27" t="s">
        <v>63</v>
      </c>
      <c r="F108" s="27">
        <v>103</v>
      </c>
      <c r="G108" s="31" t="str">
        <f>VLOOKUP(I108,'Names with Seat Code'!B:E,2)</f>
        <v>Jahkye</v>
      </c>
      <c r="H108" s="31" t="str">
        <f>VLOOKUP(I108,'Names with Seat Code'!B:E,4)</f>
        <v>Hobson</v>
      </c>
      <c r="I108" s="25">
        <f>IF(B107+1&lt;DIRECTIONS!$E$24,B107+1,0)</f>
        <v>107</v>
      </c>
    </row>
    <row r="109" spans="1:9" ht="19.5" thickTop="1" thickBot="1" x14ac:dyDescent="0.3">
      <c r="A109" s="28" t="s">
        <v>82</v>
      </c>
      <c r="B109" s="27">
        <v>108</v>
      </c>
      <c r="C109" s="28" t="s">
        <v>84</v>
      </c>
      <c r="D109" s="28" t="s">
        <v>85</v>
      </c>
      <c r="E109" s="27" t="s">
        <v>63</v>
      </c>
      <c r="F109" s="27">
        <v>102</v>
      </c>
      <c r="G109" s="31" t="str">
        <f>VLOOKUP(I109,'Names with Seat Code'!B:E,2)</f>
        <v>Sam</v>
      </c>
      <c r="H109" s="31" t="str">
        <f>VLOOKUP(I109,'Names with Seat Code'!B:E,4)</f>
        <v>Holt</v>
      </c>
      <c r="I109" s="25">
        <f>IF(B108+1&lt;DIRECTIONS!$E$24,B108+1,0)</f>
        <v>108</v>
      </c>
    </row>
    <row r="110" spans="1:9" ht="19.5" thickTop="1" thickBot="1" x14ac:dyDescent="0.3">
      <c r="A110" s="28" t="s">
        <v>82</v>
      </c>
      <c r="B110" s="27">
        <v>109</v>
      </c>
      <c r="C110" s="28" t="s">
        <v>84</v>
      </c>
      <c r="D110" s="28" t="s">
        <v>85</v>
      </c>
      <c r="E110" s="27" t="s">
        <v>63</v>
      </c>
      <c r="F110" s="27">
        <v>101</v>
      </c>
      <c r="G110" s="31" t="str">
        <f>VLOOKUP(I110,'Names with Seat Code'!B:E,2)</f>
        <v>Benjamin</v>
      </c>
      <c r="H110" s="31" t="str">
        <f>VLOOKUP(I110,'Names with Seat Code'!B:E,4)</f>
        <v>Houle</v>
      </c>
      <c r="I110" s="25">
        <f>IF(B109+1&lt;DIRECTIONS!$E$24,B109+1,0)</f>
        <v>109</v>
      </c>
    </row>
    <row r="111" spans="1:9" ht="19.5" thickTop="1" thickBot="1" x14ac:dyDescent="0.3">
      <c r="A111" s="28" t="s">
        <v>82</v>
      </c>
      <c r="B111" s="27">
        <v>110</v>
      </c>
      <c r="C111" s="28" t="s">
        <v>83</v>
      </c>
      <c r="D111" s="28" t="s">
        <v>50</v>
      </c>
      <c r="E111" s="27" t="s">
        <v>63</v>
      </c>
      <c r="F111" s="27">
        <v>20</v>
      </c>
      <c r="G111" s="31" t="str">
        <f>VLOOKUP(I111,'Names with Seat Code'!B:E,2)</f>
        <v>Evin</v>
      </c>
      <c r="H111" s="31" t="str">
        <f>VLOOKUP(I111,'Names with Seat Code'!B:E,4)</f>
        <v>Howell</v>
      </c>
      <c r="I111" s="25">
        <f>IF(B110+1&lt;DIRECTIONS!$E$24,B110+1,0)</f>
        <v>110</v>
      </c>
    </row>
    <row r="112" spans="1:9" ht="19.5" thickTop="1" thickBot="1" x14ac:dyDescent="0.3">
      <c r="A112" s="28" t="s">
        <v>82</v>
      </c>
      <c r="B112" s="27">
        <v>111</v>
      </c>
      <c r="C112" s="28" t="s">
        <v>83</v>
      </c>
      <c r="D112" s="28" t="s">
        <v>50</v>
      </c>
      <c r="E112" s="27" t="s">
        <v>63</v>
      </c>
      <c r="F112" s="27">
        <v>18</v>
      </c>
      <c r="G112" s="31" t="str">
        <f>VLOOKUP(I112,'Names with Seat Code'!B:E,2)</f>
        <v>Paul</v>
      </c>
      <c r="H112" s="31" t="str">
        <f>VLOOKUP(I112,'Names with Seat Code'!B:E,4)</f>
        <v>Iosua</v>
      </c>
      <c r="I112" s="25">
        <f>IF(B111+1&lt;DIRECTIONS!$E$24,B111+1,0)</f>
        <v>111</v>
      </c>
    </row>
    <row r="113" spans="1:9" ht="19.5" thickTop="1" thickBot="1" x14ac:dyDescent="0.3">
      <c r="A113" s="28" t="s">
        <v>82</v>
      </c>
      <c r="B113" s="27">
        <v>112</v>
      </c>
      <c r="C113" s="28" t="s">
        <v>83</v>
      </c>
      <c r="D113" s="28" t="s">
        <v>50</v>
      </c>
      <c r="E113" s="27" t="s">
        <v>63</v>
      </c>
      <c r="F113" s="27">
        <v>16</v>
      </c>
      <c r="G113" s="31" t="str">
        <f>VLOOKUP(I113,'Names with Seat Code'!B:E,2)</f>
        <v>Leah</v>
      </c>
      <c r="H113" s="31" t="str">
        <f>VLOOKUP(I113,'Names with Seat Code'!B:E,4)</f>
        <v>Jackvony</v>
      </c>
      <c r="I113" s="25">
        <f>IF(B112+1&lt;DIRECTIONS!$E$24,B112+1,0)</f>
        <v>112</v>
      </c>
    </row>
    <row r="114" spans="1:9" ht="19.5" thickTop="1" thickBot="1" x14ac:dyDescent="0.3">
      <c r="A114" s="28" t="s">
        <v>82</v>
      </c>
      <c r="B114" s="27">
        <v>113</v>
      </c>
      <c r="C114" s="28" t="s">
        <v>83</v>
      </c>
      <c r="D114" s="28" t="s">
        <v>50</v>
      </c>
      <c r="E114" s="27" t="s">
        <v>63</v>
      </c>
      <c r="F114" s="27">
        <v>14</v>
      </c>
      <c r="G114" s="31" t="str">
        <f>VLOOKUP(I114,'Names with Seat Code'!B:E,2)</f>
        <v>Wayne</v>
      </c>
      <c r="H114" s="31" t="str">
        <f>VLOOKUP(I114,'Names with Seat Code'!B:E,4)</f>
        <v>Jankun</v>
      </c>
      <c r="I114" s="25">
        <f>IF(B113+1&lt;DIRECTIONS!$E$24,B113+1,0)</f>
        <v>113</v>
      </c>
    </row>
    <row r="115" spans="1:9" ht="19.5" thickTop="1" thickBot="1" x14ac:dyDescent="0.3">
      <c r="A115" s="28" t="s">
        <v>82</v>
      </c>
      <c r="B115" s="27">
        <v>114</v>
      </c>
      <c r="C115" s="28" t="s">
        <v>83</v>
      </c>
      <c r="D115" s="28" t="s">
        <v>50</v>
      </c>
      <c r="E115" s="27" t="s">
        <v>63</v>
      </c>
      <c r="F115" s="27">
        <v>12</v>
      </c>
      <c r="G115" s="31" t="str">
        <f>VLOOKUP(I115,'Names with Seat Code'!B:E,2)</f>
        <v>Tristan</v>
      </c>
      <c r="H115" s="31" t="str">
        <f>VLOOKUP(I115,'Names with Seat Code'!B:E,4)</f>
        <v>Jenkins</v>
      </c>
      <c r="I115" s="25">
        <f>IF(B114+1&lt;DIRECTIONS!$E$24,B114+1,0)</f>
        <v>114</v>
      </c>
    </row>
    <row r="116" spans="1:9" ht="19.5" thickTop="1" thickBot="1" x14ac:dyDescent="0.3">
      <c r="A116" s="28" t="s">
        <v>82</v>
      </c>
      <c r="B116" s="27">
        <v>115</v>
      </c>
      <c r="C116" s="28" t="s">
        <v>83</v>
      </c>
      <c r="D116" s="28" t="s">
        <v>50</v>
      </c>
      <c r="E116" s="27" t="s">
        <v>63</v>
      </c>
      <c r="F116" s="27">
        <v>10</v>
      </c>
      <c r="G116" s="31" t="str">
        <f>VLOOKUP(I116,'Names with Seat Code'!B:E,2)</f>
        <v>Evan</v>
      </c>
      <c r="H116" s="31" t="str">
        <f>VLOOKUP(I116,'Names with Seat Code'!B:E,4)</f>
        <v>Jenney</v>
      </c>
      <c r="I116" s="25">
        <f>IF(B115+1&lt;DIRECTIONS!$E$24,B115+1,0)</f>
        <v>115</v>
      </c>
    </row>
    <row r="117" spans="1:9" ht="19.5" thickTop="1" thickBot="1" x14ac:dyDescent="0.3">
      <c r="A117" s="28" t="s">
        <v>82</v>
      </c>
      <c r="B117" s="27">
        <v>116</v>
      </c>
      <c r="C117" s="28" t="s">
        <v>83</v>
      </c>
      <c r="D117" s="28" t="s">
        <v>50</v>
      </c>
      <c r="E117" s="27" t="s">
        <v>63</v>
      </c>
      <c r="F117" s="27">
        <v>8</v>
      </c>
      <c r="G117" s="31" t="str">
        <f>VLOOKUP(I117,'Names with Seat Code'!B:E,2)</f>
        <v>Michael</v>
      </c>
      <c r="H117" s="31" t="str">
        <f>VLOOKUP(I117,'Names with Seat Code'!B:E,4)</f>
        <v>Jenney</v>
      </c>
      <c r="I117" s="25">
        <f>IF(B116+1&lt;DIRECTIONS!$E$24,B116+1,0)</f>
        <v>116</v>
      </c>
    </row>
    <row r="118" spans="1:9" ht="19.5" thickTop="1" thickBot="1" x14ac:dyDescent="0.3">
      <c r="A118" s="28" t="s">
        <v>82</v>
      </c>
      <c r="B118" s="27">
        <v>117</v>
      </c>
      <c r="C118" s="28" t="s">
        <v>83</v>
      </c>
      <c r="D118" s="28" t="s">
        <v>50</v>
      </c>
      <c r="E118" s="27" t="s">
        <v>63</v>
      </c>
      <c r="F118" s="27">
        <v>6</v>
      </c>
      <c r="G118" s="31" t="str">
        <f>VLOOKUP(I118,'Names with Seat Code'!B:E,2)</f>
        <v>Luke</v>
      </c>
      <c r="H118" s="31" t="str">
        <f>VLOOKUP(I118,'Names with Seat Code'!B:E,4)</f>
        <v>Johnson</v>
      </c>
      <c r="I118" s="25">
        <f>IF(B117+1&lt;DIRECTIONS!$E$24,B117+1,0)</f>
        <v>117</v>
      </c>
    </row>
    <row r="119" spans="1:9" ht="19.5" thickTop="1" thickBot="1" x14ac:dyDescent="0.3">
      <c r="A119" s="28" t="s">
        <v>82</v>
      </c>
      <c r="B119" s="27">
        <v>118</v>
      </c>
      <c r="C119" s="28" t="s">
        <v>83</v>
      </c>
      <c r="D119" s="28" t="s">
        <v>50</v>
      </c>
      <c r="E119" s="27" t="s">
        <v>63</v>
      </c>
      <c r="F119" s="27">
        <v>4</v>
      </c>
      <c r="G119" s="31" t="str">
        <f>VLOOKUP(I119,'Names with Seat Code'!B:E,2)</f>
        <v>Maeve</v>
      </c>
      <c r="H119" s="31" t="str">
        <f>VLOOKUP(I119,'Names with Seat Code'!B:E,4)</f>
        <v>Jones</v>
      </c>
      <c r="I119" s="25">
        <f>IF(B118+1&lt;DIRECTIONS!$E$24,B118+1,0)</f>
        <v>118</v>
      </c>
    </row>
    <row r="120" spans="1:9" ht="19.5" thickTop="1" thickBot="1" x14ac:dyDescent="0.3">
      <c r="A120" s="28" t="s">
        <v>82</v>
      </c>
      <c r="B120" s="27">
        <v>119</v>
      </c>
      <c r="C120" s="28" t="s">
        <v>83</v>
      </c>
      <c r="D120" s="28" t="s">
        <v>50</v>
      </c>
      <c r="E120" s="27" t="s">
        <v>63</v>
      </c>
      <c r="F120" s="27">
        <v>2</v>
      </c>
      <c r="G120" s="31" t="str">
        <f>VLOOKUP(I120,'Names with Seat Code'!B:E,2)</f>
        <v>Nolan</v>
      </c>
      <c r="H120" s="31" t="str">
        <f>VLOOKUP(I120,'Names with Seat Code'!B:E,4)</f>
        <v>Jordan</v>
      </c>
      <c r="I120" s="25">
        <f>IF(B119+1&lt;DIRECTIONS!$E$24,B119+1,0)</f>
        <v>119</v>
      </c>
    </row>
    <row r="121" spans="1:9" ht="19.5" thickTop="1" thickBot="1" x14ac:dyDescent="0.3">
      <c r="A121" s="28" t="s">
        <v>82</v>
      </c>
      <c r="B121" s="27">
        <v>120</v>
      </c>
      <c r="C121" s="28" t="s">
        <v>84</v>
      </c>
      <c r="D121" s="28" t="s">
        <v>85</v>
      </c>
      <c r="E121" s="27" t="s">
        <v>64</v>
      </c>
      <c r="F121" s="27">
        <v>108</v>
      </c>
      <c r="G121" s="31" t="str">
        <f>VLOOKUP(I121,'Names with Seat Code'!B:E,2)</f>
        <v>Emma</v>
      </c>
      <c r="H121" s="31" t="str">
        <f>VLOOKUP(I121,'Names with Seat Code'!B:E,4)</f>
        <v>Kaberle</v>
      </c>
      <c r="I121" s="25">
        <f>IF(B120+1&lt;DIRECTIONS!$E$24,B120+1,0)</f>
        <v>120</v>
      </c>
    </row>
    <row r="122" spans="1:9" ht="19.5" thickTop="1" thickBot="1" x14ac:dyDescent="0.3">
      <c r="A122" s="28" t="s">
        <v>82</v>
      </c>
      <c r="B122" s="27">
        <v>121</v>
      </c>
      <c r="C122" s="28" t="s">
        <v>84</v>
      </c>
      <c r="D122" s="28" t="s">
        <v>85</v>
      </c>
      <c r="E122" s="27" t="s">
        <v>64</v>
      </c>
      <c r="F122" s="27">
        <v>107</v>
      </c>
      <c r="G122" s="31" t="str">
        <f>VLOOKUP(I122,'Names with Seat Code'!B:E,2)</f>
        <v>Azra</v>
      </c>
      <c r="H122" s="31" t="str">
        <f>VLOOKUP(I122,'Names with Seat Code'!B:E,4)</f>
        <v>Kadric</v>
      </c>
      <c r="I122" s="25">
        <f>IF(B121+1&lt;DIRECTIONS!$E$24,B121+1,0)</f>
        <v>121</v>
      </c>
    </row>
    <row r="123" spans="1:9" ht="19.5" thickTop="1" thickBot="1" x14ac:dyDescent="0.3">
      <c r="A123" s="28" t="s">
        <v>82</v>
      </c>
      <c r="B123" s="27">
        <v>122</v>
      </c>
      <c r="C123" s="28" t="s">
        <v>84</v>
      </c>
      <c r="D123" s="28" t="s">
        <v>85</v>
      </c>
      <c r="E123" s="27" t="s">
        <v>64</v>
      </c>
      <c r="F123" s="27">
        <v>106</v>
      </c>
      <c r="G123" s="31" t="str">
        <f>VLOOKUP(I123,'Names with Seat Code'!B:E,2)</f>
        <v>Brady</v>
      </c>
      <c r="H123" s="31" t="str">
        <f>VLOOKUP(I123,'Names with Seat Code'!B:E,4)</f>
        <v>Keaveney</v>
      </c>
      <c r="I123" s="25">
        <f>IF(B122+1&lt;DIRECTIONS!$E$24,B122+1,0)</f>
        <v>122</v>
      </c>
    </row>
    <row r="124" spans="1:9" ht="19.5" thickTop="1" thickBot="1" x14ac:dyDescent="0.3">
      <c r="A124" s="28" t="s">
        <v>82</v>
      </c>
      <c r="B124" s="27">
        <v>123</v>
      </c>
      <c r="C124" s="28" t="s">
        <v>84</v>
      </c>
      <c r="D124" s="28" t="s">
        <v>85</v>
      </c>
      <c r="E124" s="27" t="s">
        <v>64</v>
      </c>
      <c r="F124" s="27">
        <v>105</v>
      </c>
      <c r="G124" s="31" t="str">
        <f>VLOOKUP(I124,'Names with Seat Code'!B:E,2)</f>
        <v>Hannah</v>
      </c>
      <c r="H124" s="31" t="str">
        <f>VLOOKUP(I124,'Names with Seat Code'!B:E,4)</f>
        <v>Kenton</v>
      </c>
      <c r="I124" s="25">
        <f>IF(B123+1&lt;DIRECTIONS!$E$24,B123+1,0)</f>
        <v>123</v>
      </c>
    </row>
    <row r="125" spans="1:9" ht="19.5" thickTop="1" thickBot="1" x14ac:dyDescent="0.3">
      <c r="A125" s="28" t="s">
        <v>82</v>
      </c>
      <c r="B125" s="27">
        <v>124</v>
      </c>
      <c r="C125" s="28" t="s">
        <v>84</v>
      </c>
      <c r="D125" s="28" t="s">
        <v>85</v>
      </c>
      <c r="E125" s="27" t="s">
        <v>64</v>
      </c>
      <c r="F125" s="27">
        <v>104</v>
      </c>
      <c r="G125" s="31" t="str">
        <f>VLOOKUP(I125,'Names with Seat Code'!B:E,2)</f>
        <v>Aiden</v>
      </c>
      <c r="H125" s="31" t="str">
        <f>VLOOKUP(I125,'Names with Seat Code'!B:E,4)</f>
        <v>Kiley</v>
      </c>
      <c r="I125" s="25">
        <f>IF(B124+1&lt;DIRECTIONS!$E$24,B124+1,0)</f>
        <v>124</v>
      </c>
    </row>
    <row r="126" spans="1:9" ht="19.5" thickTop="1" thickBot="1" x14ac:dyDescent="0.3">
      <c r="A126" s="28" t="s">
        <v>82</v>
      </c>
      <c r="B126" s="27">
        <v>125</v>
      </c>
      <c r="C126" s="28" t="s">
        <v>84</v>
      </c>
      <c r="D126" s="28" t="s">
        <v>85</v>
      </c>
      <c r="E126" s="27" t="s">
        <v>64</v>
      </c>
      <c r="F126" s="27">
        <v>103</v>
      </c>
      <c r="G126" s="31" t="str">
        <f>VLOOKUP(I126,'Names with Seat Code'!B:E,2)</f>
        <v>Clinton</v>
      </c>
      <c r="H126" s="31" t="str">
        <f>VLOOKUP(I126,'Names with Seat Code'!B:E,4)</f>
        <v>King</v>
      </c>
      <c r="I126" s="25">
        <f>IF(B125+1&lt;DIRECTIONS!$E$24,B125+1,0)</f>
        <v>125</v>
      </c>
    </row>
    <row r="127" spans="1:9" ht="19.5" thickTop="1" thickBot="1" x14ac:dyDescent="0.3">
      <c r="A127" s="28" t="s">
        <v>82</v>
      </c>
      <c r="B127" s="27">
        <v>126</v>
      </c>
      <c r="C127" s="28" t="s">
        <v>84</v>
      </c>
      <c r="D127" s="28" t="s">
        <v>85</v>
      </c>
      <c r="E127" s="27" t="s">
        <v>64</v>
      </c>
      <c r="F127" s="27">
        <v>102</v>
      </c>
      <c r="G127" s="31" t="str">
        <f>VLOOKUP(I127,'Names with Seat Code'!B:E,2)</f>
        <v>Kyle</v>
      </c>
      <c r="H127" s="31" t="str">
        <f>VLOOKUP(I127,'Names with Seat Code'!B:E,4)</f>
        <v>Koster</v>
      </c>
      <c r="I127" s="25">
        <f>IF(B126+1&lt;DIRECTIONS!$E$24,B126+1,0)</f>
        <v>126</v>
      </c>
    </row>
    <row r="128" spans="1:9" ht="19.5" thickTop="1" thickBot="1" x14ac:dyDescent="0.3">
      <c r="A128" s="28" t="s">
        <v>82</v>
      </c>
      <c r="B128" s="27">
        <v>127</v>
      </c>
      <c r="C128" s="28" t="s">
        <v>84</v>
      </c>
      <c r="D128" s="28" t="s">
        <v>85</v>
      </c>
      <c r="E128" s="27" t="s">
        <v>64</v>
      </c>
      <c r="F128" s="27">
        <v>101</v>
      </c>
      <c r="G128" s="31" t="str">
        <f>VLOOKUP(I128,'Names with Seat Code'!B:E,2)</f>
        <v>Enzo</v>
      </c>
      <c r="H128" s="31" t="str">
        <f>VLOOKUP(I128,'Names with Seat Code'!B:E,4)</f>
        <v>Lalicata</v>
      </c>
      <c r="I128" s="25">
        <f>IF(B127+1&lt;DIRECTIONS!$E$24,B127+1,0)</f>
        <v>127</v>
      </c>
    </row>
    <row r="129" spans="1:9" ht="19.5" thickTop="1" thickBot="1" x14ac:dyDescent="0.3">
      <c r="A129" s="28" t="s">
        <v>82</v>
      </c>
      <c r="B129" s="27">
        <v>128</v>
      </c>
      <c r="C129" s="28" t="s">
        <v>83</v>
      </c>
      <c r="D129" s="28" t="s">
        <v>50</v>
      </c>
      <c r="E129" s="27" t="s">
        <v>64</v>
      </c>
      <c r="F129" s="27">
        <v>22</v>
      </c>
      <c r="G129" s="31" t="str">
        <f>VLOOKUP(I129,'Names with Seat Code'!B:E,2)</f>
        <v>Jonathan</v>
      </c>
      <c r="H129" s="31" t="str">
        <f>VLOOKUP(I129,'Names with Seat Code'!B:E,4)</f>
        <v>Laurino</v>
      </c>
      <c r="I129" s="25">
        <f>IF(B128+1&lt;DIRECTIONS!$E$24,B128+1,0)</f>
        <v>128</v>
      </c>
    </row>
    <row r="130" spans="1:9" ht="19.5" thickTop="1" thickBot="1" x14ac:dyDescent="0.3">
      <c r="A130" s="28" t="s">
        <v>82</v>
      </c>
      <c r="B130" s="27">
        <v>129</v>
      </c>
      <c r="C130" s="28" t="s">
        <v>83</v>
      </c>
      <c r="D130" s="28" t="s">
        <v>50</v>
      </c>
      <c r="E130" s="27" t="s">
        <v>64</v>
      </c>
      <c r="F130" s="27">
        <v>20</v>
      </c>
      <c r="G130" s="31" t="str">
        <f>VLOOKUP(I130,'Names with Seat Code'!B:E,2)</f>
        <v>Matthew</v>
      </c>
      <c r="H130" s="31" t="str">
        <f>VLOOKUP(I130,'Names with Seat Code'!B:E,4)</f>
        <v>Laurino</v>
      </c>
      <c r="I130" s="25">
        <f>IF(B129+1&lt;DIRECTIONS!$E$24,B129+1,0)</f>
        <v>129</v>
      </c>
    </row>
    <row r="131" spans="1:9" ht="19.5" thickTop="1" thickBot="1" x14ac:dyDescent="0.3">
      <c r="A131" s="28" t="s">
        <v>82</v>
      </c>
      <c r="B131" s="27">
        <v>130</v>
      </c>
      <c r="C131" s="28" t="s">
        <v>83</v>
      </c>
      <c r="D131" s="28" t="s">
        <v>50</v>
      </c>
      <c r="E131" s="27" t="s">
        <v>64</v>
      </c>
      <c r="F131" s="27">
        <v>18</v>
      </c>
      <c r="G131" s="31" t="str">
        <f>VLOOKUP(I131,'Names with Seat Code'!B:E,2)</f>
        <v>Asad</v>
      </c>
      <c r="H131" s="31" t="str">
        <f>VLOOKUP(I131,'Names with Seat Code'!B:E,4)</f>
        <v>Layne</v>
      </c>
      <c r="I131" s="25">
        <f>IF(B130+1&lt;DIRECTIONS!$E$24,B130+1,0)</f>
        <v>130</v>
      </c>
    </row>
    <row r="132" spans="1:9" ht="19.5" thickTop="1" thickBot="1" x14ac:dyDescent="0.3">
      <c r="A132" s="28" t="s">
        <v>82</v>
      </c>
      <c r="B132" s="27">
        <v>131</v>
      </c>
      <c r="C132" s="28" t="s">
        <v>83</v>
      </c>
      <c r="D132" s="28" t="s">
        <v>50</v>
      </c>
      <c r="E132" s="27" t="s">
        <v>64</v>
      </c>
      <c r="F132" s="27">
        <v>16</v>
      </c>
      <c r="G132" s="31" t="str">
        <f>VLOOKUP(I132,'Names with Seat Code'!B:E,2)</f>
        <v>Austin</v>
      </c>
      <c r="H132" s="31" t="str">
        <f>VLOOKUP(I132,'Names with Seat Code'!B:E,4)</f>
        <v>Lee</v>
      </c>
      <c r="I132" s="25">
        <f>IF(B131+1&lt;DIRECTIONS!$E$24,B131+1,0)</f>
        <v>131</v>
      </c>
    </row>
    <row r="133" spans="1:9" ht="19.5" thickTop="1" thickBot="1" x14ac:dyDescent="0.3">
      <c r="A133" s="28" t="s">
        <v>82</v>
      </c>
      <c r="B133" s="27">
        <v>132</v>
      </c>
      <c r="C133" s="28" t="s">
        <v>83</v>
      </c>
      <c r="D133" s="28" t="s">
        <v>50</v>
      </c>
      <c r="E133" s="27" t="s">
        <v>64</v>
      </c>
      <c r="F133" s="27">
        <v>14</v>
      </c>
      <c r="G133" s="31" t="e">
        <f>VLOOKUP(I133,'Names with Seat Code'!B:E,2)</f>
        <v>#N/A</v>
      </c>
      <c r="H133" s="31" t="e">
        <f>VLOOKUP(I133,'Names with Seat Code'!B:E,4)</f>
        <v>#N/A</v>
      </c>
      <c r="I133" s="25">
        <f>IF(B132+1&lt;DIRECTIONS!$E$24,B132+1,0)</f>
        <v>0</v>
      </c>
    </row>
    <row r="134" spans="1:9" ht="19.5" thickTop="1" thickBot="1" x14ac:dyDescent="0.3">
      <c r="A134" s="28" t="s">
        <v>82</v>
      </c>
      <c r="B134" s="27">
        <v>133</v>
      </c>
      <c r="C134" s="28" t="s">
        <v>83</v>
      </c>
      <c r="D134" s="28" t="s">
        <v>50</v>
      </c>
      <c r="E134" s="27" t="s">
        <v>64</v>
      </c>
      <c r="F134" s="27">
        <v>12</v>
      </c>
      <c r="G134" s="31" t="e">
        <f>VLOOKUP(I134,'Names with Seat Code'!B:E,2)</f>
        <v>#N/A</v>
      </c>
      <c r="H134" s="31" t="e">
        <f>VLOOKUP(I134,'Names with Seat Code'!B:E,4)</f>
        <v>#N/A</v>
      </c>
      <c r="I134" s="25">
        <f>IF(B133+1&lt;DIRECTIONS!$E$24,B133+1,0)</f>
        <v>0</v>
      </c>
    </row>
    <row r="135" spans="1:9" ht="19.5" thickTop="1" thickBot="1" x14ac:dyDescent="0.3">
      <c r="A135" s="28" t="s">
        <v>82</v>
      </c>
      <c r="B135" s="27">
        <v>134</v>
      </c>
      <c r="C135" s="28" t="s">
        <v>83</v>
      </c>
      <c r="D135" s="28" t="s">
        <v>50</v>
      </c>
      <c r="E135" s="27" t="s">
        <v>64</v>
      </c>
      <c r="F135" s="27">
        <v>10</v>
      </c>
      <c r="G135" s="31" t="e">
        <f>VLOOKUP(I135,'Names with Seat Code'!B:E,2)</f>
        <v>#N/A</v>
      </c>
      <c r="H135" s="31" t="e">
        <f>VLOOKUP(I135,'Names with Seat Code'!B:E,4)</f>
        <v>#N/A</v>
      </c>
      <c r="I135" s="25">
        <f>IF(B134+1&lt;DIRECTIONS!$E$24,B134+1,0)</f>
        <v>0</v>
      </c>
    </row>
    <row r="136" spans="1:9" ht="19.5" thickTop="1" thickBot="1" x14ac:dyDescent="0.3">
      <c r="A136" s="28" t="s">
        <v>82</v>
      </c>
      <c r="B136" s="27">
        <v>135</v>
      </c>
      <c r="C136" s="28" t="s">
        <v>83</v>
      </c>
      <c r="D136" s="28" t="s">
        <v>50</v>
      </c>
      <c r="E136" s="27" t="s">
        <v>64</v>
      </c>
      <c r="F136" s="27">
        <v>8</v>
      </c>
      <c r="G136" s="31" t="e">
        <f>VLOOKUP(I136,'Names with Seat Code'!B:E,2)</f>
        <v>#N/A</v>
      </c>
      <c r="H136" s="31" t="e">
        <f>VLOOKUP(I136,'Names with Seat Code'!B:E,4)</f>
        <v>#N/A</v>
      </c>
      <c r="I136" s="25">
        <f>IF(B135+1&lt;DIRECTIONS!$E$24,B135+1,0)</f>
        <v>0</v>
      </c>
    </row>
    <row r="137" spans="1:9" ht="19.5" thickTop="1" thickBot="1" x14ac:dyDescent="0.3">
      <c r="A137" s="28" t="s">
        <v>82</v>
      </c>
      <c r="B137" s="27">
        <v>136</v>
      </c>
      <c r="C137" s="28" t="s">
        <v>83</v>
      </c>
      <c r="D137" s="28" t="s">
        <v>50</v>
      </c>
      <c r="E137" s="27" t="s">
        <v>64</v>
      </c>
      <c r="F137" s="27">
        <v>6</v>
      </c>
      <c r="G137" s="31" t="e">
        <f>VLOOKUP(I137,'Names with Seat Code'!B:E,2)</f>
        <v>#N/A</v>
      </c>
      <c r="H137" s="31" t="e">
        <f>VLOOKUP(I137,'Names with Seat Code'!B:E,4)</f>
        <v>#N/A</v>
      </c>
      <c r="I137" s="25">
        <f>IF(B136+1&lt;DIRECTIONS!$E$24,B136+1,0)</f>
        <v>0</v>
      </c>
    </row>
    <row r="138" spans="1:9" ht="19.5" thickTop="1" thickBot="1" x14ac:dyDescent="0.3">
      <c r="A138" s="28" t="s">
        <v>82</v>
      </c>
      <c r="B138" s="27">
        <v>137</v>
      </c>
      <c r="C138" s="28" t="s">
        <v>83</v>
      </c>
      <c r="D138" s="28" t="s">
        <v>50</v>
      </c>
      <c r="E138" s="27" t="s">
        <v>64</v>
      </c>
      <c r="F138" s="27">
        <v>4</v>
      </c>
      <c r="G138" s="31" t="e">
        <f>VLOOKUP(I138,'Names with Seat Code'!B:E,2)</f>
        <v>#N/A</v>
      </c>
      <c r="H138" s="31" t="e">
        <f>VLOOKUP(I138,'Names with Seat Code'!B:E,4)</f>
        <v>#N/A</v>
      </c>
      <c r="I138" s="25">
        <f>IF(B137+1&lt;DIRECTIONS!$E$24,B137+1,0)</f>
        <v>0</v>
      </c>
    </row>
    <row r="139" spans="1:9" ht="19.5" thickTop="1" thickBot="1" x14ac:dyDescent="0.3">
      <c r="A139" s="28" t="s">
        <v>82</v>
      </c>
      <c r="B139" s="27">
        <v>138</v>
      </c>
      <c r="C139" s="28" t="s">
        <v>83</v>
      </c>
      <c r="D139" s="28" t="s">
        <v>50</v>
      </c>
      <c r="E139" s="27" t="s">
        <v>64</v>
      </c>
      <c r="F139" s="27">
        <v>2</v>
      </c>
      <c r="G139" s="31" t="e">
        <f>VLOOKUP(I139,'Names with Seat Code'!B:E,2)</f>
        <v>#N/A</v>
      </c>
      <c r="H139" s="31" t="e">
        <f>VLOOKUP(I139,'Names with Seat Code'!B:E,4)</f>
        <v>#N/A</v>
      </c>
      <c r="I139" s="25">
        <f>IF(B138+1&lt;DIRECTIONS!$E$24,B138+1,0)</f>
        <v>0</v>
      </c>
    </row>
    <row r="140" spans="1:9" ht="19.5" thickTop="1" thickBot="1" x14ac:dyDescent="0.3">
      <c r="A140" s="28" t="s">
        <v>82</v>
      </c>
      <c r="B140" s="27">
        <v>139</v>
      </c>
      <c r="C140" s="28" t="s">
        <v>84</v>
      </c>
      <c r="D140" s="28" t="s">
        <v>85</v>
      </c>
      <c r="E140" s="27" t="s">
        <v>66</v>
      </c>
      <c r="F140" s="27">
        <v>108</v>
      </c>
      <c r="G140" s="31" t="e">
        <f>VLOOKUP(I140,'Names with Seat Code'!B:E,2)</f>
        <v>#N/A</v>
      </c>
      <c r="H140" s="31" t="e">
        <f>VLOOKUP(I140,'Names with Seat Code'!B:E,4)</f>
        <v>#N/A</v>
      </c>
      <c r="I140" s="25">
        <f>IF(B139+1&lt;DIRECTIONS!$E$24,B139+1,0)</f>
        <v>0</v>
      </c>
    </row>
    <row r="141" spans="1:9" ht="19.5" thickTop="1" thickBot="1" x14ac:dyDescent="0.3">
      <c r="A141" s="28" t="s">
        <v>82</v>
      </c>
      <c r="B141" s="27">
        <v>140</v>
      </c>
      <c r="C141" s="28" t="s">
        <v>84</v>
      </c>
      <c r="D141" s="28" t="s">
        <v>85</v>
      </c>
      <c r="E141" s="27" t="s">
        <v>66</v>
      </c>
      <c r="F141" s="27">
        <v>107</v>
      </c>
      <c r="G141" s="31" t="e">
        <f>VLOOKUP(I141,'Names with Seat Code'!B:E,2)</f>
        <v>#N/A</v>
      </c>
      <c r="H141" s="31" t="e">
        <f>VLOOKUP(I141,'Names with Seat Code'!B:E,4)</f>
        <v>#N/A</v>
      </c>
      <c r="I141" s="25">
        <f>IF(B140+1&lt;DIRECTIONS!$E$24,B140+1,0)</f>
        <v>0</v>
      </c>
    </row>
    <row r="142" spans="1:9" ht="19.5" thickTop="1" thickBot="1" x14ac:dyDescent="0.3">
      <c r="A142" s="28" t="s">
        <v>82</v>
      </c>
      <c r="B142" s="27">
        <v>141</v>
      </c>
      <c r="C142" s="28" t="s">
        <v>84</v>
      </c>
      <c r="D142" s="28" t="s">
        <v>85</v>
      </c>
      <c r="E142" s="27" t="s">
        <v>66</v>
      </c>
      <c r="F142" s="27">
        <v>106</v>
      </c>
      <c r="G142" s="31" t="e">
        <f>VLOOKUP(I142,'Names with Seat Code'!B:E,2)</f>
        <v>#N/A</v>
      </c>
      <c r="H142" s="31" t="e">
        <f>VLOOKUP(I142,'Names with Seat Code'!B:E,4)</f>
        <v>#N/A</v>
      </c>
      <c r="I142" s="25">
        <f>IF(B141+1&lt;DIRECTIONS!$E$24,B141+1,0)</f>
        <v>0</v>
      </c>
    </row>
    <row r="143" spans="1:9" ht="19.5" thickTop="1" thickBot="1" x14ac:dyDescent="0.3">
      <c r="A143" s="28" t="s">
        <v>82</v>
      </c>
      <c r="B143" s="27">
        <v>142</v>
      </c>
      <c r="C143" s="28" t="s">
        <v>84</v>
      </c>
      <c r="D143" s="28" t="s">
        <v>85</v>
      </c>
      <c r="E143" s="27" t="s">
        <v>66</v>
      </c>
      <c r="F143" s="27">
        <v>105</v>
      </c>
      <c r="G143" s="31" t="e">
        <f>VLOOKUP(I143,'Names with Seat Code'!B:E,2)</f>
        <v>#N/A</v>
      </c>
      <c r="H143" s="31" t="e">
        <f>VLOOKUP(I143,'Names with Seat Code'!B:E,4)</f>
        <v>#N/A</v>
      </c>
      <c r="I143" s="25">
        <f>IF(B142+1&lt;DIRECTIONS!$E$24,B142+1,0)</f>
        <v>0</v>
      </c>
    </row>
    <row r="144" spans="1:9" ht="19.5" thickTop="1" thickBot="1" x14ac:dyDescent="0.3">
      <c r="A144" s="28" t="s">
        <v>82</v>
      </c>
      <c r="B144" s="27">
        <v>143</v>
      </c>
      <c r="C144" s="28" t="s">
        <v>84</v>
      </c>
      <c r="D144" s="28" t="s">
        <v>85</v>
      </c>
      <c r="E144" s="27" t="s">
        <v>66</v>
      </c>
      <c r="F144" s="27">
        <v>104</v>
      </c>
      <c r="G144" s="31" t="e">
        <f>VLOOKUP(I144,'Names with Seat Code'!B:E,2)</f>
        <v>#N/A</v>
      </c>
      <c r="H144" s="31" t="e">
        <f>VLOOKUP(I144,'Names with Seat Code'!B:E,4)</f>
        <v>#N/A</v>
      </c>
      <c r="I144" s="25">
        <f>IF(B143+1&lt;DIRECTIONS!$E$24,B143+1,0)</f>
        <v>0</v>
      </c>
    </row>
    <row r="145" spans="1:9" ht="19.5" thickTop="1" thickBot="1" x14ac:dyDescent="0.3">
      <c r="A145" s="28" t="s">
        <v>82</v>
      </c>
      <c r="B145" s="27">
        <v>144</v>
      </c>
      <c r="C145" s="28" t="s">
        <v>84</v>
      </c>
      <c r="D145" s="28" t="s">
        <v>85</v>
      </c>
      <c r="E145" s="27" t="s">
        <v>66</v>
      </c>
      <c r="F145" s="27">
        <v>103</v>
      </c>
      <c r="G145" s="31" t="e">
        <f>VLOOKUP(I145,'Names with Seat Code'!B:E,2)</f>
        <v>#N/A</v>
      </c>
      <c r="H145" s="31" t="e">
        <f>VLOOKUP(I145,'Names with Seat Code'!B:E,4)</f>
        <v>#N/A</v>
      </c>
      <c r="I145" s="25">
        <f>IF(B144+1&lt;DIRECTIONS!$E$24,B144+1,0)</f>
        <v>0</v>
      </c>
    </row>
    <row r="146" spans="1:9" ht="19.5" thickTop="1" thickBot="1" x14ac:dyDescent="0.3">
      <c r="A146" s="28" t="s">
        <v>82</v>
      </c>
      <c r="B146" s="27">
        <v>145</v>
      </c>
      <c r="C146" s="28" t="s">
        <v>84</v>
      </c>
      <c r="D146" s="28" t="s">
        <v>85</v>
      </c>
      <c r="E146" s="27" t="s">
        <v>66</v>
      </c>
      <c r="F146" s="27">
        <v>102</v>
      </c>
      <c r="G146" s="31" t="e">
        <f>VLOOKUP(I146,'Names with Seat Code'!B:E,2)</f>
        <v>#N/A</v>
      </c>
      <c r="H146" s="31" t="e">
        <f>VLOOKUP(I146,'Names with Seat Code'!B:E,4)</f>
        <v>#N/A</v>
      </c>
      <c r="I146" s="25">
        <f>IF(B145+1&lt;DIRECTIONS!$E$24,B145+1,0)</f>
        <v>0</v>
      </c>
    </row>
    <row r="147" spans="1:9" ht="19.5" thickTop="1" thickBot="1" x14ac:dyDescent="0.3">
      <c r="A147" s="28" t="s">
        <v>82</v>
      </c>
      <c r="B147" s="27">
        <v>146</v>
      </c>
      <c r="C147" s="28" t="s">
        <v>84</v>
      </c>
      <c r="D147" s="28" t="s">
        <v>85</v>
      </c>
      <c r="E147" s="27" t="s">
        <v>66</v>
      </c>
      <c r="F147" s="27">
        <v>101</v>
      </c>
      <c r="G147" s="31" t="e">
        <f>VLOOKUP(I147,'Names with Seat Code'!B:E,2)</f>
        <v>#N/A</v>
      </c>
      <c r="H147" s="31" t="e">
        <f>VLOOKUP(I147,'Names with Seat Code'!B:E,4)</f>
        <v>#N/A</v>
      </c>
      <c r="I147" s="25">
        <f>IF(B146+1&lt;DIRECTIONS!$E$24,B146+1,0)</f>
        <v>0</v>
      </c>
    </row>
    <row r="148" spans="1:9" ht="19.5" thickTop="1" thickBot="1" x14ac:dyDescent="0.3">
      <c r="A148" s="28" t="s">
        <v>82</v>
      </c>
      <c r="B148" s="27">
        <v>147</v>
      </c>
      <c r="C148" s="28" t="s">
        <v>83</v>
      </c>
      <c r="D148" s="28" t="s">
        <v>50</v>
      </c>
      <c r="E148" s="27" t="s">
        <v>66</v>
      </c>
      <c r="F148" s="27">
        <v>22</v>
      </c>
      <c r="G148" s="31" t="e">
        <f>VLOOKUP(I148,'Names with Seat Code'!B:E,2)</f>
        <v>#N/A</v>
      </c>
      <c r="H148" s="31" t="e">
        <f>VLOOKUP(I148,'Names with Seat Code'!B:E,4)</f>
        <v>#N/A</v>
      </c>
      <c r="I148" s="25">
        <f>IF(B147+1&lt;DIRECTIONS!$E$24,B147+1,0)</f>
        <v>0</v>
      </c>
    </row>
    <row r="149" spans="1:9" ht="19.5" thickTop="1" thickBot="1" x14ac:dyDescent="0.3">
      <c r="A149" s="28" t="s">
        <v>82</v>
      </c>
      <c r="B149" s="27">
        <v>148</v>
      </c>
      <c r="C149" s="28" t="s">
        <v>83</v>
      </c>
      <c r="D149" s="28" t="s">
        <v>50</v>
      </c>
      <c r="E149" s="27" t="s">
        <v>66</v>
      </c>
      <c r="F149" s="27">
        <v>20</v>
      </c>
      <c r="G149" s="31" t="e">
        <f>VLOOKUP(I149,'Names with Seat Code'!B:E,2)</f>
        <v>#N/A</v>
      </c>
      <c r="H149" s="31" t="e">
        <f>VLOOKUP(I149,'Names with Seat Code'!B:E,4)</f>
        <v>#N/A</v>
      </c>
      <c r="I149" s="25">
        <f>IF(B148+1&lt;DIRECTIONS!$E$24,B148+1,0)</f>
        <v>0</v>
      </c>
    </row>
    <row r="150" spans="1:9" ht="19.5" thickTop="1" thickBot="1" x14ac:dyDescent="0.3">
      <c r="A150" s="28" t="s">
        <v>82</v>
      </c>
      <c r="B150" s="27">
        <v>149</v>
      </c>
      <c r="C150" s="28" t="s">
        <v>83</v>
      </c>
      <c r="D150" s="28" t="s">
        <v>50</v>
      </c>
      <c r="E150" s="27" t="s">
        <v>66</v>
      </c>
      <c r="F150" s="27">
        <v>18</v>
      </c>
      <c r="G150" s="31" t="e">
        <f>VLOOKUP(I150,'Names with Seat Code'!B:E,2)</f>
        <v>#N/A</v>
      </c>
      <c r="H150" s="31" t="e">
        <f>VLOOKUP(I150,'Names with Seat Code'!B:E,4)</f>
        <v>#N/A</v>
      </c>
      <c r="I150" s="25">
        <f>IF(B149+1&lt;DIRECTIONS!$E$24,B149+1,0)</f>
        <v>0</v>
      </c>
    </row>
    <row r="151" spans="1:9" ht="19.5" thickTop="1" thickBot="1" x14ac:dyDescent="0.3">
      <c r="A151" s="28" t="s">
        <v>82</v>
      </c>
      <c r="B151" s="27">
        <v>150</v>
      </c>
      <c r="C151" s="28" t="s">
        <v>83</v>
      </c>
      <c r="D151" s="28" t="s">
        <v>50</v>
      </c>
      <c r="E151" s="27" t="s">
        <v>66</v>
      </c>
      <c r="F151" s="27">
        <v>16</v>
      </c>
      <c r="G151" s="31" t="e">
        <f>VLOOKUP(I151,'Names with Seat Code'!B:E,2)</f>
        <v>#N/A</v>
      </c>
      <c r="H151" s="31" t="e">
        <f>VLOOKUP(I151,'Names with Seat Code'!B:E,4)</f>
        <v>#N/A</v>
      </c>
      <c r="I151" s="25">
        <f>IF(B150+1&lt;DIRECTIONS!$E$24,B150+1,0)</f>
        <v>0</v>
      </c>
    </row>
    <row r="152" spans="1:9" ht="19.5" thickTop="1" thickBot="1" x14ac:dyDescent="0.3">
      <c r="A152" s="28" t="s">
        <v>82</v>
      </c>
      <c r="B152" s="27">
        <v>151</v>
      </c>
      <c r="C152" s="28" t="s">
        <v>83</v>
      </c>
      <c r="D152" s="28" t="s">
        <v>50</v>
      </c>
      <c r="E152" s="27" t="s">
        <v>66</v>
      </c>
      <c r="F152" s="27">
        <v>14</v>
      </c>
      <c r="G152" s="31" t="e">
        <f>VLOOKUP(I152,'Names with Seat Code'!B:E,2)</f>
        <v>#N/A</v>
      </c>
      <c r="H152" s="31" t="e">
        <f>VLOOKUP(I152,'Names with Seat Code'!B:E,4)</f>
        <v>#N/A</v>
      </c>
      <c r="I152" s="25">
        <f>IF(B151+1&lt;DIRECTIONS!$E$24,B151+1,0)</f>
        <v>0</v>
      </c>
    </row>
    <row r="153" spans="1:9" ht="19.5" thickTop="1" thickBot="1" x14ac:dyDescent="0.3">
      <c r="A153" s="28" t="s">
        <v>82</v>
      </c>
      <c r="B153" s="27">
        <v>152</v>
      </c>
      <c r="C153" s="28" t="s">
        <v>83</v>
      </c>
      <c r="D153" s="28" t="s">
        <v>50</v>
      </c>
      <c r="E153" s="27" t="s">
        <v>66</v>
      </c>
      <c r="F153" s="27">
        <v>12</v>
      </c>
      <c r="G153" s="31" t="e">
        <f>VLOOKUP(I153,'Names with Seat Code'!B:E,2)</f>
        <v>#N/A</v>
      </c>
      <c r="H153" s="31" t="e">
        <f>VLOOKUP(I153,'Names with Seat Code'!B:E,4)</f>
        <v>#N/A</v>
      </c>
      <c r="I153" s="25">
        <f>IF(B152+1&lt;DIRECTIONS!$E$24,B152+1,0)</f>
        <v>0</v>
      </c>
    </row>
    <row r="154" spans="1:9" ht="19.5" thickTop="1" thickBot="1" x14ac:dyDescent="0.3">
      <c r="A154" s="28" t="s">
        <v>82</v>
      </c>
      <c r="B154" s="27">
        <v>153</v>
      </c>
      <c r="C154" s="28" t="s">
        <v>83</v>
      </c>
      <c r="D154" s="28" t="s">
        <v>50</v>
      </c>
      <c r="E154" s="27" t="s">
        <v>66</v>
      </c>
      <c r="F154" s="27">
        <v>10</v>
      </c>
      <c r="G154" s="31" t="e">
        <f>VLOOKUP(I154,'Names with Seat Code'!B:E,2)</f>
        <v>#N/A</v>
      </c>
      <c r="H154" s="31" t="e">
        <f>VLOOKUP(I154,'Names with Seat Code'!B:E,4)</f>
        <v>#N/A</v>
      </c>
      <c r="I154" s="25">
        <f>IF(B153+1&lt;DIRECTIONS!$E$24,B153+1,0)</f>
        <v>0</v>
      </c>
    </row>
    <row r="155" spans="1:9" ht="19.5" thickTop="1" thickBot="1" x14ac:dyDescent="0.3">
      <c r="A155" s="28" t="s">
        <v>82</v>
      </c>
      <c r="B155" s="27">
        <v>154</v>
      </c>
      <c r="C155" s="28" t="s">
        <v>83</v>
      </c>
      <c r="D155" s="28" t="s">
        <v>50</v>
      </c>
      <c r="E155" s="27" t="s">
        <v>66</v>
      </c>
      <c r="F155" s="27">
        <v>8</v>
      </c>
      <c r="G155" s="31" t="e">
        <f>VLOOKUP(I155,'Names with Seat Code'!B:E,2)</f>
        <v>#N/A</v>
      </c>
      <c r="H155" s="31" t="e">
        <f>VLOOKUP(I155,'Names with Seat Code'!B:E,4)</f>
        <v>#N/A</v>
      </c>
      <c r="I155" s="25">
        <f>IF(B154+1&lt;DIRECTIONS!$E$24,B154+1,0)</f>
        <v>0</v>
      </c>
    </row>
    <row r="156" spans="1:9" ht="19.5" thickTop="1" thickBot="1" x14ac:dyDescent="0.3">
      <c r="A156" s="28" t="s">
        <v>82</v>
      </c>
      <c r="B156" s="27">
        <v>155</v>
      </c>
      <c r="C156" s="28" t="s">
        <v>83</v>
      </c>
      <c r="D156" s="28" t="s">
        <v>50</v>
      </c>
      <c r="E156" s="27" t="s">
        <v>66</v>
      </c>
      <c r="F156" s="27">
        <v>6</v>
      </c>
      <c r="G156" s="31" t="e">
        <f>VLOOKUP(I156,'Names with Seat Code'!B:E,2)</f>
        <v>#N/A</v>
      </c>
      <c r="H156" s="31" t="e">
        <f>VLOOKUP(I156,'Names with Seat Code'!B:E,4)</f>
        <v>#N/A</v>
      </c>
      <c r="I156" s="25">
        <f>IF(B155+1&lt;DIRECTIONS!$E$24,B155+1,0)</f>
        <v>0</v>
      </c>
    </row>
    <row r="157" spans="1:9" ht="19.5" thickTop="1" thickBot="1" x14ac:dyDescent="0.3">
      <c r="A157" s="28" t="s">
        <v>82</v>
      </c>
      <c r="B157" s="27">
        <v>156</v>
      </c>
      <c r="C157" s="28" t="s">
        <v>83</v>
      </c>
      <c r="D157" s="28" t="s">
        <v>50</v>
      </c>
      <c r="E157" s="27" t="s">
        <v>66</v>
      </c>
      <c r="F157" s="27">
        <v>4</v>
      </c>
      <c r="G157" s="31" t="e">
        <f>VLOOKUP(I157,'Names with Seat Code'!B:E,2)</f>
        <v>#N/A</v>
      </c>
      <c r="H157" s="31" t="e">
        <f>VLOOKUP(I157,'Names with Seat Code'!B:E,4)</f>
        <v>#N/A</v>
      </c>
      <c r="I157" s="25">
        <f>IF(B156+1&lt;DIRECTIONS!$E$24,B156+1,0)</f>
        <v>0</v>
      </c>
    </row>
    <row r="158" spans="1:9" ht="19.5" thickTop="1" thickBot="1" x14ac:dyDescent="0.3">
      <c r="A158" s="28" t="s">
        <v>82</v>
      </c>
      <c r="B158" s="27">
        <v>157</v>
      </c>
      <c r="C158" s="28" t="s">
        <v>83</v>
      </c>
      <c r="D158" s="28" t="s">
        <v>50</v>
      </c>
      <c r="E158" s="27" t="s">
        <v>66</v>
      </c>
      <c r="F158" s="27">
        <v>2</v>
      </c>
      <c r="G158" s="31" t="e">
        <f>VLOOKUP(I158,'Names with Seat Code'!B:E,2)</f>
        <v>#N/A</v>
      </c>
      <c r="H158" s="31" t="e">
        <f>VLOOKUP(I158,'Names with Seat Code'!B:E,4)</f>
        <v>#N/A</v>
      </c>
      <c r="I158" s="25">
        <f>IF(B157+1&lt;DIRECTIONS!$E$24,B157+1,0)</f>
        <v>0</v>
      </c>
    </row>
    <row r="159" spans="1:9" ht="19.5" thickTop="1" thickBot="1" x14ac:dyDescent="0.3">
      <c r="A159" s="28" t="s">
        <v>82</v>
      </c>
      <c r="B159" s="27">
        <v>158</v>
      </c>
      <c r="C159" s="28" t="s">
        <v>84</v>
      </c>
      <c r="D159" s="28" t="s">
        <v>85</v>
      </c>
      <c r="E159" s="27" t="s">
        <v>67</v>
      </c>
      <c r="F159" s="27">
        <v>108</v>
      </c>
      <c r="G159" s="31" t="e">
        <f>VLOOKUP(I159,'Names with Seat Code'!B:E,2)</f>
        <v>#N/A</v>
      </c>
      <c r="H159" s="31" t="e">
        <f>VLOOKUP(I159,'Names with Seat Code'!B:E,4)</f>
        <v>#N/A</v>
      </c>
      <c r="I159" s="25">
        <f>IF(B158+1&lt;DIRECTIONS!$E$24,B158+1,0)</f>
        <v>0</v>
      </c>
    </row>
    <row r="160" spans="1:9" ht="19.5" thickTop="1" thickBot="1" x14ac:dyDescent="0.3">
      <c r="A160" s="28" t="s">
        <v>82</v>
      </c>
      <c r="B160" s="27">
        <v>159</v>
      </c>
      <c r="C160" s="28" t="s">
        <v>84</v>
      </c>
      <c r="D160" s="28" t="s">
        <v>85</v>
      </c>
      <c r="E160" s="27" t="s">
        <v>67</v>
      </c>
      <c r="F160" s="27">
        <v>107</v>
      </c>
      <c r="G160" s="31" t="e">
        <f>VLOOKUP(I160,'Names with Seat Code'!B:E,2)</f>
        <v>#N/A</v>
      </c>
      <c r="H160" s="31" t="e">
        <f>VLOOKUP(I160,'Names with Seat Code'!B:E,4)</f>
        <v>#N/A</v>
      </c>
      <c r="I160" s="25">
        <f>IF(B159+1&lt;DIRECTIONS!$E$24,B159+1,0)</f>
        <v>0</v>
      </c>
    </row>
    <row r="161" spans="1:9" ht="19.5" thickTop="1" thickBot="1" x14ac:dyDescent="0.3">
      <c r="A161" s="28" t="s">
        <v>82</v>
      </c>
      <c r="B161" s="27">
        <v>160</v>
      </c>
      <c r="C161" s="28" t="s">
        <v>84</v>
      </c>
      <c r="D161" s="28" t="s">
        <v>85</v>
      </c>
      <c r="E161" s="27" t="s">
        <v>67</v>
      </c>
      <c r="F161" s="27">
        <v>106</v>
      </c>
      <c r="G161" s="31" t="e">
        <f>VLOOKUP(I161,'Names with Seat Code'!B:E,2)</f>
        <v>#N/A</v>
      </c>
      <c r="H161" s="31" t="e">
        <f>VLOOKUP(I161,'Names with Seat Code'!B:E,4)</f>
        <v>#N/A</v>
      </c>
      <c r="I161" s="25">
        <f>IF(B160+1&lt;DIRECTIONS!$E$24,B160+1,0)</f>
        <v>0</v>
      </c>
    </row>
    <row r="162" spans="1:9" ht="19.5" thickTop="1" thickBot="1" x14ac:dyDescent="0.3">
      <c r="A162" s="28" t="s">
        <v>82</v>
      </c>
      <c r="B162" s="27">
        <v>161</v>
      </c>
      <c r="C162" s="28" t="s">
        <v>84</v>
      </c>
      <c r="D162" s="28" t="s">
        <v>85</v>
      </c>
      <c r="E162" s="27" t="s">
        <v>67</v>
      </c>
      <c r="F162" s="27">
        <v>105</v>
      </c>
      <c r="G162" s="31" t="e">
        <f>VLOOKUP(I162,'Names with Seat Code'!B:E,2)</f>
        <v>#N/A</v>
      </c>
      <c r="H162" s="31" t="e">
        <f>VLOOKUP(I162,'Names with Seat Code'!B:E,4)</f>
        <v>#N/A</v>
      </c>
      <c r="I162" s="25">
        <f>IF(B161+1&lt;DIRECTIONS!$E$24,B161+1,0)</f>
        <v>0</v>
      </c>
    </row>
    <row r="163" spans="1:9" ht="19.5" thickTop="1" thickBot="1" x14ac:dyDescent="0.3">
      <c r="A163" s="28" t="s">
        <v>82</v>
      </c>
      <c r="B163" s="27">
        <v>162</v>
      </c>
      <c r="C163" s="28" t="s">
        <v>84</v>
      </c>
      <c r="D163" s="28" t="s">
        <v>85</v>
      </c>
      <c r="E163" s="27" t="s">
        <v>67</v>
      </c>
      <c r="F163" s="27">
        <v>104</v>
      </c>
      <c r="G163" s="31" t="e">
        <f>VLOOKUP(I163,'Names with Seat Code'!B:E,2)</f>
        <v>#N/A</v>
      </c>
      <c r="H163" s="31" t="e">
        <f>VLOOKUP(I163,'Names with Seat Code'!B:E,4)</f>
        <v>#N/A</v>
      </c>
      <c r="I163" s="25">
        <f>IF(B162+1&lt;DIRECTIONS!$E$24,B162+1,0)</f>
        <v>0</v>
      </c>
    </row>
    <row r="164" spans="1:9" ht="19.5" thickTop="1" thickBot="1" x14ac:dyDescent="0.3">
      <c r="A164" s="28" t="s">
        <v>82</v>
      </c>
      <c r="B164" s="27">
        <v>163</v>
      </c>
      <c r="C164" s="28" t="s">
        <v>84</v>
      </c>
      <c r="D164" s="28" t="s">
        <v>85</v>
      </c>
      <c r="E164" s="27" t="s">
        <v>67</v>
      </c>
      <c r="F164" s="27">
        <v>103</v>
      </c>
      <c r="G164" s="31" t="e">
        <f>VLOOKUP(I164,'Names with Seat Code'!B:E,2)</f>
        <v>#N/A</v>
      </c>
      <c r="H164" s="31" t="e">
        <f>VLOOKUP(I164,'Names with Seat Code'!B:E,4)</f>
        <v>#N/A</v>
      </c>
      <c r="I164" s="25">
        <f>IF(B163+1&lt;DIRECTIONS!$E$24,B163+1,0)</f>
        <v>0</v>
      </c>
    </row>
    <row r="165" spans="1:9" ht="19.5" thickTop="1" thickBot="1" x14ac:dyDescent="0.3">
      <c r="A165" s="28" t="s">
        <v>82</v>
      </c>
      <c r="B165" s="27">
        <v>164</v>
      </c>
      <c r="C165" s="28" t="s">
        <v>84</v>
      </c>
      <c r="D165" s="28" t="s">
        <v>85</v>
      </c>
      <c r="E165" s="27" t="s">
        <v>67</v>
      </c>
      <c r="F165" s="27">
        <v>102</v>
      </c>
      <c r="G165" s="31" t="e">
        <f>VLOOKUP(I165,'Names with Seat Code'!B:E,2)</f>
        <v>#N/A</v>
      </c>
      <c r="H165" s="31" t="e">
        <f>VLOOKUP(I165,'Names with Seat Code'!B:E,4)</f>
        <v>#N/A</v>
      </c>
      <c r="I165" s="25">
        <f>IF(B164+1&lt;DIRECTIONS!$E$24,B164+1,0)</f>
        <v>0</v>
      </c>
    </row>
    <row r="166" spans="1:9" ht="19.5" thickTop="1" thickBot="1" x14ac:dyDescent="0.3">
      <c r="A166" s="28" t="s">
        <v>82</v>
      </c>
      <c r="B166" s="27">
        <v>165</v>
      </c>
      <c r="C166" s="28" t="s">
        <v>84</v>
      </c>
      <c r="D166" s="28" t="s">
        <v>85</v>
      </c>
      <c r="E166" s="27" t="s">
        <v>67</v>
      </c>
      <c r="F166" s="27">
        <v>101</v>
      </c>
      <c r="G166" s="31" t="e">
        <f>VLOOKUP(I166,'Names with Seat Code'!B:E,2)</f>
        <v>#N/A</v>
      </c>
      <c r="H166" s="31" t="e">
        <f>VLOOKUP(I166,'Names with Seat Code'!B:E,4)</f>
        <v>#N/A</v>
      </c>
      <c r="I166" s="25">
        <f>IF(B165+1&lt;DIRECTIONS!$E$24,B165+1,0)</f>
        <v>0</v>
      </c>
    </row>
    <row r="167" spans="1:9" ht="19.5" thickTop="1" thickBot="1" x14ac:dyDescent="0.3">
      <c r="A167" s="28" t="s">
        <v>82</v>
      </c>
      <c r="B167" s="27">
        <v>166</v>
      </c>
      <c r="C167" s="28" t="s">
        <v>83</v>
      </c>
      <c r="D167" s="28" t="s">
        <v>50</v>
      </c>
      <c r="E167" s="27" t="s">
        <v>67</v>
      </c>
      <c r="F167" s="27">
        <v>22</v>
      </c>
      <c r="G167" s="31" t="e">
        <f>VLOOKUP(I167,'Names with Seat Code'!B:E,2)</f>
        <v>#N/A</v>
      </c>
      <c r="H167" s="31" t="e">
        <f>VLOOKUP(I167,'Names with Seat Code'!B:E,4)</f>
        <v>#N/A</v>
      </c>
      <c r="I167" s="25">
        <f>IF(B166+1&lt;DIRECTIONS!$E$24,B166+1,0)</f>
        <v>0</v>
      </c>
    </row>
    <row r="168" spans="1:9" ht="19.5" thickTop="1" thickBot="1" x14ac:dyDescent="0.3">
      <c r="A168" s="28" t="s">
        <v>82</v>
      </c>
      <c r="B168" s="27">
        <v>167</v>
      </c>
      <c r="C168" s="28" t="s">
        <v>83</v>
      </c>
      <c r="D168" s="28" t="s">
        <v>50</v>
      </c>
      <c r="E168" s="27" t="s">
        <v>67</v>
      </c>
      <c r="F168" s="27">
        <v>20</v>
      </c>
      <c r="G168" s="31" t="e">
        <f>VLOOKUP(I168,'Names with Seat Code'!B:E,2)</f>
        <v>#N/A</v>
      </c>
      <c r="H168" s="31" t="e">
        <f>VLOOKUP(I168,'Names with Seat Code'!B:E,4)</f>
        <v>#N/A</v>
      </c>
      <c r="I168" s="25">
        <f>IF(B167+1&lt;DIRECTIONS!$E$24,B167+1,0)</f>
        <v>0</v>
      </c>
    </row>
    <row r="169" spans="1:9" ht="19.5" thickTop="1" thickBot="1" x14ac:dyDescent="0.3">
      <c r="A169" s="28" t="s">
        <v>82</v>
      </c>
      <c r="B169" s="27">
        <v>168</v>
      </c>
      <c r="C169" s="28" t="s">
        <v>83</v>
      </c>
      <c r="D169" s="28" t="s">
        <v>50</v>
      </c>
      <c r="E169" s="27" t="s">
        <v>67</v>
      </c>
      <c r="F169" s="27">
        <v>18</v>
      </c>
      <c r="G169" s="31" t="e">
        <f>VLOOKUP(I169,'Names with Seat Code'!B:E,2)</f>
        <v>#N/A</v>
      </c>
      <c r="H169" s="31" t="e">
        <f>VLOOKUP(I169,'Names with Seat Code'!B:E,4)</f>
        <v>#N/A</v>
      </c>
      <c r="I169" s="25">
        <f>IF(B168+1&lt;DIRECTIONS!$E$24,B168+1,0)</f>
        <v>0</v>
      </c>
    </row>
    <row r="170" spans="1:9" ht="19.5" thickTop="1" thickBot="1" x14ac:dyDescent="0.3">
      <c r="A170" s="28" t="s">
        <v>82</v>
      </c>
      <c r="B170" s="27">
        <v>169</v>
      </c>
      <c r="C170" s="28" t="s">
        <v>83</v>
      </c>
      <c r="D170" s="28" t="s">
        <v>50</v>
      </c>
      <c r="E170" s="27" t="s">
        <v>67</v>
      </c>
      <c r="F170" s="27">
        <v>16</v>
      </c>
      <c r="G170" s="31" t="e">
        <f>VLOOKUP(I170,'Names with Seat Code'!B:E,2)</f>
        <v>#N/A</v>
      </c>
      <c r="H170" s="31" t="e">
        <f>VLOOKUP(I170,'Names with Seat Code'!B:E,4)</f>
        <v>#N/A</v>
      </c>
      <c r="I170" s="25">
        <f>IF(B169+1&lt;DIRECTIONS!$E$24,B169+1,0)</f>
        <v>0</v>
      </c>
    </row>
    <row r="171" spans="1:9" ht="19.5" thickTop="1" thickBot="1" x14ac:dyDescent="0.3">
      <c r="A171" s="28" t="s">
        <v>82</v>
      </c>
      <c r="B171" s="27">
        <v>170</v>
      </c>
      <c r="C171" s="28" t="s">
        <v>83</v>
      </c>
      <c r="D171" s="28" t="s">
        <v>50</v>
      </c>
      <c r="E171" s="27" t="s">
        <v>67</v>
      </c>
      <c r="F171" s="27">
        <v>14</v>
      </c>
      <c r="G171" s="31" t="e">
        <f>VLOOKUP(I171,'Names with Seat Code'!B:E,2)</f>
        <v>#N/A</v>
      </c>
      <c r="H171" s="31" t="e">
        <f>VLOOKUP(I171,'Names with Seat Code'!B:E,4)</f>
        <v>#N/A</v>
      </c>
      <c r="I171" s="25">
        <f>IF(B170+1&lt;DIRECTIONS!$E$24,B170+1,0)</f>
        <v>0</v>
      </c>
    </row>
    <row r="172" spans="1:9" ht="19.5" thickTop="1" thickBot="1" x14ac:dyDescent="0.3">
      <c r="A172" s="28" t="s">
        <v>82</v>
      </c>
      <c r="B172" s="27">
        <v>171</v>
      </c>
      <c r="C172" s="28" t="s">
        <v>83</v>
      </c>
      <c r="D172" s="28" t="s">
        <v>50</v>
      </c>
      <c r="E172" s="27" t="s">
        <v>67</v>
      </c>
      <c r="F172" s="27">
        <v>12</v>
      </c>
      <c r="G172" s="31" t="e">
        <f>VLOOKUP(I172,'Names with Seat Code'!B:E,2)</f>
        <v>#N/A</v>
      </c>
      <c r="H172" s="31" t="e">
        <f>VLOOKUP(I172,'Names with Seat Code'!B:E,4)</f>
        <v>#N/A</v>
      </c>
      <c r="I172" s="25">
        <f>IF(B171+1&lt;DIRECTIONS!$E$24,B171+1,0)</f>
        <v>0</v>
      </c>
    </row>
    <row r="173" spans="1:9" ht="19.5" thickTop="1" thickBot="1" x14ac:dyDescent="0.3">
      <c r="A173" s="28" t="s">
        <v>82</v>
      </c>
      <c r="B173" s="27">
        <v>172</v>
      </c>
      <c r="C173" s="28" t="s">
        <v>83</v>
      </c>
      <c r="D173" s="28" t="s">
        <v>50</v>
      </c>
      <c r="E173" s="27" t="s">
        <v>67</v>
      </c>
      <c r="F173" s="27">
        <v>10</v>
      </c>
      <c r="G173" s="31" t="e">
        <f>VLOOKUP(I173,'Names with Seat Code'!B:E,2)</f>
        <v>#N/A</v>
      </c>
      <c r="H173" s="31" t="e">
        <f>VLOOKUP(I173,'Names with Seat Code'!B:E,4)</f>
        <v>#N/A</v>
      </c>
      <c r="I173" s="25">
        <f>IF(B172+1&lt;DIRECTIONS!$E$24,B172+1,0)</f>
        <v>0</v>
      </c>
    </row>
    <row r="174" spans="1:9" ht="19.5" thickTop="1" thickBot="1" x14ac:dyDescent="0.3">
      <c r="A174" s="28" t="s">
        <v>82</v>
      </c>
      <c r="B174" s="27">
        <v>173</v>
      </c>
      <c r="C174" s="28" t="s">
        <v>83</v>
      </c>
      <c r="D174" s="28" t="s">
        <v>50</v>
      </c>
      <c r="E174" s="27" t="s">
        <v>67</v>
      </c>
      <c r="F174" s="27">
        <v>8</v>
      </c>
      <c r="G174" s="31" t="e">
        <f>VLOOKUP(I174,'Names with Seat Code'!B:E,2)</f>
        <v>#N/A</v>
      </c>
      <c r="H174" s="31" t="e">
        <f>VLOOKUP(I174,'Names with Seat Code'!B:E,4)</f>
        <v>#N/A</v>
      </c>
      <c r="I174" s="25">
        <f>IF(B173+1&lt;DIRECTIONS!$E$24,B173+1,0)</f>
        <v>0</v>
      </c>
    </row>
    <row r="175" spans="1:9" ht="19.5" thickTop="1" thickBot="1" x14ac:dyDescent="0.3">
      <c r="A175" s="28" t="s">
        <v>82</v>
      </c>
      <c r="B175" s="27">
        <v>174</v>
      </c>
      <c r="C175" s="28" t="s">
        <v>83</v>
      </c>
      <c r="D175" s="28" t="s">
        <v>50</v>
      </c>
      <c r="E175" s="27" t="s">
        <v>67</v>
      </c>
      <c r="F175" s="27">
        <v>6</v>
      </c>
      <c r="G175" s="31" t="e">
        <f>VLOOKUP(I175,'Names with Seat Code'!B:E,2)</f>
        <v>#N/A</v>
      </c>
      <c r="H175" s="31" t="e">
        <f>VLOOKUP(I175,'Names with Seat Code'!B:E,4)</f>
        <v>#N/A</v>
      </c>
      <c r="I175" s="25">
        <f>IF(B174+1&lt;DIRECTIONS!$E$24,B174+1,0)</f>
        <v>0</v>
      </c>
    </row>
    <row r="176" spans="1:9" ht="19.5" thickTop="1" thickBot="1" x14ac:dyDescent="0.3">
      <c r="A176" s="28" t="s">
        <v>82</v>
      </c>
      <c r="B176" s="27">
        <v>175</v>
      </c>
      <c r="C176" s="28" t="s">
        <v>83</v>
      </c>
      <c r="D176" s="28" t="s">
        <v>50</v>
      </c>
      <c r="E176" s="27" t="s">
        <v>67</v>
      </c>
      <c r="F176" s="27">
        <v>4</v>
      </c>
      <c r="G176" s="31" t="e">
        <f>VLOOKUP(I176,'Names with Seat Code'!B:E,2)</f>
        <v>#N/A</v>
      </c>
      <c r="H176" s="31" t="e">
        <f>VLOOKUP(I176,'Names with Seat Code'!B:E,4)</f>
        <v>#N/A</v>
      </c>
      <c r="I176" s="25">
        <f>IF(B175+1&lt;DIRECTIONS!$E$24,B175+1,0)</f>
        <v>0</v>
      </c>
    </row>
    <row r="177" spans="1:9" ht="19.5" thickTop="1" thickBot="1" x14ac:dyDescent="0.3">
      <c r="A177" s="28" t="s">
        <v>82</v>
      </c>
      <c r="B177" s="27">
        <v>176</v>
      </c>
      <c r="C177" s="28" t="s">
        <v>83</v>
      </c>
      <c r="D177" s="28" t="s">
        <v>50</v>
      </c>
      <c r="E177" s="27" t="s">
        <v>67</v>
      </c>
      <c r="F177" s="27">
        <v>2</v>
      </c>
      <c r="G177" s="31" t="e">
        <f>VLOOKUP(I177,'Names with Seat Code'!B:E,2)</f>
        <v>#N/A</v>
      </c>
      <c r="H177" s="31" t="e">
        <f>VLOOKUP(I177,'Names with Seat Code'!B:E,4)</f>
        <v>#N/A</v>
      </c>
      <c r="I177" s="25">
        <f>IF(B176+1&lt;DIRECTIONS!$E$24,B176+1,0)</f>
        <v>0</v>
      </c>
    </row>
    <row r="178" spans="1:9" ht="19.5" thickTop="1" thickBot="1" x14ac:dyDescent="0.3">
      <c r="A178" s="28" t="s">
        <v>82</v>
      </c>
      <c r="B178" s="27">
        <v>177</v>
      </c>
      <c r="C178" s="28" t="s">
        <v>84</v>
      </c>
      <c r="D178" s="28" t="s">
        <v>85</v>
      </c>
      <c r="E178" s="27" t="s">
        <v>69</v>
      </c>
      <c r="F178" s="27">
        <v>109</v>
      </c>
      <c r="G178" s="31" t="e">
        <f>VLOOKUP(I178,'Names with Seat Code'!B:E,2)</f>
        <v>#N/A</v>
      </c>
      <c r="H178" s="31" t="e">
        <f>VLOOKUP(I178,'Names with Seat Code'!B:E,4)</f>
        <v>#N/A</v>
      </c>
      <c r="I178" s="25">
        <f>IF(B177+1&lt;DIRECTIONS!$E$24,B177+1,0)</f>
        <v>0</v>
      </c>
    </row>
    <row r="179" spans="1:9" ht="19.5" thickTop="1" thickBot="1" x14ac:dyDescent="0.3">
      <c r="A179" s="28" t="s">
        <v>82</v>
      </c>
      <c r="B179" s="27">
        <v>178</v>
      </c>
      <c r="C179" s="28" t="s">
        <v>84</v>
      </c>
      <c r="D179" s="28" t="s">
        <v>85</v>
      </c>
      <c r="E179" s="27" t="s">
        <v>69</v>
      </c>
      <c r="F179" s="27">
        <v>108</v>
      </c>
      <c r="G179" s="31" t="e">
        <f>VLOOKUP(I179,'Names with Seat Code'!B:E,2)</f>
        <v>#N/A</v>
      </c>
      <c r="H179" s="31" t="e">
        <f>VLOOKUP(I179,'Names with Seat Code'!B:E,4)</f>
        <v>#N/A</v>
      </c>
      <c r="I179" s="25">
        <f>IF(B178+1&lt;DIRECTIONS!$E$24,B178+1,0)</f>
        <v>0</v>
      </c>
    </row>
    <row r="180" spans="1:9" ht="19.5" thickTop="1" thickBot="1" x14ac:dyDescent="0.3">
      <c r="A180" s="28" t="s">
        <v>82</v>
      </c>
      <c r="B180" s="27">
        <v>179</v>
      </c>
      <c r="C180" s="28" t="s">
        <v>84</v>
      </c>
      <c r="D180" s="28" t="s">
        <v>85</v>
      </c>
      <c r="E180" s="27" t="s">
        <v>69</v>
      </c>
      <c r="F180" s="27">
        <v>107</v>
      </c>
      <c r="G180" s="31" t="e">
        <f>VLOOKUP(I180,'Names with Seat Code'!B:E,2)</f>
        <v>#N/A</v>
      </c>
      <c r="H180" s="31" t="e">
        <f>VLOOKUP(I180,'Names with Seat Code'!B:E,4)</f>
        <v>#N/A</v>
      </c>
      <c r="I180" s="25">
        <f>IF(B179+1&lt;DIRECTIONS!$E$24,B179+1,0)</f>
        <v>0</v>
      </c>
    </row>
    <row r="181" spans="1:9" ht="19.5" thickTop="1" thickBot="1" x14ac:dyDescent="0.3">
      <c r="A181" s="28" t="s">
        <v>82</v>
      </c>
      <c r="B181" s="27">
        <v>180</v>
      </c>
      <c r="C181" s="28" t="s">
        <v>84</v>
      </c>
      <c r="D181" s="28" t="s">
        <v>85</v>
      </c>
      <c r="E181" s="27" t="s">
        <v>69</v>
      </c>
      <c r="F181" s="27">
        <v>106</v>
      </c>
      <c r="G181" s="31" t="e">
        <f>VLOOKUP(I181,'Names with Seat Code'!B:E,2)</f>
        <v>#N/A</v>
      </c>
      <c r="H181" s="31" t="e">
        <f>VLOOKUP(I181,'Names with Seat Code'!B:E,4)</f>
        <v>#N/A</v>
      </c>
      <c r="I181" s="25">
        <f>IF(B180+1&lt;DIRECTIONS!$E$24,B180+1,0)</f>
        <v>0</v>
      </c>
    </row>
    <row r="182" spans="1:9" ht="19.5" thickTop="1" thickBot="1" x14ac:dyDescent="0.3">
      <c r="A182" s="28" t="s">
        <v>82</v>
      </c>
      <c r="B182" s="27">
        <v>181</v>
      </c>
      <c r="C182" s="28" t="s">
        <v>84</v>
      </c>
      <c r="D182" s="28" t="s">
        <v>85</v>
      </c>
      <c r="E182" s="27" t="s">
        <v>69</v>
      </c>
      <c r="F182" s="27">
        <v>105</v>
      </c>
      <c r="G182" s="31" t="e">
        <f>VLOOKUP(I182,'Names with Seat Code'!B:E,2)</f>
        <v>#N/A</v>
      </c>
      <c r="H182" s="31" t="e">
        <f>VLOOKUP(I182,'Names with Seat Code'!B:E,4)</f>
        <v>#N/A</v>
      </c>
      <c r="I182" s="25">
        <f>IF(B181+1&lt;DIRECTIONS!$E$24,B181+1,0)</f>
        <v>0</v>
      </c>
    </row>
    <row r="183" spans="1:9" ht="19.5" thickTop="1" thickBot="1" x14ac:dyDescent="0.3">
      <c r="A183" s="28" t="s">
        <v>82</v>
      </c>
      <c r="B183" s="27">
        <v>182</v>
      </c>
      <c r="C183" s="28" t="s">
        <v>84</v>
      </c>
      <c r="D183" s="28" t="s">
        <v>85</v>
      </c>
      <c r="E183" s="27" t="s">
        <v>69</v>
      </c>
      <c r="F183" s="27">
        <v>104</v>
      </c>
      <c r="G183" s="31" t="e">
        <f>VLOOKUP(I183,'Names with Seat Code'!B:E,2)</f>
        <v>#N/A</v>
      </c>
      <c r="H183" s="31" t="e">
        <f>VLOOKUP(I183,'Names with Seat Code'!B:E,4)</f>
        <v>#N/A</v>
      </c>
      <c r="I183" s="25">
        <f>IF(B182+1&lt;DIRECTIONS!$E$24,B182+1,0)</f>
        <v>0</v>
      </c>
    </row>
    <row r="184" spans="1:9" ht="19.5" thickTop="1" thickBot="1" x14ac:dyDescent="0.3">
      <c r="A184" s="28" t="s">
        <v>82</v>
      </c>
      <c r="B184" s="27">
        <v>183</v>
      </c>
      <c r="C184" s="28" t="s">
        <v>84</v>
      </c>
      <c r="D184" s="28" t="s">
        <v>85</v>
      </c>
      <c r="E184" s="27" t="s">
        <v>69</v>
      </c>
      <c r="F184" s="27">
        <v>103</v>
      </c>
      <c r="G184" s="31" t="e">
        <f>VLOOKUP(I184,'Names with Seat Code'!B:E,2)</f>
        <v>#N/A</v>
      </c>
      <c r="H184" s="31" t="e">
        <f>VLOOKUP(I184,'Names with Seat Code'!B:E,4)</f>
        <v>#N/A</v>
      </c>
      <c r="I184" s="25">
        <f>IF(B183+1&lt;DIRECTIONS!$E$24,B183+1,0)</f>
        <v>0</v>
      </c>
    </row>
    <row r="185" spans="1:9" ht="19.5" thickTop="1" thickBot="1" x14ac:dyDescent="0.3">
      <c r="A185" s="28" t="s">
        <v>82</v>
      </c>
      <c r="B185" s="27">
        <v>184</v>
      </c>
      <c r="C185" s="28" t="s">
        <v>84</v>
      </c>
      <c r="D185" s="28" t="s">
        <v>85</v>
      </c>
      <c r="E185" s="27" t="s">
        <v>69</v>
      </c>
      <c r="F185" s="27">
        <v>102</v>
      </c>
      <c r="G185" s="31" t="e">
        <f>VLOOKUP(I185,'Names with Seat Code'!B:E,2)</f>
        <v>#N/A</v>
      </c>
      <c r="H185" s="31" t="e">
        <f>VLOOKUP(I185,'Names with Seat Code'!B:E,4)</f>
        <v>#N/A</v>
      </c>
      <c r="I185" s="25">
        <f>IF(B184+1&lt;DIRECTIONS!$E$24,B184+1,0)</f>
        <v>0</v>
      </c>
    </row>
    <row r="186" spans="1:9" ht="19.5" thickTop="1" thickBot="1" x14ac:dyDescent="0.3">
      <c r="A186" s="28" t="s">
        <v>82</v>
      </c>
      <c r="B186" s="27">
        <v>185</v>
      </c>
      <c r="C186" s="28" t="s">
        <v>84</v>
      </c>
      <c r="D186" s="28" t="s">
        <v>85</v>
      </c>
      <c r="E186" s="27" t="s">
        <v>69</v>
      </c>
      <c r="F186" s="27">
        <v>101</v>
      </c>
      <c r="G186" s="31" t="e">
        <f>VLOOKUP(I186,'Names with Seat Code'!B:E,2)</f>
        <v>#N/A</v>
      </c>
      <c r="H186" s="31" t="e">
        <f>VLOOKUP(I186,'Names with Seat Code'!B:E,4)</f>
        <v>#N/A</v>
      </c>
      <c r="I186" s="25">
        <f>IF(B185+1&lt;DIRECTIONS!$E$24,B185+1,0)</f>
        <v>0</v>
      </c>
    </row>
    <row r="187" spans="1:9" ht="19.5" thickTop="1" thickBot="1" x14ac:dyDescent="0.3">
      <c r="A187" s="28" t="s">
        <v>82</v>
      </c>
      <c r="B187" s="27">
        <v>186</v>
      </c>
      <c r="C187" s="28" t="s">
        <v>83</v>
      </c>
      <c r="D187" s="28" t="s">
        <v>50</v>
      </c>
      <c r="E187" s="27" t="s">
        <v>69</v>
      </c>
      <c r="F187" s="27">
        <v>22</v>
      </c>
      <c r="G187" s="31" t="e">
        <f>VLOOKUP(I187,'Names with Seat Code'!B:E,2)</f>
        <v>#N/A</v>
      </c>
      <c r="H187" s="31" t="e">
        <f>VLOOKUP(I187,'Names with Seat Code'!B:E,4)</f>
        <v>#N/A</v>
      </c>
      <c r="I187" s="25">
        <f>IF(B186+1&lt;DIRECTIONS!$E$24,B186+1,0)</f>
        <v>0</v>
      </c>
    </row>
    <row r="188" spans="1:9" ht="19.5" thickTop="1" thickBot="1" x14ac:dyDescent="0.3">
      <c r="A188" s="28" t="s">
        <v>82</v>
      </c>
      <c r="B188" s="27">
        <v>187</v>
      </c>
      <c r="C188" s="28" t="s">
        <v>83</v>
      </c>
      <c r="D188" s="28" t="s">
        <v>50</v>
      </c>
      <c r="E188" s="27" t="s">
        <v>69</v>
      </c>
      <c r="F188" s="27">
        <v>20</v>
      </c>
      <c r="G188" s="31" t="e">
        <f>VLOOKUP(I188,'Names with Seat Code'!B:E,2)</f>
        <v>#N/A</v>
      </c>
      <c r="H188" s="31" t="e">
        <f>VLOOKUP(I188,'Names with Seat Code'!B:E,4)</f>
        <v>#N/A</v>
      </c>
      <c r="I188" s="25">
        <f>IF(B187+1&lt;DIRECTIONS!$E$24,B187+1,0)</f>
        <v>0</v>
      </c>
    </row>
    <row r="189" spans="1:9" ht="19.5" thickTop="1" thickBot="1" x14ac:dyDescent="0.3">
      <c r="A189" s="28" t="s">
        <v>82</v>
      </c>
      <c r="B189" s="27">
        <v>188</v>
      </c>
      <c r="C189" s="28" t="s">
        <v>83</v>
      </c>
      <c r="D189" s="28" t="s">
        <v>50</v>
      </c>
      <c r="E189" s="27" t="s">
        <v>69</v>
      </c>
      <c r="F189" s="27">
        <v>18</v>
      </c>
      <c r="G189" s="31" t="e">
        <f>VLOOKUP(I189,'Names with Seat Code'!B:E,2)</f>
        <v>#N/A</v>
      </c>
      <c r="H189" s="31" t="e">
        <f>VLOOKUP(I189,'Names with Seat Code'!B:E,4)</f>
        <v>#N/A</v>
      </c>
      <c r="I189" s="25">
        <f>IF(B188+1&lt;DIRECTIONS!$E$24,B188+1,0)</f>
        <v>0</v>
      </c>
    </row>
    <row r="190" spans="1:9" ht="19.5" thickTop="1" thickBot="1" x14ac:dyDescent="0.3">
      <c r="A190" s="28" t="s">
        <v>82</v>
      </c>
      <c r="B190" s="27">
        <v>189</v>
      </c>
      <c r="C190" s="28" t="s">
        <v>83</v>
      </c>
      <c r="D190" s="28" t="s">
        <v>50</v>
      </c>
      <c r="E190" s="27" t="s">
        <v>69</v>
      </c>
      <c r="F190" s="27">
        <v>16</v>
      </c>
      <c r="G190" s="31" t="e">
        <f>VLOOKUP(I190,'Names with Seat Code'!B:E,2)</f>
        <v>#N/A</v>
      </c>
      <c r="H190" s="31" t="e">
        <f>VLOOKUP(I190,'Names with Seat Code'!B:E,4)</f>
        <v>#N/A</v>
      </c>
      <c r="I190" s="25">
        <f>IF(B189+1&lt;DIRECTIONS!$E$24,B189+1,0)</f>
        <v>0</v>
      </c>
    </row>
    <row r="191" spans="1:9" ht="19.5" thickTop="1" thickBot="1" x14ac:dyDescent="0.3">
      <c r="A191" s="28" t="s">
        <v>82</v>
      </c>
      <c r="B191" s="27">
        <v>190</v>
      </c>
      <c r="C191" s="28" t="s">
        <v>83</v>
      </c>
      <c r="D191" s="28" t="s">
        <v>50</v>
      </c>
      <c r="E191" s="27" t="s">
        <v>69</v>
      </c>
      <c r="F191" s="27">
        <v>14</v>
      </c>
      <c r="G191" s="31" t="e">
        <f>VLOOKUP(I191,'Names with Seat Code'!B:E,2)</f>
        <v>#N/A</v>
      </c>
      <c r="H191" s="31" t="e">
        <f>VLOOKUP(I191,'Names with Seat Code'!B:E,4)</f>
        <v>#N/A</v>
      </c>
      <c r="I191" s="25">
        <f>IF(B190+1&lt;DIRECTIONS!$E$24,B190+1,0)</f>
        <v>0</v>
      </c>
    </row>
    <row r="192" spans="1:9" ht="19.5" thickTop="1" thickBot="1" x14ac:dyDescent="0.3">
      <c r="A192" s="28" t="s">
        <v>82</v>
      </c>
      <c r="B192" s="27">
        <v>191</v>
      </c>
      <c r="C192" s="28" t="s">
        <v>83</v>
      </c>
      <c r="D192" s="28" t="s">
        <v>50</v>
      </c>
      <c r="E192" s="27" t="s">
        <v>69</v>
      </c>
      <c r="F192" s="27">
        <v>12</v>
      </c>
      <c r="G192" s="31" t="e">
        <f>VLOOKUP(I192,'Names with Seat Code'!B:E,2)</f>
        <v>#N/A</v>
      </c>
      <c r="H192" s="31" t="e">
        <f>VLOOKUP(I192,'Names with Seat Code'!B:E,4)</f>
        <v>#N/A</v>
      </c>
      <c r="I192" s="25">
        <f>IF(B191+1&lt;DIRECTIONS!$E$24,B191+1,0)</f>
        <v>0</v>
      </c>
    </row>
    <row r="193" spans="1:9" ht="19.5" thickTop="1" thickBot="1" x14ac:dyDescent="0.3">
      <c r="A193" s="28" t="s">
        <v>82</v>
      </c>
      <c r="B193" s="27">
        <v>192</v>
      </c>
      <c r="C193" s="28" t="s">
        <v>83</v>
      </c>
      <c r="D193" s="28" t="s">
        <v>50</v>
      </c>
      <c r="E193" s="27" t="s">
        <v>69</v>
      </c>
      <c r="F193" s="27">
        <v>10</v>
      </c>
      <c r="G193" s="31" t="e">
        <f>VLOOKUP(I193,'Names with Seat Code'!B:E,2)</f>
        <v>#N/A</v>
      </c>
      <c r="H193" s="31" t="e">
        <f>VLOOKUP(I193,'Names with Seat Code'!B:E,4)</f>
        <v>#N/A</v>
      </c>
      <c r="I193" s="25">
        <f>IF(B192+1&lt;DIRECTIONS!$E$24,B192+1,0)</f>
        <v>0</v>
      </c>
    </row>
    <row r="194" spans="1:9" ht="19.5" thickTop="1" thickBot="1" x14ac:dyDescent="0.3">
      <c r="A194" s="28" t="s">
        <v>82</v>
      </c>
      <c r="B194" s="27">
        <v>193</v>
      </c>
      <c r="C194" s="28" t="s">
        <v>83</v>
      </c>
      <c r="D194" s="28" t="s">
        <v>50</v>
      </c>
      <c r="E194" s="27" t="s">
        <v>69</v>
      </c>
      <c r="F194" s="27">
        <v>8</v>
      </c>
      <c r="G194" s="31" t="e">
        <f>VLOOKUP(I194,'Names with Seat Code'!B:E,2)</f>
        <v>#N/A</v>
      </c>
      <c r="H194" s="31" t="e">
        <f>VLOOKUP(I194,'Names with Seat Code'!B:E,4)</f>
        <v>#N/A</v>
      </c>
      <c r="I194" s="25">
        <f>IF(B193+1&lt;DIRECTIONS!$E$24,B193+1,0)</f>
        <v>0</v>
      </c>
    </row>
    <row r="195" spans="1:9" ht="19.5" thickTop="1" thickBot="1" x14ac:dyDescent="0.3">
      <c r="A195" s="28" t="s">
        <v>82</v>
      </c>
      <c r="B195" s="27">
        <v>194</v>
      </c>
      <c r="C195" s="28" t="s">
        <v>83</v>
      </c>
      <c r="D195" s="28" t="s">
        <v>50</v>
      </c>
      <c r="E195" s="27" t="s">
        <v>69</v>
      </c>
      <c r="F195" s="27">
        <v>6</v>
      </c>
      <c r="G195" s="31" t="e">
        <f>VLOOKUP(I195,'Names with Seat Code'!B:E,2)</f>
        <v>#N/A</v>
      </c>
      <c r="H195" s="31" t="e">
        <f>VLOOKUP(I195,'Names with Seat Code'!B:E,4)</f>
        <v>#N/A</v>
      </c>
      <c r="I195" s="25">
        <f>IF(B194+1&lt;DIRECTIONS!$E$24,B194+1,0)</f>
        <v>0</v>
      </c>
    </row>
    <row r="196" spans="1:9" ht="19.5" thickTop="1" thickBot="1" x14ac:dyDescent="0.3">
      <c r="A196" s="28" t="s">
        <v>82</v>
      </c>
      <c r="B196" s="27">
        <v>195</v>
      </c>
      <c r="C196" s="28" t="s">
        <v>83</v>
      </c>
      <c r="D196" s="28" t="s">
        <v>50</v>
      </c>
      <c r="E196" s="27" t="s">
        <v>69</v>
      </c>
      <c r="F196" s="27">
        <v>4</v>
      </c>
      <c r="G196" s="31" t="e">
        <f>VLOOKUP(I196,'Names with Seat Code'!B:E,2)</f>
        <v>#N/A</v>
      </c>
      <c r="H196" s="31" t="e">
        <f>VLOOKUP(I196,'Names with Seat Code'!B:E,4)</f>
        <v>#N/A</v>
      </c>
      <c r="I196" s="25">
        <f>IF(B195+1&lt;DIRECTIONS!$E$24,B195+1,0)</f>
        <v>0</v>
      </c>
    </row>
    <row r="197" spans="1:9" ht="19.5" thickTop="1" thickBot="1" x14ac:dyDescent="0.3">
      <c r="A197" s="28" t="s">
        <v>82</v>
      </c>
      <c r="B197" s="27">
        <v>196</v>
      </c>
      <c r="C197" s="28" t="s">
        <v>83</v>
      </c>
      <c r="D197" s="28" t="s">
        <v>50</v>
      </c>
      <c r="E197" s="27" t="s">
        <v>69</v>
      </c>
      <c r="F197" s="27">
        <v>2</v>
      </c>
      <c r="G197" s="31" t="e">
        <f>VLOOKUP(I197,'Names with Seat Code'!B:E,2)</f>
        <v>#N/A</v>
      </c>
      <c r="H197" s="31" t="e">
        <f>VLOOKUP(I197,'Names with Seat Code'!B:E,4)</f>
        <v>#N/A</v>
      </c>
      <c r="I197" s="25">
        <f>IF(B196+1&lt;DIRECTIONS!$E$24,B196+1,0)</f>
        <v>0</v>
      </c>
    </row>
    <row r="198" spans="1:9" ht="19.5" thickTop="1" thickBot="1" x14ac:dyDescent="0.3">
      <c r="A198" s="28" t="s">
        <v>82</v>
      </c>
      <c r="B198" s="27">
        <v>197</v>
      </c>
      <c r="C198" s="28" t="s">
        <v>84</v>
      </c>
      <c r="D198" s="28" t="s">
        <v>85</v>
      </c>
      <c r="E198" s="27" t="s">
        <v>70</v>
      </c>
      <c r="F198" s="27">
        <v>109</v>
      </c>
      <c r="G198" s="31" t="e">
        <f>VLOOKUP(I198,'Names with Seat Code'!B:E,2)</f>
        <v>#N/A</v>
      </c>
      <c r="H198" s="31" t="e">
        <f>VLOOKUP(I198,'Names with Seat Code'!B:E,4)</f>
        <v>#N/A</v>
      </c>
      <c r="I198" s="25">
        <f>IF(B197+1&lt;DIRECTIONS!$E$24,B197+1,0)</f>
        <v>0</v>
      </c>
    </row>
    <row r="199" spans="1:9" ht="19.5" thickTop="1" thickBot="1" x14ac:dyDescent="0.3">
      <c r="A199" s="28" t="s">
        <v>82</v>
      </c>
      <c r="B199" s="27">
        <v>198</v>
      </c>
      <c r="C199" s="28" t="s">
        <v>84</v>
      </c>
      <c r="D199" s="28" t="s">
        <v>85</v>
      </c>
      <c r="E199" s="27" t="s">
        <v>70</v>
      </c>
      <c r="F199" s="27">
        <v>108</v>
      </c>
      <c r="G199" s="31" t="e">
        <f>VLOOKUP(I199,'Names with Seat Code'!B:E,2)</f>
        <v>#N/A</v>
      </c>
      <c r="H199" s="31" t="e">
        <f>VLOOKUP(I199,'Names with Seat Code'!B:E,4)</f>
        <v>#N/A</v>
      </c>
      <c r="I199" s="25">
        <f>IF(B198+1&lt;DIRECTIONS!$E$24,B198+1,0)</f>
        <v>0</v>
      </c>
    </row>
    <row r="200" spans="1:9" ht="19.5" thickTop="1" thickBot="1" x14ac:dyDescent="0.3">
      <c r="A200" s="28" t="s">
        <v>82</v>
      </c>
      <c r="B200" s="27">
        <v>199</v>
      </c>
      <c r="C200" s="28" t="s">
        <v>84</v>
      </c>
      <c r="D200" s="28" t="s">
        <v>85</v>
      </c>
      <c r="E200" s="27" t="s">
        <v>70</v>
      </c>
      <c r="F200" s="27">
        <v>107</v>
      </c>
      <c r="G200" s="31" t="e">
        <f>VLOOKUP(I200,'Names with Seat Code'!B:E,2)</f>
        <v>#N/A</v>
      </c>
      <c r="H200" s="31" t="e">
        <f>VLOOKUP(I200,'Names with Seat Code'!B:E,4)</f>
        <v>#N/A</v>
      </c>
      <c r="I200" s="25">
        <f>IF(B199+1&lt;DIRECTIONS!$E$24,B199+1,0)</f>
        <v>0</v>
      </c>
    </row>
    <row r="201" spans="1:9" ht="19.5" thickTop="1" thickBot="1" x14ac:dyDescent="0.3">
      <c r="A201" s="28" t="s">
        <v>82</v>
      </c>
      <c r="B201" s="27">
        <v>200</v>
      </c>
      <c r="C201" s="28" t="s">
        <v>84</v>
      </c>
      <c r="D201" s="28" t="s">
        <v>85</v>
      </c>
      <c r="E201" s="27" t="s">
        <v>70</v>
      </c>
      <c r="F201" s="27">
        <v>106</v>
      </c>
      <c r="G201" s="31" t="e">
        <f>VLOOKUP(I201,'Names with Seat Code'!B:E,2)</f>
        <v>#N/A</v>
      </c>
      <c r="H201" s="31" t="e">
        <f>VLOOKUP(I201,'Names with Seat Code'!B:E,4)</f>
        <v>#N/A</v>
      </c>
      <c r="I201" s="25">
        <f>IF(B200+1&lt;DIRECTIONS!$E$24,B200+1,0)</f>
        <v>0</v>
      </c>
    </row>
    <row r="202" spans="1:9" ht="19.5" thickTop="1" thickBot="1" x14ac:dyDescent="0.3">
      <c r="A202" s="28" t="s">
        <v>82</v>
      </c>
      <c r="B202" s="27">
        <v>201</v>
      </c>
      <c r="C202" s="28" t="s">
        <v>84</v>
      </c>
      <c r="D202" s="28" t="s">
        <v>85</v>
      </c>
      <c r="E202" s="27" t="s">
        <v>70</v>
      </c>
      <c r="F202" s="27">
        <v>105</v>
      </c>
      <c r="G202" s="31" t="e">
        <f>VLOOKUP(I202,'Names with Seat Code'!B:E,2)</f>
        <v>#N/A</v>
      </c>
      <c r="H202" s="31" t="e">
        <f>VLOOKUP(I202,'Names with Seat Code'!B:E,4)</f>
        <v>#N/A</v>
      </c>
      <c r="I202" s="25">
        <f>IF(B201+1&lt;DIRECTIONS!$E$24,B201+1,0)</f>
        <v>0</v>
      </c>
    </row>
    <row r="203" spans="1:9" ht="19.5" thickTop="1" thickBot="1" x14ac:dyDescent="0.3">
      <c r="A203" s="28" t="s">
        <v>82</v>
      </c>
      <c r="B203" s="27">
        <v>202</v>
      </c>
      <c r="C203" s="28" t="s">
        <v>84</v>
      </c>
      <c r="D203" s="28" t="s">
        <v>85</v>
      </c>
      <c r="E203" s="27" t="s">
        <v>70</v>
      </c>
      <c r="F203" s="27">
        <v>104</v>
      </c>
      <c r="G203" s="31" t="e">
        <f>VLOOKUP(I203,'Names with Seat Code'!B:E,2)</f>
        <v>#N/A</v>
      </c>
      <c r="H203" s="31" t="e">
        <f>VLOOKUP(I203,'Names with Seat Code'!B:E,4)</f>
        <v>#N/A</v>
      </c>
      <c r="I203" s="25">
        <f>IF(B202+1&lt;DIRECTIONS!$E$24,B202+1,0)</f>
        <v>0</v>
      </c>
    </row>
    <row r="204" spans="1:9" ht="19.5" thickTop="1" thickBot="1" x14ac:dyDescent="0.3">
      <c r="A204" s="28" t="s">
        <v>82</v>
      </c>
      <c r="B204" s="27">
        <v>203</v>
      </c>
      <c r="C204" s="28" t="s">
        <v>84</v>
      </c>
      <c r="D204" s="28" t="s">
        <v>85</v>
      </c>
      <c r="E204" s="27" t="s">
        <v>70</v>
      </c>
      <c r="F204" s="27">
        <v>103</v>
      </c>
      <c r="G204" s="31" t="e">
        <f>VLOOKUP(I204,'Names with Seat Code'!B:E,2)</f>
        <v>#N/A</v>
      </c>
      <c r="H204" s="31" t="e">
        <f>VLOOKUP(I204,'Names with Seat Code'!B:E,4)</f>
        <v>#N/A</v>
      </c>
      <c r="I204" s="25">
        <f>IF(B203+1&lt;DIRECTIONS!$E$24,B203+1,0)</f>
        <v>0</v>
      </c>
    </row>
    <row r="205" spans="1:9" ht="19.5" thickTop="1" thickBot="1" x14ac:dyDescent="0.3">
      <c r="A205" s="28" t="s">
        <v>82</v>
      </c>
      <c r="B205" s="27">
        <v>204</v>
      </c>
      <c r="C205" s="28" t="s">
        <v>84</v>
      </c>
      <c r="D205" s="28" t="s">
        <v>85</v>
      </c>
      <c r="E205" s="27" t="s">
        <v>70</v>
      </c>
      <c r="F205" s="27">
        <v>102</v>
      </c>
      <c r="G205" s="31" t="e">
        <f>VLOOKUP(I205,'Names with Seat Code'!B:E,2)</f>
        <v>#N/A</v>
      </c>
      <c r="H205" s="31" t="e">
        <f>VLOOKUP(I205,'Names with Seat Code'!B:E,4)</f>
        <v>#N/A</v>
      </c>
      <c r="I205" s="25">
        <f>IF(B204+1&lt;DIRECTIONS!$E$24,B204+1,0)</f>
        <v>0</v>
      </c>
    </row>
    <row r="206" spans="1:9" ht="19.5" thickTop="1" thickBot="1" x14ac:dyDescent="0.3">
      <c r="A206" s="28" t="s">
        <v>82</v>
      </c>
      <c r="B206" s="27">
        <v>205</v>
      </c>
      <c r="C206" s="28" t="s">
        <v>84</v>
      </c>
      <c r="D206" s="28" t="s">
        <v>85</v>
      </c>
      <c r="E206" s="27" t="s">
        <v>70</v>
      </c>
      <c r="F206" s="27">
        <v>101</v>
      </c>
      <c r="G206" s="31" t="e">
        <f>VLOOKUP(I206,'Names with Seat Code'!B:E,2)</f>
        <v>#N/A</v>
      </c>
      <c r="H206" s="31" t="e">
        <f>VLOOKUP(I206,'Names with Seat Code'!B:E,4)</f>
        <v>#N/A</v>
      </c>
      <c r="I206" s="25">
        <f>IF(B205+1&lt;DIRECTIONS!$E$24,B205+1,0)</f>
        <v>0</v>
      </c>
    </row>
    <row r="207" spans="1:9" ht="19.5" thickTop="1" thickBot="1" x14ac:dyDescent="0.3">
      <c r="A207" s="28" t="s">
        <v>82</v>
      </c>
      <c r="B207" s="27">
        <v>206</v>
      </c>
      <c r="C207" s="28" t="s">
        <v>83</v>
      </c>
      <c r="D207" s="28" t="s">
        <v>50</v>
      </c>
      <c r="E207" s="27" t="s">
        <v>70</v>
      </c>
      <c r="F207" s="27">
        <v>22</v>
      </c>
      <c r="G207" s="31" t="e">
        <f>VLOOKUP(I207,'Names with Seat Code'!B:E,2)</f>
        <v>#N/A</v>
      </c>
      <c r="H207" s="31" t="e">
        <f>VLOOKUP(I207,'Names with Seat Code'!B:E,4)</f>
        <v>#N/A</v>
      </c>
      <c r="I207" s="25">
        <f>IF(B206+1&lt;DIRECTIONS!$E$24,B206+1,0)</f>
        <v>0</v>
      </c>
    </row>
    <row r="208" spans="1:9" ht="19.5" thickTop="1" thickBot="1" x14ac:dyDescent="0.3">
      <c r="A208" s="28" t="s">
        <v>82</v>
      </c>
      <c r="B208" s="27">
        <v>207</v>
      </c>
      <c r="C208" s="28" t="s">
        <v>83</v>
      </c>
      <c r="D208" s="28" t="s">
        <v>50</v>
      </c>
      <c r="E208" s="27" t="s">
        <v>70</v>
      </c>
      <c r="F208" s="27">
        <v>20</v>
      </c>
      <c r="G208" s="31" t="e">
        <f>VLOOKUP(I208,'Names with Seat Code'!B:E,2)</f>
        <v>#N/A</v>
      </c>
      <c r="H208" s="31" t="e">
        <f>VLOOKUP(I208,'Names with Seat Code'!B:E,4)</f>
        <v>#N/A</v>
      </c>
      <c r="I208" s="25">
        <f>IF(B207+1&lt;DIRECTIONS!$E$24,B207+1,0)</f>
        <v>0</v>
      </c>
    </row>
    <row r="209" spans="1:9" ht="19.5" thickTop="1" thickBot="1" x14ac:dyDescent="0.3">
      <c r="A209" s="28" t="s">
        <v>82</v>
      </c>
      <c r="B209" s="27">
        <v>208</v>
      </c>
      <c r="C209" s="28" t="s">
        <v>83</v>
      </c>
      <c r="D209" s="28" t="s">
        <v>50</v>
      </c>
      <c r="E209" s="27" t="s">
        <v>70</v>
      </c>
      <c r="F209" s="27">
        <v>18</v>
      </c>
      <c r="G209" s="31" t="e">
        <f>VLOOKUP(I209,'Names with Seat Code'!B:E,2)</f>
        <v>#N/A</v>
      </c>
      <c r="H209" s="31" t="e">
        <f>VLOOKUP(I209,'Names with Seat Code'!B:E,4)</f>
        <v>#N/A</v>
      </c>
      <c r="I209" s="25">
        <f>IF(B208+1&lt;DIRECTIONS!$E$24,B208+1,0)</f>
        <v>0</v>
      </c>
    </row>
    <row r="210" spans="1:9" ht="19.5" thickTop="1" thickBot="1" x14ac:dyDescent="0.3">
      <c r="A210" s="28" t="s">
        <v>82</v>
      </c>
      <c r="B210" s="27">
        <v>209</v>
      </c>
      <c r="C210" s="28" t="s">
        <v>83</v>
      </c>
      <c r="D210" s="28" t="s">
        <v>50</v>
      </c>
      <c r="E210" s="27" t="s">
        <v>70</v>
      </c>
      <c r="F210" s="27">
        <v>16</v>
      </c>
      <c r="G210" s="31" t="e">
        <f>VLOOKUP(I210,'Names with Seat Code'!B:E,2)</f>
        <v>#N/A</v>
      </c>
      <c r="H210" s="31" t="e">
        <f>VLOOKUP(I210,'Names with Seat Code'!B:E,4)</f>
        <v>#N/A</v>
      </c>
      <c r="I210" s="25">
        <f>IF(B209+1&lt;DIRECTIONS!$E$24,B209+1,0)</f>
        <v>0</v>
      </c>
    </row>
    <row r="211" spans="1:9" ht="19.5" thickTop="1" thickBot="1" x14ac:dyDescent="0.3">
      <c r="A211" s="28" t="s">
        <v>82</v>
      </c>
      <c r="B211" s="27">
        <v>210</v>
      </c>
      <c r="C211" s="28" t="s">
        <v>83</v>
      </c>
      <c r="D211" s="28" t="s">
        <v>50</v>
      </c>
      <c r="E211" s="27" t="s">
        <v>70</v>
      </c>
      <c r="F211" s="27">
        <v>14</v>
      </c>
      <c r="G211" s="31" t="e">
        <f>VLOOKUP(I211,'Names with Seat Code'!B:E,2)</f>
        <v>#N/A</v>
      </c>
      <c r="H211" s="31" t="e">
        <f>VLOOKUP(I211,'Names with Seat Code'!B:E,4)</f>
        <v>#N/A</v>
      </c>
      <c r="I211" s="25">
        <f>IF(B210+1&lt;DIRECTIONS!$E$24,B210+1,0)</f>
        <v>0</v>
      </c>
    </row>
    <row r="212" spans="1:9" ht="19.5" thickTop="1" thickBot="1" x14ac:dyDescent="0.3">
      <c r="A212" s="28" t="s">
        <v>82</v>
      </c>
      <c r="B212" s="27">
        <v>211</v>
      </c>
      <c r="C212" s="28" t="s">
        <v>83</v>
      </c>
      <c r="D212" s="28" t="s">
        <v>50</v>
      </c>
      <c r="E212" s="27" t="s">
        <v>70</v>
      </c>
      <c r="F212" s="27">
        <v>12</v>
      </c>
      <c r="G212" s="31" t="e">
        <f>VLOOKUP(I212,'Names with Seat Code'!B:E,2)</f>
        <v>#N/A</v>
      </c>
      <c r="H212" s="31" t="e">
        <f>VLOOKUP(I212,'Names with Seat Code'!B:E,4)</f>
        <v>#N/A</v>
      </c>
      <c r="I212" s="25">
        <f>IF(B211+1&lt;DIRECTIONS!$E$24,B211+1,0)</f>
        <v>0</v>
      </c>
    </row>
    <row r="213" spans="1:9" ht="19.5" thickTop="1" thickBot="1" x14ac:dyDescent="0.3">
      <c r="A213" s="28" t="s">
        <v>82</v>
      </c>
      <c r="B213" s="27">
        <v>212</v>
      </c>
      <c r="C213" s="28" t="s">
        <v>83</v>
      </c>
      <c r="D213" s="28" t="s">
        <v>50</v>
      </c>
      <c r="E213" s="27" t="s">
        <v>70</v>
      </c>
      <c r="F213" s="27">
        <v>10</v>
      </c>
      <c r="G213" s="31" t="e">
        <f>VLOOKUP(I213,'Names with Seat Code'!B:E,2)</f>
        <v>#N/A</v>
      </c>
      <c r="H213" s="31" t="e">
        <f>VLOOKUP(I213,'Names with Seat Code'!B:E,4)</f>
        <v>#N/A</v>
      </c>
      <c r="I213" s="25">
        <f>IF(B212+1&lt;DIRECTIONS!$E$24,B212+1,0)</f>
        <v>0</v>
      </c>
    </row>
    <row r="214" spans="1:9" ht="19.5" thickTop="1" thickBot="1" x14ac:dyDescent="0.3">
      <c r="A214" s="28" t="s">
        <v>82</v>
      </c>
      <c r="B214" s="27">
        <v>213</v>
      </c>
      <c r="C214" s="28" t="s">
        <v>83</v>
      </c>
      <c r="D214" s="28" t="s">
        <v>50</v>
      </c>
      <c r="E214" s="27" t="s">
        <v>70</v>
      </c>
      <c r="F214" s="27">
        <v>8</v>
      </c>
      <c r="G214" s="31" t="e">
        <f>VLOOKUP(I214,'Names with Seat Code'!B:E,2)</f>
        <v>#N/A</v>
      </c>
      <c r="H214" s="31" t="e">
        <f>VLOOKUP(I214,'Names with Seat Code'!B:E,4)</f>
        <v>#N/A</v>
      </c>
      <c r="I214" s="25">
        <f>IF(B213+1&lt;DIRECTIONS!$E$24,B213+1,0)</f>
        <v>0</v>
      </c>
    </row>
    <row r="215" spans="1:9" ht="19.5" thickTop="1" thickBot="1" x14ac:dyDescent="0.3">
      <c r="A215" s="28" t="s">
        <v>82</v>
      </c>
      <c r="B215" s="27">
        <v>214</v>
      </c>
      <c r="C215" s="28" t="s">
        <v>83</v>
      </c>
      <c r="D215" s="28" t="s">
        <v>50</v>
      </c>
      <c r="E215" s="27" t="s">
        <v>70</v>
      </c>
      <c r="F215" s="27">
        <v>6</v>
      </c>
      <c r="G215" s="31" t="e">
        <f>VLOOKUP(I215,'Names with Seat Code'!B:E,2)</f>
        <v>#N/A</v>
      </c>
      <c r="H215" s="31" t="e">
        <f>VLOOKUP(I215,'Names with Seat Code'!B:E,4)</f>
        <v>#N/A</v>
      </c>
      <c r="I215" s="25">
        <f>IF(B214+1&lt;DIRECTIONS!$E$24,B214+1,0)</f>
        <v>0</v>
      </c>
    </row>
    <row r="216" spans="1:9" ht="19.5" thickTop="1" thickBot="1" x14ac:dyDescent="0.3">
      <c r="A216" s="28" t="s">
        <v>82</v>
      </c>
      <c r="B216" s="27">
        <v>215</v>
      </c>
      <c r="C216" s="28" t="s">
        <v>83</v>
      </c>
      <c r="D216" s="28" t="s">
        <v>50</v>
      </c>
      <c r="E216" s="27" t="s">
        <v>70</v>
      </c>
      <c r="F216" s="27">
        <v>4</v>
      </c>
      <c r="G216" s="31" t="e">
        <f>VLOOKUP(I216,'Names with Seat Code'!B:E,2)</f>
        <v>#N/A</v>
      </c>
      <c r="H216" s="31" t="e">
        <f>VLOOKUP(I216,'Names with Seat Code'!B:E,4)</f>
        <v>#N/A</v>
      </c>
      <c r="I216" s="25">
        <f>IF(B215+1&lt;DIRECTIONS!$E$24,B215+1,0)</f>
        <v>0</v>
      </c>
    </row>
    <row r="217" spans="1:9" ht="19.5" thickTop="1" thickBot="1" x14ac:dyDescent="0.3">
      <c r="A217" s="28" t="s">
        <v>82</v>
      </c>
      <c r="B217" s="27">
        <v>216</v>
      </c>
      <c r="C217" s="28" t="s">
        <v>83</v>
      </c>
      <c r="D217" s="28" t="s">
        <v>50</v>
      </c>
      <c r="E217" s="27" t="s">
        <v>70</v>
      </c>
      <c r="F217" s="27">
        <v>2</v>
      </c>
      <c r="G217" s="31" t="e">
        <f>VLOOKUP(I217,'Names with Seat Code'!B:E,2)</f>
        <v>#N/A</v>
      </c>
      <c r="H217" s="31" t="e">
        <f>VLOOKUP(I217,'Names with Seat Code'!B:E,4)</f>
        <v>#N/A</v>
      </c>
      <c r="I217" s="25">
        <f>IF(B216+1&lt;DIRECTIONS!$E$24,B216+1,0)</f>
        <v>0</v>
      </c>
    </row>
    <row r="218" spans="1:9" ht="19.5" thickTop="1" thickBot="1" x14ac:dyDescent="0.3">
      <c r="A218" s="28" t="s">
        <v>86</v>
      </c>
      <c r="B218" s="27">
        <v>1</v>
      </c>
      <c r="C218" s="28" t="s">
        <v>84</v>
      </c>
      <c r="D218" s="28" t="s">
        <v>53</v>
      </c>
      <c r="E218" s="27" t="s">
        <v>49</v>
      </c>
      <c r="F218" s="27">
        <v>11</v>
      </c>
      <c r="G218" s="31" t="str">
        <f>VLOOKUP(I218,'Names with Seat Code'!B:E,2)</f>
        <v>Jonathan</v>
      </c>
      <c r="H218" s="31" t="str">
        <f>VLOOKUP(I218,'Names with Seat Code'!B:E,4)</f>
        <v>Lee</v>
      </c>
      <c r="I218" s="25">
        <f>DIRECTIONS!$E$23+B218</f>
        <v>132</v>
      </c>
    </row>
    <row r="219" spans="1:9" ht="19.5" thickTop="1" thickBot="1" x14ac:dyDescent="0.3">
      <c r="A219" s="28" t="s">
        <v>86</v>
      </c>
      <c r="B219" s="27">
        <v>2</v>
      </c>
      <c r="C219" s="28" t="s">
        <v>84</v>
      </c>
      <c r="D219" s="28" t="s">
        <v>53</v>
      </c>
      <c r="E219" s="27" t="s">
        <v>49</v>
      </c>
      <c r="F219" s="27">
        <v>9</v>
      </c>
      <c r="G219" s="31" t="str">
        <f>VLOOKUP(I219,'Names with Seat Code'!B:E,2)</f>
        <v>Desmond</v>
      </c>
      <c r="H219" s="31" t="str">
        <f>VLOOKUP(I219,'Names with Seat Code'!B:E,4)</f>
        <v>Lethin</v>
      </c>
      <c r="I219" s="25">
        <f>DIRECTIONS!$E$23+B219</f>
        <v>133</v>
      </c>
    </row>
    <row r="220" spans="1:9" ht="19.5" thickTop="1" thickBot="1" x14ac:dyDescent="0.3">
      <c r="A220" s="28" t="s">
        <v>86</v>
      </c>
      <c r="B220" s="27">
        <v>3</v>
      </c>
      <c r="C220" s="28" t="s">
        <v>84</v>
      </c>
      <c r="D220" s="28" t="s">
        <v>53</v>
      </c>
      <c r="E220" s="27" t="s">
        <v>49</v>
      </c>
      <c r="F220" s="27">
        <v>7</v>
      </c>
      <c r="G220" s="31" t="str">
        <f>VLOOKUP(I220,'Names with Seat Code'!B:E,2)</f>
        <v>Katie</v>
      </c>
      <c r="H220" s="31" t="str">
        <f>VLOOKUP(I220,'Names with Seat Code'!B:E,4)</f>
        <v>Lewis</v>
      </c>
      <c r="I220" s="25">
        <f>DIRECTIONS!$E$23+B220</f>
        <v>134</v>
      </c>
    </row>
    <row r="221" spans="1:9" ht="19.5" thickTop="1" thickBot="1" x14ac:dyDescent="0.3">
      <c r="A221" s="28" t="s">
        <v>86</v>
      </c>
      <c r="B221" s="27">
        <v>4</v>
      </c>
      <c r="C221" s="28" t="s">
        <v>84</v>
      </c>
      <c r="D221" s="28" t="s">
        <v>53</v>
      </c>
      <c r="E221" s="27" t="s">
        <v>49</v>
      </c>
      <c r="F221" s="27">
        <v>5</v>
      </c>
      <c r="G221" s="31" t="str">
        <f>VLOOKUP(I221,'Names with Seat Code'!B:E,2)</f>
        <v>Isabelle</v>
      </c>
      <c r="H221" s="31" t="str">
        <f>VLOOKUP(I221,'Names with Seat Code'!B:E,4)</f>
        <v>Lightbody</v>
      </c>
      <c r="I221" s="25">
        <f>DIRECTIONS!$E$23+B221</f>
        <v>135</v>
      </c>
    </row>
    <row r="222" spans="1:9" ht="19.5" thickTop="1" thickBot="1" x14ac:dyDescent="0.3">
      <c r="A222" s="28" t="s">
        <v>86</v>
      </c>
      <c r="B222" s="27">
        <v>5</v>
      </c>
      <c r="C222" s="28" t="s">
        <v>84</v>
      </c>
      <c r="D222" s="28" t="s">
        <v>53</v>
      </c>
      <c r="E222" s="27" t="s">
        <v>49</v>
      </c>
      <c r="F222" s="27">
        <v>3</v>
      </c>
      <c r="G222" s="31" t="str">
        <f>VLOOKUP(I222,'Names with Seat Code'!B:E,2)</f>
        <v>Steven</v>
      </c>
      <c r="H222" s="31" t="str">
        <f>VLOOKUP(I222,'Names with Seat Code'!B:E,4)</f>
        <v>Lin</v>
      </c>
      <c r="I222" s="25">
        <f>DIRECTIONS!$E$23+B222</f>
        <v>136</v>
      </c>
    </row>
    <row r="223" spans="1:9" ht="19.5" thickTop="1" thickBot="1" x14ac:dyDescent="0.3">
      <c r="A223" s="28" t="s">
        <v>86</v>
      </c>
      <c r="B223" s="27">
        <v>6</v>
      </c>
      <c r="C223" s="28" t="s">
        <v>84</v>
      </c>
      <c r="D223" s="28" t="s">
        <v>53</v>
      </c>
      <c r="E223" s="27" t="s">
        <v>49</v>
      </c>
      <c r="F223" s="27">
        <v>1</v>
      </c>
      <c r="G223" s="31" t="str">
        <f>VLOOKUP(I223,'Names with Seat Code'!B:E,2)</f>
        <v>Zackary</v>
      </c>
      <c r="H223" s="31" t="str">
        <f>VLOOKUP(I223,'Names with Seat Code'!B:E,4)</f>
        <v>Lizotte</v>
      </c>
      <c r="I223" s="25">
        <f>DIRECTIONS!$E$23+B223</f>
        <v>137</v>
      </c>
    </row>
    <row r="224" spans="1:9" ht="19.5" thickTop="1" thickBot="1" x14ac:dyDescent="0.3">
      <c r="A224" s="28" t="s">
        <v>86</v>
      </c>
      <c r="B224" s="27">
        <v>7</v>
      </c>
      <c r="C224" s="28" t="s">
        <v>83</v>
      </c>
      <c r="D224" s="28" t="s">
        <v>85</v>
      </c>
      <c r="E224" s="27" t="s">
        <v>54</v>
      </c>
      <c r="F224" s="27">
        <v>108</v>
      </c>
      <c r="G224" s="31" t="str">
        <f>VLOOKUP(I224,'Names with Seat Code'!B:E,2)</f>
        <v>Isla</v>
      </c>
      <c r="H224" s="31" t="str">
        <f>VLOOKUP(I224,'Names with Seat Code'!B:E,4)</f>
        <v>Lusk</v>
      </c>
      <c r="I224" s="25">
        <f>DIRECTIONS!$E$23+B224</f>
        <v>138</v>
      </c>
    </row>
    <row r="225" spans="1:9" ht="19.5" thickTop="1" thickBot="1" x14ac:dyDescent="0.3">
      <c r="A225" s="28" t="s">
        <v>86</v>
      </c>
      <c r="B225" s="27">
        <v>8</v>
      </c>
      <c r="C225" s="28" t="s">
        <v>83</v>
      </c>
      <c r="D225" s="28" t="s">
        <v>85</v>
      </c>
      <c r="E225" s="27" t="s">
        <v>54</v>
      </c>
      <c r="F225" s="27">
        <v>109</v>
      </c>
      <c r="G225" s="31" t="str">
        <f>VLOOKUP(I225,'Names with Seat Code'!B:E,2)</f>
        <v>Lilyana</v>
      </c>
      <c r="H225" s="31" t="str">
        <f>VLOOKUP(I225,'Names with Seat Code'!B:E,4)</f>
        <v>Madden</v>
      </c>
      <c r="I225" s="25">
        <f>DIRECTIONS!$E$23+B225</f>
        <v>139</v>
      </c>
    </row>
    <row r="226" spans="1:9" ht="19.5" thickTop="1" thickBot="1" x14ac:dyDescent="0.3">
      <c r="A226" s="28" t="s">
        <v>86</v>
      </c>
      <c r="B226" s="27">
        <v>9</v>
      </c>
      <c r="C226" s="28" t="s">
        <v>83</v>
      </c>
      <c r="D226" s="28" t="s">
        <v>85</v>
      </c>
      <c r="E226" s="27" t="s">
        <v>54</v>
      </c>
      <c r="F226" s="27">
        <v>110</v>
      </c>
      <c r="G226" s="31" t="str">
        <f>VLOOKUP(I226,'Names with Seat Code'!B:E,2)</f>
        <v>Rosalia</v>
      </c>
      <c r="H226" s="31" t="str">
        <f>VLOOKUP(I226,'Names with Seat Code'!B:E,4)</f>
        <v>Maganzini</v>
      </c>
      <c r="I226" s="25">
        <f>DIRECTIONS!$E$23+B226</f>
        <v>140</v>
      </c>
    </row>
    <row r="227" spans="1:9" ht="19.5" thickTop="1" thickBot="1" x14ac:dyDescent="0.3">
      <c r="A227" s="28" t="s">
        <v>86</v>
      </c>
      <c r="B227" s="27">
        <v>10</v>
      </c>
      <c r="C227" s="28" t="s">
        <v>83</v>
      </c>
      <c r="D227" s="28" t="s">
        <v>85</v>
      </c>
      <c r="E227" s="27" t="s">
        <v>54</v>
      </c>
      <c r="F227" s="27">
        <v>111</v>
      </c>
      <c r="G227" s="31" t="str">
        <f>VLOOKUP(I227,'Names with Seat Code'!B:E,2)</f>
        <v>Trent</v>
      </c>
      <c r="H227" s="31" t="str">
        <f>VLOOKUP(I227,'Names with Seat Code'!B:E,4)</f>
        <v>Maganzini</v>
      </c>
      <c r="I227" s="25">
        <f>DIRECTIONS!$E$23+B227</f>
        <v>141</v>
      </c>
    </row>
    <row r="228" spans="1:9" ht="19.5" thickTop="1" thickBot="1" x14ac:dyDescent="0.3">
      <c r="A228" s="28" t="s">
        <v>86</v>
      </c>
      <c r="B228" s="27">
        <v>11</v>
      </c>
      <c r="C228" s="28" t="s">
        <v>83</v>
      </c>
      <c r="D228" s="28" t="s">
        <v>85</v>
      </c>
      <c r="E228" s="27" t="s">
        <v>54</v>
      </c>
      <c r="F228" s="27">
        <v>112</v>
      </c>
      <c r="G228" s="31" t="str">
        <f>VLOOKUP(I228,'Names with Seat Code'!B:E,2)</f>
        <v>Emma</v>
      </c>
      <c r="H228" s="31" t="str">
        <f>VLOOKUP(I228,'Names with Seat Code'!B:E,4)</f>
        <v>Mahoney</v>
      </c>
      <c r="I228" s="25">
        <f>DIRECTIONS!$E$23+B228</f>
        <v>142</v>
      </c>
    </row>
    <row r="229" spans="1:9" ht="19.5" thickTop="1" thickBot="1" x14ac:dyDescent="0.3">
      <c r="A229" s="28" t="s">
        <v>86</v>
      </c>
      <c r="B229" s="27">
        <v>12</v>
      </c>
      <c r="C229" s="28" t="s">
        <v>84</v>
      </c>
      <c r="D229" s="28" t="s">
        <v>53</v>
      </c>
      <c r="E229" s="27" t="s">
        <v>54</v>
      </c>
      <c r="F229" s="27">
        <v>11</v>
      </c>
      <c r="G229" s="31" t="str">
        <f>VLOOKUP(I229,'Names with Seat Code'!B:E,2)</f>
        <v>Charles</v>
      </c>
      <c r="H229" s="31" t="str">
        <f>VLOOKUP(I229,'Names with Seat Code'!B:E,4)</f>
        <v>Maness</v>
      </c>
      <c r="I229" s="25">
        <f>DIRECTIONS!$E$23+B229</f>
        <v>143</v>
      </c>
    </row>
    <row r="230" spans="1:9" ht="19.5" thickTop="1" thickBot="1" x14ac:dyDescent="0.3">
      <c r="A230" s="28" t="s">
        <v>86</v>
      </c>
      <c r="B230" s="27">
        <v>13</v>
      </c>
      <c r="C230" s="28" t="s">
        <v>84</v>
      </c>
      <c r="D230" s="28" t="s">
        <v>53</v>
      </c>
      <c r="E230" s="27" t="s">
        <v>54</v>
      </c>
      <c r="F230" s="27">
        <v>9</v>
      </c>
      <c r="G230" s="31" t="str">
        <f>VLOOKUP(I230,'Names with Seat Code'!B:E,2)</f>
        <v>Evan</v>
      </c>
      <c r="H230" s="31" t="str">
        <f>VLOOKUP(I230,'Names with Seat Code'!B:E,4)</f>
        <v>Manfredi</v>
      </c>
      <c r="I230" s="25">
        <f>DIRECTIONS!$E$23+B230</f>
        <v>144</v>
      </c>
    </row>
    <row r="231" spans="1:9" ht="19.5" thickTop="1" thickBot="1" x14ac:dyDescent="0.3">
      <c r="A231" s="28" t="s">
        <v>86</v>
      </c>
      <c r="B231" s="27">
        <v>14</v>
      </c>
      <c r="C231" s="28" t="s">
        <v>84</v>
      </c>
      <c r="D231" s="28" t="s">
        <v>53</v>
      </c>
      <c r="E231" s="27" t="s">
        <v>54</v>
      </c>
      <c r="F231" s="27">
        <v>7</v>
      </c>
      <c r="G231" s="31" t="str">
        <f>VLOOKUP(I231,'Names with Seat Code'!B:E,2)</f>
        <v>Syler</v>
      </c>
      <c r="H231" s="31" t="str">
        <f>VLOOKUP(I231,'Names with Seat Code'!B:E,4)</f>
        <v>Manning</v>
      </c>
      <c r="I231" s="25">
        <f>DIRECTIONS!$E$23+B231</f>
        <v>145</v>
      </c>
    </row>
    <row r="232" spans="1:9" ht="19.5" thickTop="1" thickBot="1" x14ac:dyDescent="0.3">
      <c r="A232" s="28" t="s">
        <v>86</v>
      </c>
      <c r="B232" s="27">
        <v>15</v>
      </c>
      <c r="C232" s="28" t="s">
        <v>84</v>
      </c>
      <c r="D232" s="28" t="s">
        <v>53</v>
      </c>
      <c r="E232" s="27" t="s">
        <v>54</v>
      </c>
      <c r="F232" s="27">
        <v>5</v>
      </c>
      <c r="G232" s="31" t="str">
        <f>VLOOKUP(I232,'Names with Seat Code'!B:E,2)</f>
        <v>Tyler</v>
      </c>
      <c r="H232" s="31" t="str">
        <f>VLOOKUP(I232,'Names with Seat Code'!B:E,4)</f>
        <v>Marchlik</v>
      </c>
      <c r="I232" s="25">
        <f>DIRECTIONS!$E$23+B232</f>
        <v>146</v>
      </c>
    </row>
    <row r="233" spans="1:9" ht="19.5" thickTop="1" thickBot="1" x14ac:dyDescent="0.3">
      <c r="A233" s="28" t="s">
        <v>86</v>
      </c>
      <c r="B233" s="27">
        <v>16</v>
      </c>
      <c r="C233" s="28" t="s">
        <v>84</v>
      </c>
      <c r="D233" s="28" t="s">
        <v>53</v>
      </c>
      <c r="E233" s="27" t="s">
        <v>54</v>
      </c>
      <c r="F233" s="27">
        <v>3</v>
      </c>
      <c r="G233" s="31" t="str">
        <f>VLOOKUP(I233,'Names with Seat Code'!B:E,2)</f>
        <v>Addyson</v>
      </c>
      <c r="H233" s="31" t="str">
        <f>VLOOKUP(I233,'Names with Seat Code'!B:E,4)</f>
        <v>Mathews</v>
      </c>
      <c r="I233" s="25">
        <f>DIRECTIONS!$E$23+B233</f>
        <v>147</v>
      </c>
    </row>
    <row r="234" spans="1:9" ht="19.5" thickTop="1" thickBot="1" x14ac:dyDescent="0.3">
      <c r="A234" s="28" t="s">
        <v>86</v>
      </c>
      <c r="B234" s="27">
        <v>17</v>
      </c>
      <c r="C234" s="28" t="s">
        <v>84</v>
      </c>
      <c r="D234" s="28" t="s">
        <v>53</v>
      </c>
      <c r="E234" s="27" t="s">
        <v>54</v>
      </c>
      <c r="F234" s="27">
        <v>1</v>
      </c>
      <c r="G234" s="31" t="str">
        <f>VLOOKUP(I234,'Names with Seat Code'!B:E,2)</f>
        <v>Charlie</v>
      </c>
      <c r="H234" s="31" t="str">
        <f>VLOOKUP(I234,'Names with Seat Code'!B:E,4)</f>
        <v>May</v>
      </c>
      <c r="I234" s="25">
        <f>DIRECTIONS!$E$23+B234</f>
        <v>148</v>
      </c>
    </row>
    <row r="235" spans="1:9" ht="19.5" thickTop="1" thickBot="1" x14ac:dyDescent="0.3">
      <c r="A235" s="28" t="s">
        <v>86</v>
      </c>
      <c r="B235" s="27">
        <v>18</v>
      </c>
      <c r="C235" s="28" t="s">
        <v>83</v>
      </c>
      <c r="D235" s="28" t="s">
        <v>85</v>
      </c>
      <c r="E235" s="27" t="s">
        <v>55</v>
      </c>
      <c r="F235" s="27">
        <v>106</v>
      </c>
      <c r="G235" s="31" t="str">
        <f>VLOOKUP(I235,'Names with Seat Code'!B:E,2)</f>
        <v>Caleb</v>
      </c>
      <c r="H235" s="31" t="str">
        <f>VLOOKUP(I235,'Names with Seat Code'!B:E,4)</f>
        <v>McGonagle</v>
      </c>
      <c r="I235" s="25">
        <f>DIRECTIONS!$E$23+B235</f>
        <v>149</v>
      </c>
    </row>
    <row r="236" spans="1:9" ht="19.5" thickTop="1" thickBot="1" x14ac:dyDescent="0.3">
      <c r="A236" s="28" t="s">
        <v>86</v>
      </c>
      <c r="B236" s="27">
        <v>19</v>
      </c>
      <c r="C236" s="28" t="s">
        <v>83</v>
      </c>
      <c r="D236" s="28" t="s">
        <v>85</v>
      </c>
      <c r="E236" s="27" t="s">
        <v>55</v>
      </c>
      <c r="F236" s="27">
        <v>107</v>
      </c>
      <c r="G236" s="31" t="str">
        <f>VLOOKUP(I236,'Names with Seat Code'!B:E,2)</f>
        <v>Makenna</v>
      </c>
      <c r="H236" s="31" t="str">
        <f>VLOOKUP(I236,'Names with Seat Code'!B:E,4)</f>
        <v>McGrath</v>
      </c>
      <c r="I236" s="25">
        <f>DIRECTIONS!$E$23+B236</f>
        <v>150</v>
      </c>
    </row>
    <row r="237" spans="1:9" ht="19.5" thickTop="1" thickBot="1" x14ac:dyDescent="0.3">
      <c r="A237" s="28" t="s">
        <v>86</v>
      </c>
      <c r="B237" s="27">
        <v>20</v>
      </c>
      <c r="C237" s="28" t="s">
        <v>83</v>
      </c>
      <c r="D237" s="28" t="s">
        <v>85</v>
      </c>
      <c r="E237" s="27" t="s">
        <v>55</v>
      </c>
      <c r="F237" s="27">
        <v>108</v>
      </c>
      <c r="G237" s="31" t="str">
        <f>VLOOKUP(I237,'Names with Seat Code'!B:E,2)</f>
        <v>Zoe</v>
      </c>
      <c r="H237" s="31" t="str">
        <f>VLOOKUP(I237,'Names with Seat Code'!B:E,4)</f>
        <v>McLaughlin-Shostak</v>
      </c>
      <c r="I237" s="25">
        <f>DIRECTIONS!$E$23+B237</f>
        <v>151</v>
      </c>
    </row>
    <row r="238" spans="1:9" ht="19.5" thickTop="1" thickBot="1" x14ac:dyDescent="0.3">
      <c r="A238" s="28" t="s">
        <v>86</v>
      </c>
      <c r="B238" s="27">
        <v>21</v>
      </c>
      <c r="C238" s="28" t="s">
        <v>83</v>
      </c>
      <c r="D238" s="28" t="s">
        <v>85</v>
      </c>
      <c r="E238" s="27" t="s">
        <v>55</v>
      </c>
      <c r="F238" s="27">
        <v>109</v>
      </c>
      <c r="G238" s="31" t="str">
        <f>VLOOKUP(I238,'Names with Seat Code'!B:E,2)</f>
        <v>Ella</v>
      </c>
      <c r="H238" s="31" t="str">
        <f>VLOOKUP(I238,'Names with Seat Code'!B:E,4)</f>
        <v>McMenimen</v>
      </c>
      <c r="I238" s="25">
        <f>DIRECTIONS!$E$23+B238</f>
        <v>152</v>
      </c>
    </row>
    <row r="239" spans="1:9" ht="19.5" thickTop="1" thickBot="1" x14ac:dyDescent="0.3">
      <c r="A239" s="28" t="s">
        <v>86</v>
      </c>
      <c r="B239" s="27">
        <v>22</v>
      </c>
      <c r="C239" s="28" t="s">
        <v>83</v>
      </c>
      <c r="D239" s="28" t="s">
        <v>85</v>
      </c>
      <c r="E239" s="27" t="s">
        <v>55</v>
      </c>
      <c r="F239" s="27">
        <v>110</v>
      </c>
      <c r="G239" s="31" t="str">
        <f>VLOOKUP(I239,'Names with Seat Code'!B:E,2)</f>
        <v>Jack</v>
      </c>
      <c r="H239" s="31" t="str">
        <f>VLOOKUP(I239,'Names with Seat Code'!B:E,4)</f>
        <v>Melly</v>
      </c>
      <c r="I239" s="25">
        <f>DIRECTIONS!$E$23+B239</f>
        <v>153</v>
      </c>
    </row>
    <row r="240" spans="1:9" ht="19.5" thickTop="1" thickBot="1" x14ac:dyDescent="0.3">
      <c r="A240" s="28" t="s">
        <v>86</v>
      </c>
      <c r="B240" s="27">
        <v>23</v>
      </c>
      <c r="C240" s="28" t="s">
        <v>83</v>
      </c>
      <c r="D240" s="28" t="s">
        <v>85</v>
      </c>
      <c r="E240" s="27" t="s">
        <v>55</v>
      </c>
      <c r="F240" s="27">
        <v>111</v>
      </c>
      <c r="G240" s="31" t="str">
        <f>VLOOKUP(I240,'Names with Seat Code'!B:E,2)</f>
        <v>Alex</v>
      </c>
      <c r="H240" s="31" t="str">
        <f>VLOOKUP(I240,'Names with Seat Code'!B:E,4)</f>
        <v>Merkle</v>
      </c>
      <c r="I240" s="25">
        <f>DIRECTIONS!$E$23+B240</f>
        <v>154</v>
      </c>
    </row>
    <row r="241" spans="1:9" ht="19.5" thickTop="1" thickBot="1" x14ac:dyDescent="0.3">
      <c r="A241" s="28" t="s">
        <v>86</v>
      </c>
      <c r="B241" s="27">
        <v>24</v>
      </c>
      <c r="C241" s="28" t="s">
        <v>83</v>
      </c>
      <c r="D241" s="28" t="s">
        <v>85</v>
      </c>
      <c r="E241" s="27" t="s">
        <v>55</v>
      </c>
      <c r="F241" s="27">
        <v>112</v>
      </c>
      <c r="G241" s="31" t="str">
        <f>VLOOKUP(I241,'Names with Seat Code'!B:E,2)</f>
        <v>Will</v>
      </c>
      <c r="H241" s="31" t="str">
        <f>VLOOKUP(I241,'Names with Seat Code'!B:E,4)</f>
        <v>Merkle</v>
      </c>
      <c r="I241" s="25">
        <f>DIRECTIONS!$E$23+B241</f>
        <v>155</v>
      </c>
    </row>
    <row r="242" spans="1:9" ht="19.5" thickTop="1" thickBot="1" x14ac:dyDescent="0.3">
      <c r="A242" s="28" t="s">
        <v>86</v>
      </c>
      <c r="B242" s="27">
        <v>25</v>
      </c>
      <c r="C242" s="28" t="s">
        <v>83</v>
      </c>
      <c r="D242" s="28" t="s">
        <v>85</v>
      </c>
      <c r="E242" s="27" t="s">
        <v>55</v>
      </c>
      <c r="F242" s="27">
        <v>113</v>
      </c>
      <c r="G242" s="31" t="str">
        <f>VLOOKUP(I242,'Names with Seat Code'!B:E,2)</f>
        <v>Gianna</v>
      </c>
      <c r="H242" s="31" t="str">
        <f>VLOOKUP(I242,'Names with Seat Code'!B:E,4)</f>
        <v>Miceli</v>
      </c>
      <c r="I242" s="25">
        <f>DIRECTIONS!$E$23+B242</f>
        <v>156</v>
      </c>
    </row>
    <row r="243" spans="1:9" ht="19.5" thickTop="1" thickBot="1" x14ac:dyDescent="0.3">
      <c r="A243" s="28" t="s">
        <v>86</v>
      </c>
      <c r="B243" s="27">
        <v>26</v>
      </c>
      <c r="C243" s="28" t="s">
        <v>83</v>
      </c>
      <c r="D243" s="28" t="s">
        <v>85</v>
      </c>
      <c r="E243" s="27" t="s">
        <v>55</v>
      </c>
      <c r="F243" s="27">
        <v>114</v>
      </c>
      <c r="G243" s="31" t="str">
        <f>VLOOKUP(I243,'Names with Seat Code'!B:E,2)</f>
        <v>Karmani</v>
      </c>
      <c r="H243" s="31" t="str">
        <f>VLOOKUP(I243,'Names with Seat Code'!B:E,4)</f>
        <v>Mirville</v>
      </c>
      <c r="I243" s="25">
        <f>DIRECTIONS!$E$23+B243</f>
        <v>157</v>
      </c>
    </row>
    <row r="244" spans="1:9" ht="19.5" thickTop="1" thickBot="1" x14ac:dyDescent="0.3">
      <c r="A244" s="28" t="s">
        <v>86</v>
      </c>
      <c r="B244" s="27">
        <v>27</v>
      </c>
      <c r="C244" s="28" t="s">
        <v>84</v>
      </c>
      <c r="D244" s="28" t="s">
        <v>53</v>
      </c>
      <c r="E244" s="27" t="s">
        <v>55</v>
      </c>
      <c r="F244" s="27">
        <v>13</v>
      </c>
      <c r="G244" s="31" t="str">
        <f>VLOOKUP(I244,'Names with Seat Code'!B:E,2)</f>
        <v>Mason</v>
      </c>
      <c r="H244" s="31" t="str">
        <f>VLOOKUP(I244,'Names with Seat Code'!B:E,4)</f>
        <v>Moll</v>
      </c>
      <c r="I244" s="25">
        <f>DIRECTIONS!$E$23+B244</f>
        <v>158</v>
      </c>
    </row>
    <row r="245" spans="1:9" ht="19.5" thickTop="1" thickBot="1" x14ac:dyDescent="0.3">
      <c r="A245" s="28" t="s">
        <v>86</v>
      </c>
      <c r="B245" s="27">
        <v>28</v>
      </c>
      <c r="C245" s="28" t="s">
        <v>84</v>
      </c>
      <c r="D245" s="28" t="s">
        <v>53</v>
      </c>
      <c r="E245" s="27" t="s">
        <v>55</v>
      </c>
      <c r="F245" s="27">
        <v>11</v>
      </c>
      <c r="G245" s="31" t="str">
        <f>VLOOKUP(I245,'Names with Seat Code'!B:E,2)</f>
        <v>Marcus</v>
      </c>
      <c r="H245" s="31" t="str">
        <f>VLOOKUP(I245,'Names with Seat Code'!B:E,4)</f>
        <v>Moller</v>
      </c>
      <c r="I245" s="25">
        <f>DIRECTIONS!$E$23+B245</f>
        <v>159</v>
      </c>
    </row>
    <row r="246" spans="1:9" ht="19.5" thickTop="1" thickBot="1" x14ac:dyDescent="0.3">
      <c r="A246" s="28" t="s">
        <v>86</v>
      </c>
      <c r="B246" s="27">
        <v>29</v>
      </c>
      <c r="C246" s="28" t="s">
        <v>84</v>
      </c>
      <c r="D246" s="28" t="s">
        <v>53</v>
      </c>
      <c r="E246" s="27" t="s">
        <v>55</v>
      </c>
      <c r="F246" s="27">
        <v>9</v>
      </c>
      <c r="G246" s="31" t="str">
        <f>VLOOKUP(I246,'Names with Seat Code'!B:E,2)</f>
        <v>Evangeline</v>
      </c>
      <c r="H246" s="31" t="str">
        <f>VLOOKUP(I246,'Names with Seat Code'!B:E,4)</f>
        <v>Moreira</v>
      </c>
      <c r="I246" s="25">
        <f>DIRECTIONS!$E$23+B246</f>
        <v>160</v>
      </c>
    </row>
    <row r="247" spans="1:9" ht="19.5" thickTop="1" thickBot="1" x14ac:dyDescent="0.3">
      <c r="A247" s="28" t="s">
        <v>86</v>
      </c>
      <c r="B247" s="27">
        <v>30</v>
      </c>
      <c r="C247" s="28" t="s">
        <v>84</v>
      </c>
      <c r="D247" s="28" t="s">
        <v>53</v>
      </c>
      <c r="E247" s="27" t="s">
        <v>55</v>
      </c>
      <c r="F247" s="27">
        <v>7</v>
      </c>
      <c r="G247" s="31" t="str">
        <f>VLOOKUP(I247,'Names with Seat Code'!B:E,2)</f>
        <v>Bobby</v>
      </c>
      <c r="H247" s="31" t="str">
        <f>VLOOKUP(I247,'Names with Seat Code'!B:E,4)</f>
        <v>Morris</v>
      </c>
      <c r="I247" s="25">
        <f>DIRECTIONS!$E$23+B247</f>
        <v>161</v>
      </c>
    </row>
    <row r="248" spans="1:9" ht="19.5" thickTop="1" thickBot="1" x14ac:dyDescent="0.3">
      <c r="A248" s="28" t="s">
        <v>86</v>
      </c>
      <c r="B248" s="27">
        <v>31</v>
      </c>
      <c r="C248" s="28" t="s">
        <v>84</v>
      </c>
      <c r="D248" s="28" t="s">
        <v>53</v>
      </c>
      <c r="E248" s="27" t="s">
        <v>55</v>
      </c>
      <c r="F248" s="27">
        <v>5</v>
      </c>
      <c r="G248" s="31" t="str">
        <f>VLOOKUP(I248,'Names with Seat Code'!B:E,2)</f>
        <v>Kaiden</v>
      </c>
      <c r="H248" s="31" t="str">
        <f>VLOOKUP(I248,'Names with Seat Code'!B:E,4)</f>
        <v>Morrison</v>
      </c>
      <c r="I248" s="25">
        <f>DIRECTIONS!$E$23+B248</f>
        <v>162</v>
      </c>
    </row>
    <row r="249" spans="1:9" ht="19.5" thickTop="1" thickBot="1" x14ac:dyDescent="0.3">
      <c r="A249" s="28" t="s">
        <v>86</v>
      </c>
      <c r="B249" s="27">
        <v>32</v>
      </c>
      <c r="C249" s="28" t="s">
        <v>84</v>
      </c>
      <c r="D249" s="28" t="s">
        <v>53</v>
      </c>
      <c r="E249" s="27" t="s">
        <v>55</v>
      </c>
      <c r="F249" s="27">
        <v>3</v>
      </c>
      <c r="G249" s="31" t="str">
        <f>VLOOKUP(I249,'Names with Seat Code'!B:E,2)</f>
        <v>Abdul</v>
      </c>
      <c r="H249" s="31" t="str">
        <f>VLOOKUP(I249,'Names with Seat Code'!B:E,4)</f>
        <v>Mughal</v>
      </c>
      <c r="I249" s="25">
        <f>DIRECTIONS!$E$23+B249</f>
        <v>163</v>
      </c>
    </row>
    <row r="250" spans="1:9" ht="19.5" thickTop="1" thickBot="1" x14ac:dyDescent="0.3">
      <c r="A250" s="28" t="s">
        <v>86</v>
      </c>
      <c r="B250" s="27">
        <v>33</v>
      </c>
      <c r="C250" s="28" t="s">
        <v>84</v>
      </c>
      <c r="D250" s="28" t="s">
        <v>53</v>
      </c>
      <c r="E250" s="27" t="s">
        <v>55</v>
      </c>
      <c r="F250" s="27">
        <v>1</v>
      </c>
      <c r="G250" s="31" t="str">
        <f>VLOOKUP(I250,'Names with Seat Code'!B:E,2)</f>
        <v>William</v>
      </c>
      <c r="H250" s="31" t="str">
        <f>VLOOKUP(I250,'Names with Seat Code'!B:E,4)</f>
        <v>Muller</v>
      </c>
      <c r="I250" s="25">
        <f>DIRECTIONS!$E$23+B250</f>
        <v>164</v>
      </c>
    </row>
    <row r="251" spans="1:9" ht="19.5" thickTop="1" thickBot="1" x14ac:dyDescent="0.3">
      <c r="A251" s="28" t="s">
        <v>86</v>
      </c>
      <c r="B251" s="27">
        <v>34</v>
      </c>
      <c r="C251" s="28" t="s">
        <v>83</v>
      </c>
      <c r="D251" s="28" t="s">
        <v>85</v>
      </c>
      <c r="E251" s="27" t="s">
        <v>57</v>
      </c>
      <c r="F251" s="27">
        <v>107</v>
      </c>
      <c r="G251" s="31" t="str">
        <f>VLOOKUP(I251,'Names with Seat Code'!B:E,2)</f>
        <v>Jack</v>
      </c>
      <c r="H251" s="31" t="str">
        <f>VLOOKUP(I251,'Names with Seat Code'!B:E,4)</f>
        <v>Murphy</v>
      </c>
      <c r="I251" s="25">
        <f>DIRECTIONS!$E$23+B251</f>
        <v>165</v>
      </c>
    </row>
    <row r="252" spans="1:9" ht="19.5" thickTop="1" thickBot="1" x14ac:dyDescent="0.3">
      <c r="A252" s="28" t="s">
        <v>86</v>
      </c>
      <c r="B252" s="27">
        <v>35</v>
      </c>
      <c r="C252" s="28" t="s">
        <v>83</v>
      </c>
      <c r="D252" s="28" t="s">
        <v>85</v>
      </c>
      <c r="E252" s="27" t="s">
        <v>57</v>
      </c>
      <c r="F252" s="27">
        <v>108</v>
      </c>
      <c r="G252" s="31" t="str">
        <f>VLOOKUP(I252,'Names with Seat Code'!B:E,2)</f>
        <v>Abigail</v>
      </c>
      <c r="H252" s="31" t="str">
        <f>VLOOKUP(I252,'Names with Seat Code'!B:E,4)</f>
        <v>Nelson</v>
      </c>
      <c r="I252" s="25">
        <f>DIRECTIONS!$E$23+B252</f>
        <v>166</v>
      </c>
    </row>
    <row r="253" spans="1:9" ht="19.5" thickTop="1" thickBot="1" x14ac:dyDescent="0.3">
      <c r="A253" s="28" t="s">
        <v>86</v>
      </c>
      <c r="B253" s="27">
        <v>36</v>
      </c>
      <c r="C253" s="28" t="s">
        <v>83</v>
      </c>
      <c r="D253" s="28" t="s">
        <v>85</v>
      </c>
      <c r="E253" s="27" t="s">
        <v>57</v>
      </c>
      <c r="F253" s="27">
        <v>109</v>
      </c>
      <c r="G253" s="31" t="str">
        <f>VLOOKUP(I253,'Names with Seat Code'!B:E,2)</f>
        <v>Patience</v>
      </c>
      <c r="H253" s="31" t="str">
        <f>VLOOKUP(I253,'Names with Seat Code'!B:E,4)</f>
        <v>Nguyen</v>
      </c>
      <c r="I253" s="25">
        <f>DIRECTIONS!$E$23+B253</f>
        <v>167</v>
      </c>
    </row>
    <row r="254" spans="1:9" ht="19.5" thickTop="1" thickBot="1" x14ac:dyDescent="0.3">
      <c r="A254" s="28" t="s">
        <v>86</v>
      </c>
      <c r="B254" s="27">
        <v>37</v>
      </c>
      <c r="C254" s="28" t="s">
        <v>83</v>
      </c>
      <c r="D254" s="28" t="s">
        <v>85</v>
      </c>
      <c r="E254" s="27" t="s">
        <v>57</v>
      </c>
      <c r="F254" s="27">
        <v>110</v>
      </c>
      <c r="G254" s="31" t="str">
        <f>VLOOKUP(I254,'Names with Seat Code'!B:E,2)</f>
        <v>Charlotte</v>
      </c>
      <c r="H254" s="31" t="str">
        <f>VLOOKUP(I254,'Names with Seat Code'!B:E,4)</f>
        <v>Nolty</v>
      </c>
      <c r="I254" s="25">
        <f>DIRECTIONS!$E$23+B254</f>
        <v>168</v>
      </c>
    </row>
    <row r="255" spans="1:9" ht="19.5" thickTop="1" thickBot="1" x14ac:dyDescent="0.3">
      <c r="A255" s="28" t="s">
        <v>86</v>
      </c>
      <c r="B255" s="27">
        <v>38</v>
      </c>
      <c r="C255" s="28" t="s">
        <v>83</v>
      </c>
      <c r="D255" s="28" t="s">
        <v>85</v>
      </c>
      <c r="E255" s="27" t="s">
        <v>57</v>
      </c>
      <c r="F255" s="27">
        <v>111</v>
      </c>
      <c r="G255" s="31" t="str">
        <f>VLOOKUP(I255,'Names with Seat Code'!B:E,2)</f>
        <v>Mackenzie</v>
      </c>
      <c r="H255" s="31" t="str">
        <f>VLOOKUP(I255,'Names with Seat Code'!B:E,4)</f>
        <v>Norris</v>
      </c>
      <c r="I255" s="25">
        <f>DIRECTIONS!$E$23+B255</f>
        <v>169</v>
      </c>
    </row>
    <row r="256" spans="1:9" ht="19.5" thickTop="1" thickBot="1" x14ac:dyDescent="0.3">
      <c r="A256" s="28" t="s">
        <v>86</v>
      </c>
      <c r="B256" s="27">
        <v>39</v>
      </c>
      <c r="C256" s="28" t="s">
        <v>83</v>
      </c>
      <c r="D256" s="28" t="s">
        <v>85</v>
      </c>
      <c r="E256" s="27" t="s">
        <v>57</v>
      </c>
      <c r="F256" s="27">
        <v>112</v>
      </c>
      <c r="G256" s="31" t="str">
        <f>VLOOKUP(I256,'Names with Seat Code'!B:E,2)</f>
        <v>Michelle</v>
      </c>
      <c r="H256" s="31" t="str">
        <f>VLOOKUP(I256,'Names with Seat Code'!B:E,4)</f>
        <v>Ohlson</v>
      </c>
      <c r="I256" s="25">
        <f>DIRECTIONS!$E$23+B256</f>
        <v>170</v>
      </c>
    </row>
    <row r="257" spans="1:9" ht="19.5" thickTop="1" thickBot="1" x14ac:dyDescent="0.3">
      <c r="A257" s="28" t="s">
        <v>86</v>
      </c>
      <c r="B257" s="27">
        <v>40</v>
      </c>
      <c r="C257" s="28" t="s">
        <v>83</v>
      </c>
      <c r="D257" s="28" t="s">
        <v>85</v>
      </c>
      <c r="E257" s="27" t="s">
        <v>57</v>
      </c>
      <c r="F257" s="27">
        <v>113</v>
      </c>
      <c r="G257" s="31" t="str">
        <f>VLOOKUP(I257,'Names with Seat Code'!B:E,2)</f>
        <v>Natalie</v>
      </c>
      <c r="H257" s="31" t="str">
        <f>VLOOKUP(I257,'Names with Seat Code'!B:E,4)</f>
        <v>Ortins</v>
      </c>
      <c r="I257" s="25">
        <f>DIRECTIONS!$E$23+B257</f>
        <v>171</v>
      </c>
    </row>
    <row r="258" spans="1:9" ht="19.5" thickTop="1" thickBot="1" x14ac:dyDescent="0.3">
      <c r="A258" s="28" t="s">
        <v>86</v>
      </c>
      <c r="B258" s="27">
        <v>41</v>
      </c>
      <c r="C258" s="28" t="s">
        <v>83</v>
      </c>
      <c r="D258" s="28" t="s">
        <v>85</v>
      </c>
      <c r="E258" s="27" t="s">
        <v>57</v>
      </c>
      <c r="F258" s="27">
        <v>114</v>
      </c>
      <c r="G258" s="31" t="str">
        <f>VLOOKUP(I258,'Names with Seat Code'!B:E,2)</f>
        <v>Franklin</v>
      </c>
      <c r="H258" s="31" t="str">
        <f>VLOOKUP(I258,'Names with Seat Code'!B:E,4)</f>
        <v>Ortiz</v>
      </c>
      <c r="I258" s="25">
        <f>DIRECTIONS!$E$23+B258</f>
        <v>172</v>
      </c>
    </row>
    <row r="259" spans="1:9" ht="19.5" thickTop="1" thickBot="1" x14ac:dyDescent="0.3">
      <c r="A259" s="28" t="s">
        <v>86</v>
      </c>
      <c r="B259" s="27">
        <v>42</v>
      </c>
      <c r="C259" s="28" t="s">
        <v>84</v>
      </c>
      <c r="D259" s="28" t="s">
        <v>53</v>
      </c>
      <c r="E259" s="27" t="s">
        <v>57</v>
      </c>
      <c r="F259" s="27">
        <v>13</v>
      </c>
      <c r="G259" s="31" t="str">
        <f>VLOOKUP(I259,'Names with Seat Code'!B:E,2)</f>
        <v>Isabelle</v>
      </c>
      <c r="H259" s="31" t="str">
        <f>VLOOKUP(I259,'Names with Seat Code'!B:E,4)</f>
        <v>Parent</v>
      </c>
      <c r="I259" s="25">
        <f>DIRECTIONS!$E$23+B259</f>
        <v>173</v>
      </c>
    </row>
    <row r="260" spans="1:9" ht="19.5" thickTop="1" thickBot="1" x14ac:dyDescent="0.3">
      <c r="A260" s="28" t="s">
        <v>86</v>
      </c>
      <c r="B260" s="27">
        <v>43</v>
      </c>
      <c r="C260" s="28" t="s">
        <v>84</v>
      </c>
      <c r="D260" s="28" t="s">
        <v>53</v>
      </c>
      <c r="E260" s="27" t="s">
        <v>57</v>
      </c>
      <c r="F260" s="27">
        <v>11</v>
      </c>
      <c r="G260" s="31" t="str">
        <f>VLOOKUP(I260,'Names with Seat Code'!B:E,2)</f>
        <v>Saloni</v>
      </c>
      <c r="H260" s="31" t="str">
        <f>VLOOKUP(I260,'Names with Seat Code'!B:E,4)</f>
        <v>Patel</v>
      </c>
      <c r="I260" s="25">
        <f>DIRECTIONS!$E$23+B260</f>
        <v>174</v>
      </c>
    </row>
    <row r="261" spans="1:9" ht="19.5" thickTop="1" thickBot="1" x14ac:dyDescent="0.3">
      <c r="A261" s="28" t="s">
        <v>86</v>
      </c>
      <c r="B261" s="27">
        <v>44</v>
      </c>
      <c r="C261" s="28" t="s">
        <v>84</v>
      </c>
      <c r="D261" s="28" t="s">
        <v>53</v>
      </c>
      <c r="E261" s="27" t="s">
        <v>57</v>
      </c>
      <c r="F261" s="27">
        <v>9</v>
      </c>
      <c r="G261" s="31" t="str">
        <f>VLOOKUP(I261,'Names with Seat Code'!B:E,2)</f>
        <v>Lerika</v>
      </c>
      <c r="H261" s="31" t="str">
        <f>VLOOKUP(I261,'Names with Seat Code'!B:E,4)</f>
        <v>Peat</v>
      </c>
      <c r="I261" s="25">
        <f>DIRECTIONS!$E$23+B261</f>
        <v>175</v>
      </c>
    </row>
    <row r="262" spans="1:9" ht="19.5" thickTop="1" thickBot="1" x14ac:dyDescent="0.3">
      <c r="A262" s="28" t="s">
        <v>86</v>
      </c>
      <c r="B262" s="27">
        <v>45</v>
      </c>
      <c r="C262" s="28" t="s">
        <v>84</v>
      </c>
      <c r="D262" s="28" t="s">
        <v>53</v>
      </c>
      <c r="E262" s="27" t="s">
        <v>57</v>
      </c>
      <c r="F262" s="27">
        <v>7</v>
      </c>
      <c r="G262" s="31" t="str">
        <f>VLOOKUP(I262,'Names with Seat Code'!B:E,2)</f>
        <v>Jacob</v>
      </c>
      <c r="H262" s="31" t="str">
        <f>VLOOKUP(I262,'Names with Seat Code'!B:E,4)</f>
        <v>Petrin</v>
      </c>
      <c r="I262" s="25">
        <f>DIRECTIONS!$E$23+B262</f>
        <v>176</v>
      </c>
    </row>
    <row r="263" spans="1:9" ht="19.5" thickTop="1" thickBot="1" x14ac:dyDescent="0.3">
      <c r="A263" s="28" t="s">
        <v>86</v>
      </c>
      <c r="B263" s="27">
        <v>46</v>
      </c>
      <c r="C263" s="28" t="s">
        <v>84</v>
      </c>
      <c r="D263" s="28" t="s">
        <v>53</v>
      </c>
      <c r="E263" s="27" t="s">
        <v>57</v>
      </c>
      <c r="F263" s="27">
        <v>5</v>
      </c>
      <c r="G263" s="31" t="str">
        <f>VLOOKUP(I263,'Names with Seat Code'!B:E,2)</f>
        <v>Wyatt</v>
      </c>
      <c r="H263" s="31" t="str">
        <f>VLOOKUP(I263,'Names with Seat Code'!B:E,4)</f>
        <v>Picard</v>
      </c>
      <c r="I263" s="25">
        <f>DIRECTIONS!$E$23+B263</f>
        <v>177</v>
      </c>
    </row>
    <row r="264" spans="1:9" ht="19.5" thickTop="1" thickBot="1" x14ac:dyDescent="0.3">
      <c r="A264" s="28" t="s">
        <v>86</v>
      </c>
      <c r="B264" s="27">
        <v>47</v>
      </c>
      <c r="C264" s="28" t="s">
        <v>84</v>
      </c>
      <c r="D264" s="28" t="s">
        <v>53</v>
      </c>
      <c r="E264" s="27" t="s">
        <v>57</v>
      </c>
      <c r="F264" s="27">
        <v>3</v>
      </c>
      <c r="G264" s="31" t="str">
        <f>VLOOKUP(I264,'Names with Seat Code'!B:E,2)</f>
        <v>Samantha</v>
      </c>
      <c r="H264" s="31" t="str">
        <f>VLOOKUP(I264,'Names with Seat Code'!B:E,4)</f>
        <v>Pomerantz</v>
      </c>
      <c r="I264" s="25">
        <f>DIRECTIONS!$E$23+B264</f>
        <v>178</v>
      </c>
    </row>
    <row r="265" spans="1:9" ht="19.5" thickTop="1" thickBot="1" x14ac:dyDescent="0.3">
      <c r="A265" s="28" t="s">
        <v>86</v>
      </c>
      <c r="B265" s="27">
        <v>48</v>
      </c>
      <c r="C265" s="28" t="s">
        <v>84</v>
      </c>
      <c r="D265" s="28" t="s">
        <v>53</v>
      </c>
      <c r="E265" s="27" t="s">
        <v>57</v>
      </c>
      <c r="F265" s="27">
        <v>1</v>
      </c>
      <c r="G265" s="31" t="str">
        <f>VLOOKUP(I265,'Names with Seat Code'!B:E,2)</f>
        <v>Shivani</v>
      </c>
      <c r="H265" s="31" t="str">
        <f>VLOOKUP(I265,'Names with Seat Code'!B:E,4)</f>
        <v>Poudyal</v>
      </c>
      <c r="I265" s="25">
        <f>DIRECTIONS!$E$23+B265</f>
        <v>179</v>
      </c>
    </row>
    <row r="266" spans="1:9" ht="19.5" thickTop="1" thickBot="1" x14ac:dyDescent="0.3">
      <c r="A266" s="28" t="s">
        <v>86</v>
      </c>
      <c r="B266" s="27">
        <v>49</v>
      </c>
      <c r="C266" s="28" t="s">
        <v>83</v>
      </c>
      <c r="D266" s="28" t="s">
        <v>85</v>
      </c>
      <c r="E266" s="27" t="s">
        <v>58</v>
      </c>
      <c r="F266" s="27">
        <v>107</v>
      </c>
      <c r="G266" s="31" t="str">
        <f>VLOOKUP(I266,'Names with Seat Code'!B:E,2)</f>
        <v>Ryan</v>
      </c>
      <c r="H266" s="31" t="str">
        <f>VLOOKUP(I266,'Names with Seat Code'!B:E,4)</f>
        <v>Pulpi</v>
      </c>
      <c r="I266" s="25">
        <f>DIRECTIONS!$E$23+B266</f>
        <v>180</v>
      </c>
    </row>
    <row r="267" spans="1:9" ht="19.5" thickTop="1" thickBot="1" x14ac:dyDescent="0.3">
      <c r="A267" s="28" t="s">
        <v>86</v>
      </c>
      <c r="B267" s="27">
        <v>50</v>
      </c>
      <c r="C267" s="28" t="s">
        <v>83</v>
      </c>
      <c r="D267" s="28" t="s">
        <v>85</v>
      </c>
      <c r="E267" s="27" t="s">
        <v>58</v>
      </c>
      <c r="F267" s="27">
        <v>108</v>
      </c>
      <c r="G267" s="31" t="str">
        <f>VLOOKUP(I267,'Names with Seat Code'!B:E,2)</f>
        <v>Jessica</v>
      </c>
      <c r="H267" s="31" t="str">
        <f>VLOOKUP(I267,'Names with Seat Code'!B:E,4)</f>
        <v>Rai</v>
      </c>
      <c r="I267" s="25">
        <f>DIRECTIONS!$E$23+B267</f>
        <v>181</v>
      </c>
    </row>
    <row r="268" spans="1:9" ht="19.5" thickTop="1" thickBot="1" x14ac:dyDescent="0.3">
      <c r="A268" s="28" t="s">
        <v>86</v>
      </c>
      <c r="B268" s="27">
        <v>51</v>
      </c>
      <c r="C268" s="28" t="s">
        <v>83</v>
      </c>
      <c r="D268" s="28" t="s">
        <v>85</v>
      </c>
      <c r="E268" s="27" t="s">
        <v>58</v>
      </c>
      <c r="F268" s="27">
        <v>109</v>
      </c>
      <c r="G268" s="31" t="str">
        <f>VLOOKUP(I268,'Names with Seat Code'!B:E,2)</f>
        <v>Ted</v>
      </c>
      <c r="H268" s="31" t="str">
        <f>VLOOKUP(I268,'Names with Seat Code'!B:E,4)</f>
        <v>Ravens</v>
      </c>
      <c r="I268" s="25">
        <f>DIRECTIONS!$E$23+B268</f>
        <v>182</v>
      </c>
    </row>
    <row r="269" spans="1:9" ht="19.5" thickTop="1" thickBot="1" x14ac:dyDescent="0.3">
      <c r="A269" s="28" t="s">
        <v>86</v>
      </c>
      <c r="B269" s="27">
        <v>52</v>
      </c>
      <c r="C269" s="28" t="s">
        <v>83</v>
      </c>
      <c r="D269" s="28" t="s">
        <v>85</v>
      </c>
      <c r="E269" s="27" t="s">
        <v>58</v>
      </c>
      <c r="F269" s="27">
        <v>110</v>
      </c>
      <c r="G269" s="31" t="str">
        <f>VLOOKUP(I269,'Names with Seat Code'!B:E,2)</f>
        <v>Lucas</v>
      </c>
      <c r="H269" s="31" t="str">
        <f>VLOOKUP(I269,'Names with Seat Code'!B:E,4)</f>
        <v>Reis</v>
      </c>
      <c r="I269" s="25">
        <f>DIRECTIONS!$E$23+B269</f>
        <v>183</v>
      </c>
    </row>
    <row r="270" spans="1:9" ht="19.5" thickTop="1" thickBot="1" x14ac:dyDescent="0.3">
      <c r="A270" s="28" t="s">
        <v>86</v>
      </c>
      <c r="B270" s="27">
        <v>53</v>
      </c>
      <c r="C270" s="28" t="s">
        <v>83</v>
      </c>
      <c r="D270" s="28" t="s">
        <v>85</v>
      </c>
      <c r="E270" s="27" t="s">
        <v>58</v>
      </c>
      <c r="F270" s="27">
        <v>111</v>
      </c>
      <c r="G270" s="31" t="str">
        <f>VLOOKUP(I270,'Names with Seat Code'!B:E,2)</f>
        <v>Olivia</v>
      </c>
      <c r="H270" s="31" t="str">
        <f>VLOOKUP(I270,'Names with Seat Code'!B:E,4)</f>
        <v>Renda</v>
      </c>
      <c r="I270" s="25">
        <f>DIRECTIONS!$E$23+B270</f>
        <v>184</v>
      </c>
    </row>
    <row r="271" spans="1:9" ht="19.5" thickTop="1" thickBot="1" x14ac:dyDescent="0.3">
      <c r="A271" s="28" t="s">
        <v>86</v>
      </c>
      <c r="B271" s="27">
        <v>54</v>
      </c>
      <c r="C271" s="28" t="s">
        <v>83</v>
      </c>
      <c r="D271" s="28" t="s">
        <v>85</v>
      </c>
      <c r="E271" s="27" t="s">
        <v>58</v>
      </c>
      <c r="F271" s="27">
        <v>112</v>
      </c>
      <c r="G271" s="31" t="str">
        <f>VLOOKUP(I271,'Names with Seat Code'!B:E,2)</f>
        <v>Jessica</v>
      </c>
      <c r="H271" s="31" t="str">
        <f>VLOOKUP(I271,'Names with Seat Code'!B:E,4)</f>
        <v>Richter</v>
      </c>
      <c r="I271" s="25">
        <f>DIRECTIONS!$E$23+B271</f>
        <v>185</v>
      </c>
    </row>
    <row r="272" spans="1:9" ht="19.5" thickTop="1" thickBot="1" x14ac:dyDescent="0.3">
      <c r="A272" s="28" t="s">
        <v>86</v>
      </c>
      <c r="B272" s="27">
        <v>55</v>
      </c>
      <c r="C272" s="28" t="s">
        <v>83</v>
      </c>
      <c r="D272" s="28" t="s">
        <v>85</v>
      </c>
      <c r="E272" s="27" t="s">
        <v>58</v>
      </c>
      <c r="F272" s="27">
        <v>113</v>
      </c>
      <c r="G272" s="31" t="str">
        <f>VLOOKUP(I272,'Names with Seat Code'!B:E,2)</f>
        <v>Charlotte</v>
      </c>
      <c r="H272" s="31" t="str">
        <f>VLOOKUP(I272,'Names with Seat Code'!B:E,4)</f>
        <v>Robichaud</v>
      </c>
      <c r="I272" s="25">
        <f>DIRECTIONS!$E$23+B272</f>
        <v>186</v>
      </c>
    </row>
    <row r="273" spans="1:9" ht="19.5" thickTop="1" thickBot="1" x14ac:dyDescent="0.3">
      <c r="A273" s="28" t="s">
        <v>86</v>
      </c>
      <c r="B273" s="27">
        <v>56</v>
      </c>
      <c r="C273" s="28" t="s">
        <v>83</v>
      </c>
      <c r="D273" s="28" t="s">
        <v>85</v>
      </c>
      <c r="E273" s="27" t="s">
        <v>58</v>
      </c>
      <c r="F273" s="27">
        <v>114</v>
      </c>
      <c r="G273" s="31" t="str">
        <f>VLOOKUP(I273,'Names with Seat Code'!B:E,2)</f>
        <v>Derek</v>
      </c>
      <c r="H273" s="31" t="str">
        <f>VLOOKUP(I273,'Names with Seat Code'!B:E,4)</f>
        <v>Robillard</v>
      </c>
      <c r="I273" s="25">
        <f>DIRECTIONS!$E$23+B273</f>
        <v>187</v>
      </c>
    </row>
    <row r="274" spans="1:9" ht="19.5" thickTop="1" thickBot="1" x14ac:dyDescent="0.3">
      <c r="A274" s="28" t="s">
        <v>86</v>
      </c>
      <c r="B274" s="27">
        <v>57</v>
      </c>
      <c r="C274" s="28" t="s">
        <v>83</v>
      </c>
      <c r="D274" s="28" t="s">
        <v>85</v>
      </c>
      <c r="E274" s="27" t="s">
        <v>58</v>
      </c>
      <c r="F274" s="27">
        <v>115</v>
      </c>
      <c r="G274" s="31" t="str">
        <f>VLOOKUP(I274,'Names with Seat Code'!B:E,2)</f>
        <v>Isaac</v>
      </c>
      <c r="H274" s="31" t="str">
        <f>VLOOKUP(I274,'Names with Seat Code'!B:E,4)</f>
        <v>Robinson</v>
      </c>
      <c r="I274" s="25">
        <f>DIRECTIONS!$E$23+B274</f>
        <v>188</v>
      </c>
    </row>
    <row r="275" spans="1:9" ht="19.5" thickTop="1" thickBot="1" x14ac:dyDescent="0.3">
      <c r="A275" s="28" t="s">
        <v>86</v>
      </c>
      <c r="B275" s="27">
        <v>58</v>
      </c>
      <c r="C275" s="28" t="s">
        <v>84</v>
      </c>
      <c r="D275" s="28" t="s">
        <v>53</v>
      </c>
      <c r="E275" s="27" t="s">
        <v>58</v>
      </c>
      <c r="F275" s="27">
        <v>13</v>
      </c>
      <c r="G275" s="31" t="str">
        <f>VLOOKUP(I275,'Names with Seat Code'!B:E,2)</f>
        <v>Teresa</v>
      </c>
      <c r="H275" s="31" t="str">
        <f>VLOOKUP(I275,'Names with Seat Code'!B:E,4)</f>
        <v>Rock</v>
      </c>
      <c r="I275" s="25">
        <f>DIRECTIONS!$E$23+B275</f>
        <v>189</v>
      </c>
    </row>
    <row r="276" spans="1:9" ht="19.5" thickTop="1" thickBot="1" x14ac:dyDescent="0.3">
      <c r="A276" s="28" t="s">
        <v>86</v>
      </c>
      <c r="B276" s="27">
        <v>59</v>
      </c>
      <c r="C276" s="28" t="s">
        <v>84</v>
      </c>
      <c r="D276" s="28" t="s">
        <v>53</v>
      </c>
      <c r="E276" s="27" t="s">
        <v>58</v>
      </c>
      <c r="F276" s="27">
        <v>11</v>
      </c>
      <c r="G276" s="31" t="str">
        <f>VLOOKUP(I276,'Names with Seat Code'!B:E,2)</f>
        <v>James</v>
      </c>
      <c r="H276" s="31" t="str">
        <f>VLOOKUP(I276,'Names with Seat Code'!B:E,4)</f>
        <v>Rodrigues</v>
      </c>
      <c r="I276" s="25">
        <f>DIRECTIONS!$E$23+B276</f>
        <v>190</v>
      </c>
    </row>
    <row r="277" spans="1:9" ht="19.5" thickTop="1" thickBot="1" x14ac:dyDescent="0.3">
      <c r="A277" s="28" t="s">
        <v>86</v>
      </c>
      <c r="B277" s="27">
        <v>60</v>
      </c>
      <c r="C277" s="28" t="s">
        <v>84</v>
      </c>
      <c r="D277" s="28" t="s">
        <v>53</v>
      </c>
      <c r="E277" s="27" t="s">
        <v>58</v>
      </c>
      <c r="F277" s="27">
        <v>9</v>
      </c>
      <c r="G277" s="31" t="str">
        <f>VLOOKUP(I277,'Names with Seat Code'!B:E,2)</f>
        <v>Luke</v>
      </c>
      <c r="H277" s="31" t="str">
        <f>VLOOKUP(I277,'Names with Seat Code'!B:E,4)</f>
        <v>Rogerson</v>
      </c>
      <c r="I277" s="25">
        <f>DIRECTIONS!$E$23+B277</f>
        <v>191</v>
      </c>
    </row>
    <row r="278" spans="1:9" ht="19.5" thickTop="1" thickBot="1" x14ac:dyDescent="0.3">
      <c r="A278" s="28" t="s">
        <v>86</v>
      </c>
      <c r="B278" s="27">
        <v>61</v>
      </c>
      <c r="C278" s="28" t="s">
        <v>84</v>
      </c>
      <c r="D278" s="28" t="s">
        <v>53</v>
      </c>
      <c r="E278" s="27" t="s">
        <v>58</v>
      </c>
      <c r="F278" s="27">
        <v>7</v>
      </c>
      <c r="G278" s="31" t="str">
        <f>VLOOKUP(I278,'Names with Seat Code'!B:E,2)</f>
        <v>Javian</v>
      </c>
      <c r="H278" s="31" t="str">
        <f>VLOOKUP(I278,'Names with Seat Code'!B:E,4)</f>
        <v>Rojas</v>
      </c>
      <c r="I278" s="25">
        <f>DIRECTIONS!$E$23+B278</f>
        <v>192</v>
      </c>
    </row>
    <row r="279" spans="1:9" ht="19.5" thickTop="1" thickBot="1" x14ac:dyDescent="0.3">
      <c r="A279" s="28" t="s">
        <v>86</v>
      </c>
      <c r="B279" s="27">
        <v>62</v>
      </c>
      <c r="C279" s="28" t="s">
        <v>84</v>
      </c>
      <c r="D279" s="28" t="s">
        <v>53</v>
      </c>
      <c r="E279" s="27" t="s">
        <v>58</v>
      </c>
      <c r="F279" s="27">
        <v>5</v>
      </c>
      <c r="G279" s="31" t="str">
        <f>VLOOKUP(I279,'Names with Seat Code'!B:E,2)</f>
        <v>Ellie</v>
      </c>
      <c r="H279" s="31" t="str">
        <f>VLOOKUP(I279,'Names with Seat Code'!B:E,4)</f>
        <v>Russo</v>
      </c>
      <c r="I279" s="25">
        <f>DIRECTIONS!$E$23+B279</f>
        <v>193</v>
      </c>
    </row>
    <row r="280" spans="1:9" ht="19.5" thickTop="1" thickBot="1" x14ac:dyDescent="0.3">
      <c r="A280" s="28" t="s">
        <v>86</v>
      </c>
      <c r="B280" s="27">
        <v>63</v>
      </c>
      <c r="C280" s="28" t="s">
        <v>84</v>
      </c>
      <c r="D280" s="28" t="s">
        <v>53</v>
      </c>
      <c r="E280" s="27" t="s">
        <v>58</v>
      </c>
      <c r="F280" s="27">
        <v>3</v>
      </c>
      <c r="G280" s="31" t="str">
        <f>VLOOKUP(I280,'Names with Seat Code'!B:E,2)</f>
        <v>Rejon</v>
      </c>
      <c r="H280" s="31" t="str">
        <f>VLOOKUP(I280,'Names with Seat Code'!B:E,4)</f>
        <v>Ryland</v>
      </c>
      <c r="I280" s="25">
        <f>DIRECTIONS!$E$23+B280</f>
        <v>194</v>
      </c>
    </row>
    <row r="281" spans="1:9" ht="19.5" thickTop="1" thickBot="1" x14ac:dyDescent="0.3">
      <c r="A281" s="28" t="s">
        <v>86</v>
      </c>
      <c r="B281" s="27">
        <v>64</v>
      </c>
      <c r="C281" s="28" t="s">
        <v>84</v>
      </c>
      <c r="D281" s="28" t="s">
        <v>53</v>
      </c>
      <c r="E281" s="27" t="s">
        <v>58</v>
      </c>
      <c r="F281" s="27">
        <v>1</v>
      </c>
      <c r="G281" s="31" t="str">
        <f>VLOOKUP(I281,'Names with Seat Code'!B:E,2)</f>
        <v>Lorenzo</v>
      </c>
      <c r="H281" s="31" t="str">
        <f>VLOOKUP(I281,'Names with Seat Code'!B:E,4)</f>
        <v>Sardinha</v>
      </c>
      <c r="I281" s="25">
        <f>DIRECTIONS!$E$23+B281</f>
        <v>195</v>
      </c>
    </row>
    <row r="282" spans="1:9" ht="19.5" thickTop="1" thickBot="1" x14ac:dyDescent="0.3">
      <c r="A282" s="28" t="s">
        <v>86</v>
      </c>
      <c r="B282" s="27">
        <v>65</v>
      </c>
      <c r="C282" s="28" t="s">
        <v>83</v>
      </c>
      <c r="D282" s="28" t="s">
        <v>85</v>
      </c>
      <c r="E282" s="27" t="s">
        <v>60</v>
      </c>
      <c r="F282" s="27">
        <v>108</v>
      </c>
      <c r="G282" s="31" t="str">
        <f>VLOOKUP(I282,'Names with Seat Code'!B:E,2)</f>
        <v>Noah</v>
      </c>
      <c r="H282" s="31" t="str">
        <f>VLOOKUP(I282,'Names with Seat Code'!B:E,4)</f>
        <v>Sarre</v>
      </c>
      <c r="I282" s="25">
        <f>DIRECTIONS!$E$23+B282</f>
        <v>196</v>
      </c>
    </row>
    <row r="283" spans="1:9" ht="19.5" thickTop="1" thickBot="1" x14ac:dyDescent="0.3">
      <c r="A283" s="28" t="s">
        <v>86</v>
      </c>
      <c r="B283" s="27">
        <v>66</v>
      </c>
      <c r="C283" s="28" t="s">
        <v>83</v>
      </c>
      <c r="D283" s="28" t="s">
        <v>85</v>
      </c>
      <c r="E283" s="27" t="s">
        <v>60</v>
      </c>
      <c r="F283" s="27">
        <v>109</v>
      </c>
      <c r="G283" s="31" t="str">
        <f>VLOOKUP(I283,'Names with Seat Code'!B:E,2)</f>
        <v>Katherine</v>
      </c>
      <c r="H283" s="31" t="str">
        <f>VLOOKUP(I283,'Names with Seat Code'!B:E,4)</f>
        <v>Savio</v>
      </c>
      <c r="I283" s="25">
        <f>DIRECTIONS!$E$23+B283</f>
        <v>197</v>
      </c>
    </row>
    <row r="284" spans="1:9" ht="19.5" thickTop="1" thickBot="1" x14ac:dyDescent="0.3">
      <c r="A284" s="28" t="s">
        <v>86</v>
      </c>
      <c r="B284" s="27">
        <v>67</v>
      </c>
      <c r="C284" s="28" t="s">
        <v>83</v>
      </c>
      <c r="D284" s="28" t="s">
        <v>85</v>
      </c>
      <c r="E284" s="27" t="s">
        <v>60</v>
      </c>
      <c r="F284" s="27">
        <v>110</v>
      </c>
      <c r="G284" s="31" t="str">
        <f>VLOOKUP(I284,'Names with Seat Code'!B:E,2)</f>
        <v>Megan</v>
      </c>
      <c r="H284" s="31" t="str">
        <f>VLOOKUP(I284,'Names with Seat Code'!B:E,4)</f>
        <v>Scales</v>
      </c>
      <c r="I284" s="25">
        <f>DIRECTIONS!$E$23+B284</f>
        <v>198</v>
      </c>
    </row>
    <row r="285" spans="1:9" ht="19.5" thickTop="1" thickBot="1" x14ac:dyDescent="0.3">
      <c r="A285" s="28" t="s">
        <v>86</v>
      </c>
      <c r="B285" s="27">
        <v>68</v>
      </c>
      <c r="C285" s="28" t="s">
        <v>83</v>
      </c>
      <c r="D285" s="28" t="s">
        <v>85</v>
      </c>
      <c r="E285" s="27" t="s">
        <v>60</v>
      </c>
      <c r="F285" s="27">
        <v>111</v>
      </c>
      <c r="G285" s="31" t="str">
        <f>VLOOKUP(I285,'Names with Seat Code'!B:E,2)</f>
        <v>Sophie</v>
      </c>
      <c r="H285" s="31" t="str">
        <f>VLOOKUP(I285,'Names with Seat Code'!B:E,4)</f>
        <v>Schrager</v>
      </c>
      <c r="I285" s="25">
        <f>DIRECTIONS!$E$23+B285</f>
        <v>199</v>
      </c>
    </row>
    <row r="286" spans="1:9" ht="19.5" thickTop="1" thickBot="1" x14ac:dyDescent="0.3">
      <c r="A286" s="28" t="s">
        <v>86</v>
      </c>
      <c r="B286" s="27">
        <v>69</v>
      </c>
      <c r="C286" s="28" t="s">
        <v>83</v>
      </c>
      <c r="D286" s="28" t="s">
        <v>85</v>
      </c>
      <c r="E286" s="27" t="s">
        <v>60</v>
      </c>
      <c r="F286" s="27">
        <v>112</v>
      </c>
      <c r="G286" s="31" t="str">
        <f>VLOOKUP(I286,'Names with Seat Code'!B:E,2)</f>
        <v>Rylie</v>
      </c>
      <c r="H286" s="31" t="str">
        <f>VLOOKUP(I286,'Names with Seat Code'!B:E,4)</f>
        <v>Schultz</v>
      </c>
      <c r="I286" s="25">
        <f>DIRECTIONS!$E$23+B286</f>
        <v>200</v>
      </c>
    </row>
    <row r="287" spans="1:9" ht="19.5" thickTop="1" thickBot="1" x14ac:dyDescent="0.3">
      <c r="A287" s="28" t="s">
        <v>86</v>
      </c>
      <c r="B287" s="27">
        <v>70</v>
      </c>
      <c r="C287" s="28" t="s">
        <v>83</v>
      </c>
      <c r="D287" s="28" t="s">
        <v>85</v>
      </c>
      <c r="E287" s="27" t="s">
        <v>60</v>
      </c>
      <c r="F287" s="27">
        <v>113</v>
      </c>
      <c r="G287" s="31" t="str">
        <f>VLOOKUP(I287,'Names with Seat Code'!B:E,2)</f>
        <v>Madeline</v>
      </c>
      <c r="H287" s="31" t="str">
        <f>VLOOKUP(I287,'Names with Seat Code'!B:E,4)</f>
        <v>Scully</v>
      </c>
      <c r="I287" s="25">
        <f>DIRECTIONS!$E$23+B287</f>
        <v>201</v>
      </c>
    </row>
    <row r="288" spans="1:9" ht="19.5" thickTop="1" thickBot="1" x14ac:dyDescent="0.3">
      <c r="A288" s="28" t="s">
        <v>86</v>
      </c>
      <c r="B288" s="27">
        <v>71</v>
      </c>
      <c r="C288" s="28" t="s">
        <v>83</v>
      </c>
      <c r="D288" s="28" t="s">
        <v>85</v>
      </c>
      <c r="E288" s="27" t="s">
        <v>60</v>
      </c>
      <c r="F288" s="27">
        <v>114</v>
      </c>
      <c r="G288" s="31" t="str">
        <f>VLOOKUP(I288,'Names with Seat Code'!B:E,2)</f>
        <v>Sachi</v>
      </c>
      <c r="H288" s="31" t="str">
        <f>VLOOKUP(I288,'Names with Seat Code'!B:E,4)</f>
        <v>Selvakumar</v>
      </c>
      <c r="I288" s="25">
        <f>DIRECTIONS!$E$23+B288</f>
        <v>202</v>
      </c>
    </row>
    <row r="289" spans="1:9" ht="19.5" thickTop="1" thickBot="1" x14ac:dyDescent="0.3">
      <c r="A289" s="28" t="s">
        <v>86</v>
      </c>
      <c r="B289" s="27">
        <v>72</v>
      </c>
      <c r="C289" s="28" t="s">
        <v>83</v>
      </c>
      <c r="D289" s="28" t="s">
        <v>85</v>
      </c>
      <c r="E289" s="27" t="s">
        <v>60</v>
      </c>
      <c r="F289" s="27">
        <v>115</v>
      </c>
      <c r="G289" s="31" t="str">
        <f>VLOOKUP(I289,'Names with Seat Code'!B:E,2)</f>
        <v>Katie</v>
      </c>
      <c r="H289" s="31" t="str">
        <f>VLOOKUP(I289,'Names with Seat Code'!B:E,4)</f>
        <v>Severance</v>
      </c>
      <c r="I289" s="25">
        <f>DIRECTIONS!$E$23+B289</f>
        <v>203</v>
      </c>
    </row>
    <row r="290" spans="1:9" ht="19.5" thickTop="1" thickBot="1" x14ac:dyDescent="0.3">
      <c r="A290" s="28" t="s">
        <v>86</v>
      </c>
      <c r="B290" s="27">
        <v>73</v>
      </c>
      <c r="C290" s="28" t="s">
        <v>83</v>
      </c>
      <c r="D290" s="28" t="s">
        <v>85</v>
      </c>
      <c r="E290" s="27" t="s">
        <v>60</v>
      </c>
      <c r="F290" s="27">
        <v>116</v>
      </c>
      <c r="G290" s="31" t="str">
        <f>VLOOKUP(I290,'Names with Seat Code'!B:E,2)</f>
        <v>Annabelle</v>
      </c>
      <c r="H290" s="31" t="str">
        <f>VLOOKUP(I290,'Names with Seat Code'!B:E,4)</f>
        <v>Shanley</v>
      </c>
      <c r="I290" s="25">
        <f>DIRECTIONS!$E$23+B290</f>
        <v>204</v>
      </c>
    </row>
    <row r="291" spans="1:9" ht="19.5" thickTop="1" thickBot="1" x14ac:dyDescent="0.3">
      <c r="A291" s="28" t="s">
        <v>86</v>
      </c>
      <c r="B291" s="27">
        <v>74</v>
      </c>
      <c r="C291" s="28" t="s">
        <v>84</v>
      </c>
      <c r="D291" s="28" t="s">
        <v>53</v>
      </c>
      <c r="E291" s="27" t="s">
        <v>60</v>
      </c>
      <c r="F291" s="27">
        <v>13</v>
      </c>
      <c r="G291" s="31" t="str">
        <f>VLOOKUP(I291,'Names with Seat Code'!B:E,2)</f>
        <v>Emme</v>
      </c>
      <c r="H291" s="31" t="str">
        <f>VLOOKUP(I291,'Names with Seat Code'!B:E,4)</f>
        <v>Shediac</v>
      </c>
      <c r="I291" s="25">
        <f>DIRECTIONS!$E$23+B291</f>
        <v>205</v>
      </c>
    </row>
    <row r="292" spans="1:9" ht="19.5" thickTop="1" thickBot="1" x14ac:dyDescent="0.3">
      <c r="A292" s="28" t="s">
        <v>86</v>
      </c>
      <c r="B292" s="27">
        <v>75</v>
      </c>
      <c r="C292" s="28" t="s">
        <v>84</v>
      </c>
      <c r="D292" s="28" t="s">
        <v>53</v>
      </c>
      <c r="E292" s="27" t="s">
        <v>60</v>
      </c>
      <c r="F292" s="27">
        <v>11</v>
      </c>
      <c r="G292" s="31" t="str">
        <f>VLOOKUP(I292,'Names with Seat Code'!B:E,2)</f>
        <v>Allison</v>
      </c>
      <c r="H292" s="31" t="str">
        <f>VLOOKUP(I292,'Names with Seat Code'!B:E,4)</f>
        <v>Shindelman</v>
      </c>
      <c r="I292" s="25">
        <f>DIRECTIONS!$E$23+B292</f>
        <v>206</v>
      </c>
    </row>
    <row r="293" spans="1:9" ht="19.5" thickTop="1" thickBot="1" x14ac:dyDescent="0.3">
      <c r="A293" s="28" t="s">
        <v>86</v>
      </c>
      <c r="B293" s="27">
        <v>76</v>
      </c>
      <c r="C293" s="28" t="s">
        <v>84</v>
      </c>
      <c r="D293" s="28" t="s">
        <v>53</v>
      </c>
      <c r="E293" s="27" t="s">
        <v>60</v>
      </c>
      <c r="F293" s="27">
        <v>9</v>
      </c>
      <c r="G293" s="31" t="str">
        <f>VLOOKUP(I293,'Names with Seat Code'!B:E,2)</f>
        <v>John</v>
      </c>
      <c r="H293" s="31" t="str">
        <f>VLOOKUP(I293,'Names with Seat Code'!B:E,4)</f>
        <v>Siciliano</v>
      </c>
      <c r="I293" s="25">
        <f>DIRECTIONS!$E$23+B293</f>
        <v>207</v>
      </c>
    </row>
    <row r="294" spans="1:9" ht="19.5" thickTop="1" thickBot="1" x14ac:dyDescent="0.3">
      <c r="A294" s="28" t="s">
        <v>86</v>
      </c>
      <c r="B294" s="27">
        <v>77</v>
      </c>
      <c r="C294" s="28" t="s">
        <v>84</v>
      </c>
      <c r="D294" s="28" t="s">
        <v>53</v>
      </c>
      <c r="E294" s="27" t="s">
        <v>60</v>
      </c>
      <c r="F294" s="27">
        <v>7</v>
      </c>
      <c r="G294" s="31" t="str">
        <f>VLOOKUP(I294,'Names with Seat Code'!B:E,2)</f>
        <v>Owen</v>
      </c>
      <c r="H294" s="31" t="str">
        <f>VLOOKUP(I294,'Names with Seat Code'!B:E,4)</f>
        <v>Sinclair</v>
      </c>
      <c r="I294" s="25">
        <f>DIRECTIONS!$E$23+B294</f>
        <v>208</v>
      </c>
    </row>
    <row r="295" spans="1:9" ht="19.5" thickTop="1" thickBot="1" x14ac:dyDescent="0.3">
      <c r="A295" s="28" t="s">
        <v>86</v>
      </c>
      <c r="B295" s="27">
        <v>78</v>
      </c>
      <c r="C295" s="28" t="s">
        <v>84</v>
      </c>
      <c r="D295" s="28" t="s">
        <v>53</v>
      </c>
      <c r="E295" s="27" t="s">
        <v>60</v>
      </c>
      <c r="F295" s="27">
        <v>5</v>
      </c>
      <c r="G295" s="31" t="str">
        <f>VLOOKUP(I295,'Names with Seat Code'!B:E,2)</f>
        <v>Sierra</v>
      </c>
      <c r="H295" s="31" t="str">
        <f>VLOOKUP(I295,'Names with Seat Code'!B:E,4)</f>
        <v>Skenderian</v>
      </c>
      <c r="I295" s="25">
        <f>DIRECTIONS!$E$23+B295</f>
        <v>209</v>
      </c>
    </row>
    <row r="296" spans="1:9" ht="19.5" thickTop="1" thickBot="1" x14ac:dyDescent="0.3">
      <c r="A296" s="28" t="s">
        <v>86</v>
      </c>
      <c r="B296" s="27">
        <v>79</v>
      </c>
      <c r="C296" s="28" t="s">
        <v>84</v>
      </c>
      <c r="D296" s="28" t="s">
        <v>53</v>
      </c>
      <c r="E296" s="27" t="s">
        <v>60</v>
      </c>
      <c r="F296" s="27">
        <v>3</v>
      </c>
      <c r="G296" s="31" t="str">
        <f>VLOOKUP(I296,'Names with Seat Code'!B:E,2)</f>
        <v>John</v>
      </c>
      <c r="H296" s="31" t="str">
        <f>VLOOKUP(I296,'Names with Seat Code'!B:E,4)</f>
        <v>Slinn</v>
      </c>
      <c r="I296" s="25">
        <f>DIRECTIONS!$E$23+B296</f>
        <v>210</v>
      </c>
    </row>
    <row r="297" spans="1:9" ht="19.5" thickTop="1" thickBot="1" x14ac:dyDescent="0.3">
      <c r="A297" s="28" t="s">
        <v>86</v>
      </c>
      <c r="B297" s="27">
        <v>80</v>
      </c>
      <c r="C297" s="28" t="s">
        <v>84</v>
      </c>
      <c r="D297" s="28" t="s">
        <v>53</v>
      </c>
      <c r="E297" s="27" t="s">
        <v>60</v>
      </c>
      <c r="F297" s="27">
        <v>1</v>
      </c>
      <c r="G297" s="31" t="str">
        <f>VLOOKUP(I297,'Names with Seat Code'!B:E,2)</f>
        <v>Julia</v>
      </c>
      <c r="H297" s="31" t="str">
        <f>VLOOKUP(I297,'Names with Seat Code'!B:E,4)</f>
        <v>Smith</v>
      </c>
      <c r="I297" s="25">
        <f>DIRECTIONS!$E$23+B297</f>
        <v>211</v>
      </c>
    </row>
    <row r="298" spans="1:9" ht="19.5" thickTop="1" thickBot="1" x14ac:dyDescent="0.3">
      <c r="A298" s="28" t="s">
        <v>86</v>
      </c>
      <c r="B298" s="27">
        <v>81</v>
      </c>
      <c r="C298" s="28" t="s">
        <v>83</v>
      </c>
      <c r="D298" s="28" t="s">
        <v>85</v>
      </c>
      <c r="E298" s="27" t="s">
        <v>61</v>
      </c>
      <c r="F298" s="27">
        <v>107</v>
      </c>
      <c r="G298" s="31" t="str">
        <f>VLOOKUP(I298,'Names with Seat Code'!B:E,2)</f>
        <v>Noah</v>
      </c>
      <c r="H298" s="31" t="str">
        <f>VLOOKUP(I298,'Names with Seat Code'!B:E,4)</f>
        <v>Snyder</v>
      </c>
      <c r="I298" s="25">
        <f>DIRECTIONS!$E$23+B298</f>
        <v>212</v>
      </c>
    </row>
    <row r="299" spans="1:9" ht="19.5" thickTop="1" thickBot="1" x14ac:dyDescent="0.3">
      <c r="A299" s="28" t="s">
        <v>86</v>
      </c>
      <c r="B299" s="27">
        <v>82</v>
      </c>
      <c r="C299" s="28" t="s">
        <v>83</v>
      </c>
      <c r="D299" s="28" t="s">
        <v>85</v>
      </c>
      <c r="E299" s="27" t="s">
        <v>61</v>
      </c>
      <c r="F299" s="27">
        <v>108</v>
      </c>
      <c r="G299" s="31" t="str">
        <f>VLOOKUP(I299,'Names with Seat Code'!B:E,2)</f>
        <v>Aaron</v>
      </c>
      <c r="H299" s="31" t="str">
        <f>VLOOKUP(I299,'Names with Seat Code'!B:E,4)</f>
        <v>Soto</v>
      </c>
      <c r="I299" s="25">
        <f>DIRECTIONS!$E$23+B299</f>
        <v>213</v>
      </c>
    </row>
    <row r="300" spans="1:9" ht="19.5" thickTop="1" thickBot="1" x14ac:dyDescent="0.3">
      <c r="A300" s="28" t="s">
        <v>86</v>
      </c>
      <c r="B300" s="27">
        <v>83</v>
      </c>
      <c r="C300" s="28" t="s">
        <v>83</v>
      </c>
      <c r="D300" s="28" t="s">
        <v>85</v>
      </c>
      <c r="E300" s="27" t="s">
        <v>61</v>
      </c>
      <c r="F300" s="27">
        <v>109</v>
      </c>
      <c r="G300" s="31" t="str">
        <f>VLOOKUP(I300,'Names with Seat Code'!B:E,2)</f>
        <v>Andrew</v>
      </c>
      <c r="H300" s="31" t="str">
        <f>VLOOKUP(I300,'Names with Seat Code'!B:E,4)</f>
        <v>Spencer</v>
      </c>
      <c r="I300" s="25">
        <f>DIRECTIONS!$E$23+B300</f>
        <v>214</v>
      </c>
    </row>
    <row r="301" spans="1:9" ht="19.5" thickTop="1" thickBot="1" x14ac:dyDescent="0.3">
      <c r="A301" s="28" t="s">
        <v>86</v>
      </c>
      <c r="B301" s="27">
        <v>84</v>
      </c>
      <c r="C301" s="28" t="s">
        <v>83</v>
      </c>
      <c r="D301" s="28" t="s">
        <v>85</v>
      </c>
      <c r="E301" s="27" t="s">
        <v>61</v>
      </c>
      <c r="F301" s="27">
        <v>110</v>
      </c>
      <c r="G301" s="31" t="str">
        <f>VLOOKUP(I301,'Names with Seat Code'!B:E,2)</f>
        <v>Elias</v>
      </c>
      <c r="H301" s="31" t="str">
        <f>VLOOKUP(I301,'Names with Seat Code'!B:E,4)</f>
        <v>Speros</v>
      </c>
      <c r="I301" s="25">
        <f>DIRECTIONS!$E$23+B301</f>
        <v>215</v>
      </c>
    </row>
    <row r="302" spans="1:9" ht="19.5" thickTop="1" thickBot="1" x14ac:dyDescent="0.3">
      <c r="A302" s="28" t="s">
        <v>86</v>
      </c>
      <c r="B302" s="27">
        <v>85</v>
      </c>
      <c r="C302" s="28" t="s">
        <v>83</v>
      </c>
      <c r="D302" s="28" t="s">
        <v>85</v>
      </c>
      <c r="E302" s="27" t="s">
        <v>61</v>
      </c>
      <c r="F302" s="27">
        <v>111</v>
      </c>
      <c r="G302" s="31" t="str">
        <f>VLOOKUP(I302,'Names with Seat Code'!B:E,2)</f>
        <v>Ava</v>
      </c>
      <c r="H302" s="31" t="str">
        <f>VLOOKUP(I302,'Names with Seat Code'!B:E,4)</f>
        <v>Spinazzola</v>
      </c>
      <c r="I302" s="25">
        <f>DIRECTIONS!$E$23+B302</f>
        <v>216</v>
      </c>
    </row>
    <row r="303" spans="1:9" ht="19.5" thickTop="1" thickBot="1" x14ac:dyDescent="0.3">
      <c r="A303" s="28" t="s">
        <v>86</v>
      </c>
      <c r="B303" s="27">
        <v>86</v>
      </c>
      <c r="C303" s="28" t="s">
        <v>83</v>
      </c>
      <c r="D303" s="28" t="s">
        <v>85</v>
      </c>
      <c r="E303" s="27" t="s">
        <v>61</v>
      </c>
      <c r="F303" s="27">
        <v>112</v>
      </c>
      <c r="G303" s="31" t="str">
        <f>VLOOKUP(I303,'Names with Seat Code'!B:E,2)</f>
        <v>Ava</v>
      </c>
      <c r="H303" s="31" t="str">
        <f>VLOOKUP(I303,'Names with Seat Code'!B:E,4)</f>
        <v>Staffier</v>
      </c>
      <c r="I303" s="25">
        <f>DIRECTIONS!$E$23+B303</f>
        <v>217</v>
      </c>
    </row>
    <row r="304" spans="1:9" ht="19.5" thickTop="1" thickBot="1" x14ac:dyDescent="0.3">
      <c r="A304" s="28" t="s">
        <v>86</v>
      </c>
      <c r="B304" s="27">
        <v>87</v>
      </c>
      <c r="C304" s="28" t="s">
        <v>83</v>
      </c>
      <c r="D304" s="28" t="s">
        <v>85</v>
      </c>
      <c r="E304" s="27" t="s">
        <v>61</v>
      </c>
      <c r="F304" s="27">
        <v>113</v>
      </c>
      <c r="G304" s="31" t="str">
        <f>VLOOKUP(I304,'Names with Seat Code'!B:E,2)</f>
        <v>Charlie</v>
      </c>
      <c r="H304" s="31" t="str">
        <f>VLOOKUP(I304,'Names with Seat Code'!B:E,4)</f>
        <v>Studley</v>
      </c>
      <c r="I304" s="25">
        <f>DIRECTIONS!$E$23+B304</f>
        <v>218</v>
      </c>
    </row>
    <row r="305" spans="1:9" ht="19.5" thickTop="1" thickBot="1" x14ac:dyDescent="0.3">
      <c r="A305" s="28" t="s">
        <v>86</v>
      </c>
      <c r="B305" s="27">
        <v>88</v>
      </c>
      <c r="C305" s="28" t="s">
        <v>83</v>
      </c>
      <c r="D305" s="28" t="s">
        <v>85</v>
      </c>
      <c r="E305" s="27" t="s">
        <v>61</v>
      </c>
      <c r="F305" s="27">
        <v>114</v>
      </c>
      <c r="G305" s="31" t="str">
        <f>VLOOKUP(I305,'Names with Seat Code'!B:E,2)</f>
        <v>Nolan</v>
      </c>
      <c r="H305" s="31" t="str">
        <f>VLOOKUP(I305,'Names with Seat Code'!B:E,4)</f>
        <v>Sullivan</v>
      </c>
      <c r="I305" s="25">
        <f>DIRECTIONS!$E$23+B305</f>
        <v>219</v>
      </c>
    </row>
    <row r="306" spans="1:9" ht="19.5" thickTop="1" thickBot="1" x14ac:dyDescent="0.3">
      <c r="A306" s="28" t="s">
        <v>86</v>
      </c>
      <c r="B306" s="27">
        <v>89</v>
      </c>
      <c r="C306" s="28" t="s">
        <v>83</v>
      </c>
      <c r="D306" s="28" t="s">
        <v>85</v>
      </c>
      <c r="E306" s="27" t="s">
        <v>61</v>
      </c>
      <c r="F306" s="27">
        <v>115</v>
      </c>
      <c r="G306" s="31" t="str">
        <f>VLOOKUP(I306,'Names with Seat Code'!B:E,2)</f>
        <v>Sabrina</v>
      </c>
      <c r="H306" s="31" t="str">
        <f>VLOOKUP(I306,'Names with Seat Code'!B:E,4)</f>
        <v>Sweat</v>
      </c>
      <c r="I306" s="25">
        <f>DIRECTIONS!$E$23+B306</f>
        <v>220</v>
      </c>
    </row>
    <row r="307" spans="1:9" ht="19.5" thickTop="1" thickBot="1" x14ac:dyDescent="0.3">
      <c r="A307" s="28" t="s">
        <v>86</v>
      </c>
      <c r="B307" s="27">
        <v>90</v>
      </c>
      <c r="C307" s="28" t="s">
        <v>83</v>
      </c>
      <c r="D307" s="28" t="s">
        <v>85</v>
      </c>
      <c r="E307" s="27" t="s">
        <v>61</v>
      </c>
      <c r="F307" s="27">
        <v>116</v>
      </c>
      <c r="G307" s="31" t="str">
        <f>VLOOKUP(I307,'Names with Seat Code'!B:E,2)</f>
        <v>Brooklynne</v>
      </c>
      <c r="H307" s="31" t="str">
        <f>VLOOKUP(I307,'Names with Seat Code'!B:E,4)</f>
        <v>Tartarini</v>
      </c>
      <c r="I307" s="25">
        <f>DIRECTIONS!$E$23+B307</f>
        <v>221</v>
      </c>
    </row>
    <row r="308" spans="1:9" ht="19.5" thickTop="1" thickBot="1" x14ac:dyDescent="0.3">
      <c r="A308" s="28" t="s">
        <v>86</v>
      </c>
      <c r="B308" s="27">
        <v>91</v>
      </c>
      <c r="C308" s="28" t="s">
        <v>84</v>
      </c>
      <c r="D308" s="28" t="s">
        <v>53</v>
      </c>
      <c r="E308" s="27" t="s">
        <v>61</v>
      </c>
      <c r="F308" s="27">
        <v>13</v>
      </c>
      <c r="G308" s="31" t="str">
        <f>VLOOKUP(I308,'Names with Seat Code'!B:E,2)</f>
        <v>Nina</v>
      </c>
      <c r="H308" s="31" t="str">
        <f>VLOOKUP(I308,'Names with Seat Code'!B:E,4)</f>
        <v>Taubman</v>
      </c>
      <c r="I308" s="25">
        <f>DIRECTIONS!$E$23+B308</f>
        <v>222</v>
      </c>
    </row>
    <row r="309" spans="1:9" ht="19.5" thickTop="1" thickBot="1" x14ac:dyDescent="0.3">
      <c r="A309" s="28" t="s">
        <v>86</v>
      </c>
      <c r="B309" s="27">
        <v>92</v>
      </c>
      <c r="C309" s="28" t="s">
        <v>84</v>
      </c>
      <c r="D309" s="28" t="s">
        <v>53</v>
      </c>
      <c r="E309" s="27" t="s">
        <v>61</v>
      </c>
      <c r="F309" s="27">
        <v>11</v>
      </c>
      <c r="G309" s="31" t="str">
        <f>VLOOKUP(I309,'Names with Seat Code'!B:E,2)</f>
        <v>Natalie</v>
      </c>
      <c r="H309" s="31" t="str">
        <f>VLOOKUP(I309,'Names with Seat Code'!B:E,4)</f>
        <v>Tawadros</v>
      </c>
      <c r="I309" s="25">
        <f>DIRECTIONS!$E$23+B309</f>
        <v>223</v>
      </c>
    </row>
    <row r="310" spans="1:9" ht="19.5" thickTop="1" thickBot="1" x14ac:dyDescent="0.3">
      <c r="A310" s="28" t="s">
        <v>86</v>
      </c>
      <c r="B310" s="27">
        <v>93</v>
      </c>
      <c r="C310" s="28" t="s">
        <v>84</v>
      </c>
      <c r="D310" s="28" t="s">
        <v>53</v>
      </c>
      <c r="E310" s="27" t="s">
        <v>61</v>
      </c>
      <c r="F310" s="27">
        <v>9</v>
      </c>
      <c r="G310" s="31" t="str">
        <f>VLOOKUP(I310,'Names with Seat Code'!B:E,2)</f>
        <v>Samantha</v>
      </c>
      <c r="H310" s="31" t="str">
        <f>VLOOKUP(I310,'Names with Seat Code'!B:E,4)</f>
        <v>Toomey</v>
      </c>
      <c r="I310" s="25">
        <f>DIRECTIONS!$E$23+B310</f>
        <v>224</v>
      </c>
    </row>
    <row r="311" spans="1:9" ht="19.5" thickTop="1" thickBot="1" x14ac:dyDescent="0.3">
      <c r="A311" s="28" t="s">
        <v>86</v>
      </c>
      <c r="B311" s="27">
        <v>94</v>
      </c>
      <c r="C311" s="28" t="s">
        <v>84</v>
      </c>
      <c r="D311" s="28" t="s">
        <v>53</v>
      </c>
      <c r="E311" s="27" t="s">
        <v>61</v>
      </c>
      <c r="F311" s="27">
        <v>7</v>
      </c>
      <c r="G311" s="31" t="str">
        <f>VLOOKUP(I311,'Names with Seat Code'!B:E,2)</f>
        <v>Alyson</v>
      </c>
      <c r="H311" s="31" t="str">
        <f>VLOOKUP(I311,'Names with Seat Code'!B:E,4)</f>
        <v>Torrens</v>
      </c>
      <c r="I311" s="25">
        <f>DIRECTIONS!$E$23+B311</f>
        <v>225</v>
      </c>
    </row>
    <row r="312" spans="1:9" ht="19.5" thickTop="1" thickBot="1" x14ac:dyDescent="0.3">
      <c r="A312" s="28" t="s">
        <v>86</v>
      </c>
      <c r="B312" s="27">
        <v>95</v>
      </c>
      <c r="C312" s="28" t="s">
        <v>84</v>
      </c>
      <c r="D312" s="28" t="s">
        <v>53</v>
      </c>
      <c r="E312" s="27" t="s">
        <v>61</v>
      </c>
      <c r="F312" s="27">
        <v>5</v>
      </c>
      <c r="G312" s="31" t="str">
        <f>VLOOKUP(I312,'Names with Seat Code'!B:E,2)</f>
        <v>Franklin</v>
      </c>
      <c r="H312" s="31" t="str">
        <f>VLOOKUP(I312,'Names with Seat Code'!B:E,4)</f>
        <v>Travassos</v>
      </c>
      <c r="I312" s="25">
        <f>DIRECTIONS!$E$23+B312</f>
        <v>226</v>
      </c>
    </row>
    <row r="313" spans="1:9" ht="19.5" thickTop="1" thickBot="1" x14ac:dyDescent="0.3">
      <c r="A313" s="28" t="s">
        <v>86</v>
      </c>
      <c r="B313" s="27">
        <v>96</v>
      </c>
      <c r="C313" s="28" t="s">
        <v>84</v>
      </c>
      <c r="D313" s="28" t="s">
        <v>53</v>
      </c>
      <c r="E313" s="27" t="s">
        <v>61</v>
      </c>
      <c r="F313" s="27">
        <v>3</v>
      </c>
      <c r="G313" s="31" t="str">
        <f>VLOOKUP(I313,'Names with Seat Code'!B:E,2)</f>
        <v>Meredith</v>
      </c>
      <c r="H313" s="31" t="str">
        <f>VLOOKUP(I313,'Names with Seat Code'!B:E,4)</f>
        <v>Upton</v>
      </c>
      <c r="I313" s="25">
        <f>DIRECTIONS!$E$23+B313</f>
        <v>227</v>
      </c>
    </row>
    <row r="314" spans="1:9" ht="19.5" thickTop="1" thickBot="1" x14ac:dyDescent="0.3">
      <c r="A314" s="28" t="s">
        <v>86</v>
      </c>
      <c r="B314" s="27">
        <v>97</v>
      </c>
      <c r="C314" s="28" t="s">
        <v>84</v>
      </c>
      <c r="D314" s="28" t="s">
        <v>53</v>
      </c>
      <c r="E314" s="27" t="s">
        <v>61</v>
      </c>
      <c r="F314" s="27">
        <v>1</v>
      </c>
      <c r="G314" s="31" t="str">
        <f>VLOOKUP(I314,'Names with Seat Code'!B:E,2)</f>
        <v>Andrew</v>
      </c>
      <c r="H314" s="31" t="str">
        <f>VLOOKUP(I314,'Names with Seat Code'!B:E,4)</f>
        <v>Valentin</v>
      </c>
      <c r="I314" s="25">
        <f>DIRECTIONS!$E$23+B314</f>
        <v>228</v>
      </c>
    </row>
    <row r="315" spans="1:9" ht="19.5" thickTop="1" thickBot="1" x14ac:dyDescent="0.3">
      <c r="A315" s="28" t="s">
        <v>86</v>
      </c>
      <c r="B315" s="27">
        <v>98</v>
      </c>
      <c r="C315" s="28" t="s">
        <v>83</v>
      </c>
      <c r="D315" s="28" t="s">
        <v>85</v>
      </c>
      <c r="E315" s="27" t="s">
        <v>63</v>
      </c>
      <c r="F315" s="27">
        <v>108</v>
      </c>
      <c r="G315" s="31" t="str">
        <f>VLOOKUP(I315,'Names with Seat Code'!B:E,2)</f>
        <v>Colby</v>
      </c>
      <c r="H315" s="31" t="str">
        <f>VLOOKUP(I315,'Names with Seat Code'!B:E,4)</f>
        <v>Van Horn</v>
      </c>
      <c r="I315" s="25">
        <f>DIRECTIONS!$E$23+B315</f>
        <v>229</v>
      </c>
    </row>
    <row r="316" spans="1:9" ht="19.5" thickTop="1" thickBot="1" x14ac:dyDescent="0.3">
      <c r="A316" s="28" t="s">
        <v>86</v>
      </c>
      <c r="B316" s="27">
        <v>99</v>
      </c>
      <c r="C316" s="28" t="s">
        <v>83</v>
      </c>
      <c r="D316" s="28" t="s">
        <v>85</v>
      </c>
      <c r="E316" s="27" t="s">
        <v>63</v>
      </c>
      <c r="F316" s="27">
        <v>109</v>
      </c>
      <c r="G316" s="31" t="str">
        <f>VLOOKUP(I316,'Names with Seat Code'!B:E,2)</f>
        <v>Katherine</v>
      </c>
      <c r="H316" s="31" t="str">
        <f>VLOOKUP(I316,'Names with Seat Code'!B:E,4)</f>
        <v>Van Magness</v>
      </c>
      <c r="I316" s="25">
        <f>DIRECTIONS!$E$23+B316</f>
        <v>230</v>
      </c>
    </row>
    <row r="317" spans="1:9" ht="19.5" thickTop="1" thickBot="1" x14ac:dyDescent="0.3">
      <c r="A317" s="28" t="s">
        <v>86</v>
      </c>
      <c r="B317" s="27">
        <v>100</v>
      </c>
      <c r="C317" s="28" t="s">
        <v>83</v>
      </c>
      <c r="D317" s="28" t="s">
        <v>85</v>
      </c>
      <c r="E317" s="27" t="s">
        <v>63</v>
      </c>
      <c r="F317" s="27">
        <v>110</v>
      </c>
      <c r="G317" s="31" t="str">
        <f>VLOOKUP(I317,'Names with Seat Code'!B:E,2)</f>
        <v>Justin</v>
      </c>
      <c r="H317" s="31" t="str">
        <f>VLOOKUP(I317,'Names with Seat Code'!B:E,4)</f>
        <v>Ventura</v>
      </c>
      <c r="I317" s="25">
        <f>DIRECTIONS!$E$23+B317</f>
        <v>231</v>
      </c>
    </row>
    <row r="318" spans="1:9" ht="19.5" thickTop="1" thickBot="1" x14ac:dyDescent="0.3">
      <c r="A318" s="28" t="s">
        <v>86</v>
      </c>
      <c r="B318" s="27">
        <v>101</v>
      </c>
      <c r="C318" s="28" t="s">
        <v>83</v>
      </c>
      <c r="D318" s="28" t="s">
        <v>85</v>
      </c>
      <c r="E318" s="27" t="s">
        <v>63</v>
      </c>
      <c r="F318" s="27">
        <v>111</v>
      </c>
      <c r="G318" s="31" t="str">
        <f>VLOOKUP(I318,'Names with Seat Code'!B:E,2)</f>
        <v>Dario</v>
      </c>
      <c r="H318" s="31" t="str">
        <f>VLOOKUP(I318,'Names with Seat Code'!B:E,4)</f>
        <v>Viliott</v>
      </c>
      <c r="I318" s="25">
        <f>DIRECTIONS!$E$23+B318</f>
        <v>232</v>
      </c>
    </row>
    <row r="319" spans="1:9" ht="19.5" thickTop="1" thickBot="1" x14ac:dyDescent="0.3">
      <c r="A319" s="28" t="s">
        <v>86</v>
      </c>
      <c r="B319" s="27">
        <v>102</v>
      </c>
      <c r="C319" s="28" t="s">
        <v>83</v>
      </c>
      <c r="D319" s="28" t="s">
        <v>85</v>
      </c>
      <c r="E319" s="27" t="s">
        <v>63</v>
      </c>
      <c r="F319" s="27">
        <v>112</v>
      </c>
      <c r="G319" s="31" t="str">
        <f>VLOOKUP(I319,'Names with Seat Code'!B:E,2)</f>
        <v>Nathan</v>
      </c>
      <c r="H319" s="31" t="str">
        <f>VLOOKUP(I319,'Names with Seat Code'!B:E,4)</f>
        <v>Vitarisi</v>
      </c>
      <c r="I319" s="25">
        <f>DIRECTIONS!$E$23+B319</f>
        <v>233</v>
      </c>
    </row>
    <row r="320" spans="1:9" ht="19.5" thickTop="1" thickBot="1" x14ac:dyDescent="0.3">
      <c r="A320" s="28" t="s">
        <v>86</v>
      </c>
      <c r="B320" s="27">
        <v>103</v>
      </c>
      <c r="C320" s="28" t="s">
        <v>83</v>
      </c>
      <c r="D320" s="28" t="s">
        <v>85</v>
      </c>
      <c r="E320" s="27" t="s">
        <v>63</v>
      </c>
      <c r="F320" s="27">
        <v>113</v>
      </c>
      <c r="G320" s="31" t="str">
        <f>VLOOKUP(I320,'Names with Seat Code'!B:E,2)</f>
        <v>Jacob</v>
      </c>
      <c r="H320" s="31" t="str">
        <f>VLOOKUP(I320,'Names with Seat Code'!B:E,4)</f>
        <v>Ward</v>
      </c>
      <c r="I320" s="25">
        <f>DIRECTIONS!$E$23+B320</f>
        <v>234</v>
      </c>
    </row>
    <row r="321" spans="1:9" ht="19.5" thickTop="1" thickBot="1" x14ac:dyDescent="0.3">
      <c r="A321" s="28" t="s">
        <v>86</v>
      </c>
      <c r="B321" s="27">
        <v>104</v>
      </c>
      <c r="C321" s="28" t="s">
        <v>83</v>
      </c>
      <c r="D321" s="28" t="s">
        <v>85</v>
      </c>
      <c r="E321" s="27" t="s">
        <v>63</v>
      </c>
      <c r="F321" s="27">
        <v>114</v>
      </c>
      <c r="G321" s="31" t="str">
        <f>VLOOKUP(I321,'Names with Seat Code'!B:E,2)</f>
        <v>Kyle</v>
      </c>
      <c r="H321" s="31" t="str">
        <f>VLOOKUP(I321,'Names with Seat Code'!B:E,4)</f>
        <v>Weaver</v>
      </c>
      <c r="I321" s="25">
        <f>DIRECTIONS!$E$23+B321</f>
        <v>235</v>
      </c>
    </row>
    <row r="322" spans="1:9" ht="19.5" thickTop="1" thickBot="1" x14ac:dyDescent="0.3">
      <c r="A322" s="28" t="s">
        <v>86</v>
      </c>
      <c r="B322" s="27">
        <v>105</v>
      </c>
      <c r="C322" s="28" t="s">
        <v>83</v>
      </c>
      <c r="D322" s="28" t="s">
        <v>85</v>
      </c>
      <c r="E322" s="27" t="s">
        <v>63</v>
      </c>
      <c r="F322" s="27">
        <v>115</v>
      </c>
      <c r="G322" s="31" t="str">
        <f>VLOOKUP(I322,'Names with Seat Code'!B:E,2)</f>
        <v>Tess</v>
      </c>
      <c r="H322" s="31" t="str">
        <f>VLOOKUP(I322,'Names with Seat Code'!B:E,4)</f>
        <v>Weaver</v>
      </c>
      <c r="I322" s="25">
        <f>DIRECTIONS!$E$23+B322</f>
        <v>236</v>
      </c>
    </row>
    <row r="323" spans="1:9" ht="19.5" thickTop="1" thickBot="1" x14ac:dyDescent="0.3">
      <c r="A323" s="28" t="s">
        <v>86</v>
      </c>
      <c r="B323" s="27">
        <v>106</v>
      </c>
      <c r="C323" s="28" t="s">
        <v>83</v>
      </c>
      <c r="D323" s="28" t="s">
        <v>85</v>
      </c>
      <c r="E323" s="27" t="s">
        <v>63</v>
      </c>
      <c r="F323" s="27">
        <v>116</v>
      </c>
      <c r="G323" s="31" t="str">
        <f>VLOOKUP(I323,'Names with Seat Code'!B:E,2)</f>
        <v>Leah</v>
      </c>
      <c r="H323" s="31" t="str">
        <f>VLOOKUP(I323,'Names with Seat Code'!B:E,4)</f>
        <v>Weber</v>
      </c>
      <c r="I323" s="25">
        <f>DIRECTIONS!$E$23+B323</f>
        <v>237</v>
      </c>
    </row>
    <row r="324" spans="1:9" ht="19.5" thickTop="1" thickBot="1" x14ac:dyDescent="0.3">
      <c r="A324" s="28" t="s">
        <v>86</v>
      </c>
      <c r="B324" s="27">
        <v>107</v>
      </c>
      <c r="C324" s="28" t="s">
        <v>83</v>
      </c>
      <c r="D324" s="28" t="s">
        <v>85</v>
      </c>
      <c r="E324" s="27" t="s">
        <v>63</v>
      </c>
      <c r="F324" s="27">
        <v>117</v>
      </c>
      <c r="G324" s="31" t="str">
        <f>VLOOKUP(I324,'Names with Seat Code'!B:E,2)</f>
        <v>Emma</v>
      </c>
      <c r="H324" s="31" t="str">
        <f>VLOOKUP(I324,'Names with Seat Code'!B:E,4)</f>
        <v>White</v>
      </c>
      <c r="I324" s="25">
        <f>DIRECTIONS!$E$23+B324</f>
        <v>238</v>
      </c>
    </row>
    <row r="325" spans="1:9" ht="19.5" thickTop="1" thickBot="1" x14ac:dyDescent="0.3">
      <c r="A325" s="28" t="s">
        <v>86</v>
      </c>
      <c r="B325" s="27">
        <v>108</v>
      </c>
      <c r="C325" s="28" t="s">
        <v>84</v>
      </c>
      <c r="D325" s="28" t="s">
        <v>53</v>
      </c>
      <c r="E325" s="27" t="s">
        <v>63</v>
      </c>
      <c r="F325" s="27">
        <v>15</v>
      </c>
      <c r="G325" s="31" t="str">
        <f>VLOOKUP(I325,'Names with Seat Code'!B:E,2)</f>
        <v>John</v>
      </c>
      <c r="H325" s="31" t="str">
        <f>VLOOKUP(I325,'Names with Seat Code'!B:E,4)</f>
        <v>Wiggins</v>
      </c>
      <c r="I325" s="25">
        <f>DIRECTIONS!$E$23+B325</f>
        <v>239</v>
      </c>
    </row>
    <row r="326" spans="1:9" ht="19.5" thickTop="1" thickBot="1" x14ac:dyDescent="0.3">
      <c r="A326" s="28" t="s">
        <v>86</v>
      </c>
      <c r="B326" s="27">
        <v>109</v>
      </c>
      <c r="C326" s="28" t="s">
        <v>84</v>
      </c>
      <c r="D326" s="28" t="s">
        <v>53</v>
      </c>
      <c r="E326" s="27" t="s">
        <v>63</v>
      </c>
      <c r="F326" s="27">
        <v>13</v>
      </c>
      <c r="G326" s="31" t="str">
        <f>VLOOKUP(I326,'Names with Seat Code'!B:E,2)</f>
        <v>Angela</v>
      </c>
      <c r="H326" s="31" t="str">
        <f>VLOOKUP(I326,'Names with Seat Code'!B:E,4)</f>
        <v>Wilder</v>
      </c>
      <c r="I326" s="25">
        <f>DIRECTIONS!$E$23+B326</f>
        <v>240</v>
      </c>
    </row>
    <row r="327" spans="1:9" ht="19.5" thickTop="1" thickBot="1" x14ac:dyDescent="0.3">
      <c r="A327" s="28" t="s">
        <v>86</v>
      </c>
      <c r="B327" s="27">
        <v>110</v>
      </c>
      <c r="C327" s="28" t="s">
        <v>84</v>
      </c>
      <c r="D327" s="28" t="s">
        <v>53</v>
      </c>
      <c r="E327" s="27" t="s">
        <v>63</v>
      </c>
      <c r="F327" s="27">
        <v>11</v>
      </c>
      <c r="G327" s="31" t="str">
        <f>VLOOKUP(I327,'Names with Seat Code'!B:E,2)</f>
        <v>Aidan</v>
      </c>
      <c r="H327" s="31" t="str">
        <f>VLOOKUP(I327,'Names with Seat Code'!B:E,4)</f>
        <v>Williams</v>
      </c>
      <c r="I327" s="25">
        <f>DIRECTIONS!$E$23+B327</f>
        <v>241</v>
      </c>
    </row>
    <row r="328" spans="1:9" ht="19.5" thickTop="1" thickBot="1" x14ac:dyDescent="0.3">
      <c r="A328" s="28" t="s">
        <v>86</v>
      </c>
      <c r="B328" s="27">
        <v>111</v>
      </c>
      <c r="C328" s="28" t="s">
        <v>84</v>
      </c>
      <c r="D328" s="28" t="s">
        <v>53</v>
      </c>
      <c r="E328" s="27" t="s">
        <v>63</v>
      </c>
      <c r="F328" s="27">
        <v>9</v>
      </c>
      <c r="G328" s="31" t="str">
        <f>VLOOKUP(I328,'Names with Seat Code'!B:E,2)</f>
        <v>Jamari</v>
      </c>
      <c r="H328" s="31" t="str">
        <f>VLOOKUP(I328,'Names with Seat Code'!B:E,4)</f>
        <v>Wright</v>
      </c>
      <c r="I328" s="25">
        <f>DIRECTIONS!$E$23+B328</f>
        <v>242</v>
      </c>
    </row>
    <row r="329" spans="1:9" ht="19.5" thickTop="1" thickBot="1" x14ac:dyDescent="0.3">
      <c r="A329" s="28" t="s">
        <v>86</v>
      </c>
      <c r="B329" s="27">
        <v>112</v>
      </c>
      <c r="C329" s="28" t="s">
        <v>84</v>
      </c>
      <c r="D329" s="28" t="s">
        <v>53</v>
      </c>
      <c r="E329" s="27" t="s">
        <v>63</v>
      </c>
      <c r="F329" s="27">
        <v>7</v>
      </c>
      <c r="G329" s="31" t="str">
        <f>VLOOKUP(I329,'Names with Seat Code'!B:E,2)</f>
        <v>Jared</v>
      </c>
      <c r="H329" s="31" t="str">
        <f>VLOOKUP(I329,'Names with Seat Code'!B:E,4)</f>
        <v>Wright</v>
      </c>
      <c r="I329" s="25">
        <f>DIRECTIONS!$E$23+B329</f>
        <v>243</v>
      </c>
    </row>
    <row r="330" spans="1:9" ht="19.5" thickTop="1" thickBot="1" x14ac:dyDescent="0.3">
      <c r="A330" s="28" t="s">
        <v>86</v>
      </c>
      <c r="B330" s="27">
        <v>113</v>
      </c>
      <c r="C330" s="28" t="s">
        <v>84</v>
      </c>
      <c r="D330" s="28" t="s">
        <v>53</v>
      </c>
      <c r="E330" s="27" t="s">
        <v>63</v>
      </c>
      <c r="F330" s="27">
        <v>5</v>
      </c>
      <c r="G330" s="31" t="str">
        <f>VLOOKUP(I330,'Names with Seat Code'!B:E,2)</f>
        <v>Quinn</v>
      </c>
      <c r="H330" s="31" t="str">
        <f>VLOOKUP(I330,'Names with Seat Code'!B:E,4)</f>
        <v>Yandle</v>
      </c>
      <c r="I330" s="25">
        <f>DIRECTIONS!$E$23+B330</f>
        <v>244</v>
      </c>
    </row>
    <row r="331" spans="1:9" ht="19.5" thickTop="1" thickBot="1" x14ac:dyDescent="0.3">
      <c r="A331" s="28" t="s">
        <v>86</v>
      </c>
      <c r="B331" s="27">
        <v>114</v>
      </c>
      <c r="C331" s="28" t="s">
        <v>84</v>
      </c>
      <c r="D331" s="28" t="s">
        <v>53</v>
      </c>
      <c r="E331" s="27" t="s">
        <v>63</v>
      </c>
      <c r="F331" s="27">
        <v>3</v>
      </c>
      <c r="G331" s="31" t="str">
        <f>VLOOKUP(I331,'Names with Seat Code'!B:E,2)</f>
        <v>John</v>
      </c>
      <c r="H331" s="31" t="str">
        <f>VLOOKUP(I331,'Names with Seat Code'!B:E,4)</f>
        <v>Zani</v>
      </c>
      <c r="I331" s="25">
        <f>DIRECTIONS!$E$23+B331</f>
        <v>245</v>
      </c>
    </row>
    <row r="332" spans="1:9" ht="19.5" thickTop="1" thickBot="1" x14ac:dyDescent="0.3">
      <c r="A332" s="28" t="s">
        <v>86</v>
      </c>
      <c r="B332" s="27">
        <v>115</v>
      </c>
      <c r="C332" s="28" t="s">
        <v>84</v>
      </c>
      <c r="D332" s="28" t="s">
        <v>53</v>
      </c>
      <c r="E332" s="27" t="s">
        <v>63</v>
      </c>
      <c r="F332" s="27">
        <v>1</v>
      </c>
      <c r="G332" s="31" t="str">
        <f>VLOOKUP(I332,'Names with Seat Code'!B:E,2)</f>
        <v>Jiayu</v>
      </c>
      <c r="H332" s="31" t="str">
        <f>VLOOKUP(I332,'Names with Seat Code'!B:E,4)</f>
        <v>Zheng</v>
      </c>
      <c r="I332" s="25">
        <f>DIRECTIONS!$E$23+B332</f>
        <v>246</v>
      </c>
    </row>
    <row r="333" spans="1:9" ht="19.5" thickTop="1" thickBot="1" x14ac:dyDescent="0.3">
      <c r="A333" s="28" t="s">
        <v>86</v>
      </c>
      <c r="B333" s="27">
        <v>116</v>
      </c>
      <c r="C333" s="28" t="s">
        <v>83</v>
      </c>
      <c r="D333" s="28" t="s">
        <v>85</v>
      </c>
      <c r="E333" s="27" t="s">
        <v>64</v>
      </c>
      <c r="F333" s="27">
        <v>109</v>
      </c>
      <c r="G333" s="31" t="str">
        <f>VLOOKUP(I333,'Names with Seat Code'!B:E,2)</f>
        <v>Jiayu</v>
      </c>
      <c r="H333" s="31" t="str">
        <f>VLOOKUP(I333,'Names with Seat Code'!B:E,4)</f>
        <v>Zheng</v>
      </c>
      <c r="I333" s="25">
        <f>DIRECTIONS!$E$23+B333</f>
        <v>247</v>
      </c>
    </row>
    <row r="334" spans="1:9" ht="19.5" thickTop="1" thickBot="1" x14ac:dyDescent="0.3">
      <c r="A334" s="28" t="s">
        <v>86</v>
      </c>
      <c r="B334" s="27">
        <v>117</v>
      </c>
      <c r="C334" s="28" t="s">
        <v>83</v>
      </c>
      <c r="D334" s="28" t="s">
        <v>85</v>
      </c>
      <c r="E334" s="27" t="s">
        <v>64</v>
      </c>
      <c r="F334" s="27">
        <v>110</v>
      </c>
      <c r="G334" s="31" t="str">
        <f>VLOOKUP(I334,'Names with Seat Code'!B:E,2)</f>
        <v>Jiayu</v>
      </c>
      <c r="H334" s="31" t="str">
        <f>VLOOKUP(I334,'Names with Seat Code'!B:E,4)</f>
        <v>Zheng</v>
      </c>
      <c r="I334" s="25">
        <f>DIRECTIONS!$E$23+B334</f>
        <v>248</v>
      </c>
    </row>
    <row r="335" spans="1:9" ht="19.5" thickTop="1" thickBot="1" x14ac:dyDescent="0.3">
      <c r="A335" s="28" t="s">
        <v>86</v>
      </c>
      <c r="B335" s="27">
        <v>118</v>
      </c>
      <c r="C335" s="28" t="s">
        <v>83</v>
      </c>
      <c r="D335" s="28" t="s">
        <v>85</v>
      </c>
      <c r="E335" s="27" t="s">
        <v>64</v>
      </c>
      <c r="F335" s="27">
        <v>111</v>
      </c>
      <c r="G335" s="31" t="str">
        <f>VLOOKUP(I335,'Names with Seat Code'!B:E,2)</f>
        <v>Jiayu</v>
      </c>
      <c r="H335" s="31" t="str">
        <f>VLOOKUP(I335,'Names with Seat Code'!B:E,4)</f>
        <v>Zheng</v>
      </c>
      <c r="I335" s="25">
        <f>DIRECTIONS!$E$23+B335</f>
        <v>249</v>
      </c>
    </row>
    <row r="336" spans="1:9" ht="19.5" thickTop="1" thickBot="1" x14ac:dyDescent="0.3">
      <c r="A336" s="28" t="s">
        <v>86</v>
      </c>
      <c r="B336" s="27">
        <v>119</v>
      </c>
      <c r="C336" s="28" t="s">
        <v>83</v>
      </c>
      <c r="D336" s="28" t="s">
        <v>85</v>
      </c>
      <c r="E336" s="27" t="s">
        <v>64</v>
      </c>
      <c r="F336" s="27">
        <v>112</v>
      </c>
      <c r="G336" s="31" t="str">
        <f>VLOOKUP(I336,'Names with Seat Code'!B:E,2)</f>
        <v>Jiayu</v>
      </c>
      <c r="H336" s="31" t="str">
        <f>VLOOKUP(I336,'Names with Seat Code'!B:E,4)</f>
        <v>Zheng</v>
      </c>
      <c r="I336" s="25">
        <f>DIRECTIONS!$E$23+B336</f>
        <v>250</v>
      </c>
    </row>
    <row r="337" spans="1:9" ht="19.5" thickTop="1" thickBot="1" x14ac:dyDescent="0.3">
      <c r="A337" s="28" t="s">
        <v>86</v>
      </c>
      <c r="B337" s="27">
        <v>120</v>
      </c>
      <c r="C337" s="28" t="s">
        <v>83</v>
      </c>
      <c r="D337" s="28" t="s">
        <v>85</v>
      </c>
      <c r="E337" s="27" t="s">
        <v>64</v>
      </c>
      <c r="F337" s="27">
        <v>113</v>
      </c>
      <c r="G337" s="31" t="str">
        <f>VLOOKUP(I337,'Names with Seat Code'!B:E,2)</f>
        <v>Jiayu</v>
      </c>
      <c r="H337" s="31" t="str">
        <f>VLOOKUP(I337,'Names with Seat Code'!B:E,4)</f>
        <v>Zheng</v>
      </c>
      <c r="I337" s="25">
        <f>DIRECTIONS!$E$23+B337</f>
        <v>251</v>
      </c>
    </row>
    <row r="338" spans="1:9" ht="19.5" thickTop="1" thickBot="1" x14ac:dyDescent="0.3">
      <c r="A338" s="28" t="s">
        <v>86</v>
      </c>
      <c r="B338" s="27">
        <v>121</v>
      </c>
      <c r="C338" s="28" t="s">
        <v>83</v>
      </c>
      <c r="D338" s="28" t="s">
        <v>85</v>
      </c>
      <c r="E338" s="27" t="s">
        <v>64</v>
      </c>
      <c r="F338" s="27">
        <v>114</v>
      </c>
      <c r="G338" s="31" t="str">
        <f>VLOOKUP(I338,'Names with Seat Code'!B:E,2)</f>
        <v>Jiayu</v>
      </c>
      <c r="H338" s="31" t="str">
        <f>VLOOKUP(I338,'Names with Seat Code'!B:E,4)</f>
        <v>Zheng</v>
      </c>
      <c r="I338" s="25">
        <f>DIRECTIONS!$E$23+B338</f>
        <v>252</v>
      </c>
    </row>
    <row r="339" spans="1:9" ht="19.5" thickTop="1" thickBot="1" x14ac:dyDescent="0.3">
      <c r="A339" s="28" t="s">
        <v>86</v>
      </c>
      <c r="B339" s="27">
        <v>122</v>
      </c>
      <c r="C339" s="28" t="s">
        <v>83</v>
      </c>
      <c r="D339" s="28" t="s">
        <v>85</v>
      </c>
      <c r="E339" s="27" t="s">
        <v>64</v>
      </c>
      <c r="F339" s="27">
        <v>115</v>
      </c>
      <c r="G339" s="31" t="str">
        <f>VLOOKUP(I339,'Names with Seat Code'!B:E,2)</f>
        <v>Jiayu</v>
      </c>
      <c r="H339" s="31" t="str">
        <f>VLOOKUP(I339,'Names with Seat Code'!B:E,4)</f>
        <v>Zheng</v>
      </c>
      <c r="I339" s="25">
        <f>DIRECTIONS!$E$23+B339</f>
        <v>253</v>
      </c>
    </row>
    <row r="340" spans="1:9" ht="19.5" thickTop="1" thickBot="1" x14ac:dyDescent="0.3">
      <c r="A340" s="28" t="s">
        <v>86</v>
      </c>
      <c r="B340" s="27">
        <v>123</v>
      </c>
      <c r="C340" s="28" t="s">
        <v>83</v>
      </c>
      <c r="D340" s="28" t="s">
        <v>85</v>
      </c>
      <c r="E340" s="27" t="s">
        <v>64</v>
      </c>
      <c r="F340" s="27">
        <v>116</v>
      </c>
      <c r="G340" s="31" t="str">
        <f>VLOOKUP(I340,'Names with Seat Code'!B:E,2)</f>
        <v>Jiayu</v>
      </c>
      <c r="H340" s="31" t="str">
        <f>VLOOKUP(I340,'Names with Seat Code'!B:E,4)</f>
        <v>Zheng</v>
      </c>
      <c r="I340" s="25">
        <f>DIRECTIONS!$E$23+B340</f>
        <v>254</v>
      </c>
    </row>
    <row r="341" spans="1:9" ht="19.5" thickTop="1" thickBot="1" x14ac:dyDescent="0.3">
      <c r="A341" s="28" t="s">
        <v>86</v>
      </c>
      <c r="B341" s="27">
        <v>124</v>
      </c>
      <c r="C341" s="28" t="s">
        <v>83</v>
      </c>
      <c r="D341" s="28" t="s">
        <v>85</v>
      </c>
      <c r="E341" s="27" t="s">
        <v>64</v>
      </c>
      <c r="F341" s="27">
        <v>117</v>
      </c>
      <c r="G341" s="31" t="str">
        <f>VLOOKUP(I341,'Names with Seat Code'!B:E,2)</f>
        <v>Jiayu</v>
      </c>
      <c r="H341" s="31" t="str">
        <f>VLOOKUP(I341,'Names with Seat Code'!B:E,4)</f>
        <v>Zheng</v>
      </c>
      <c r="I341" s="25">
        <f>DIRECTIONS!$E$23+B341</f>
        <v>255</v>
      </c>
    </row>
    <row r="342" spans="1:9" ht="19.5" thickTop="1" thickBot="1" x14ac:dyDescent="0.3">
      <c r="A342" s="28" t="s">
        <v>86</v>
      </c>
      <c r="B342" s="27">
        <v>125</v>
      </c>
      <c r="C342" s="28" t="s">
        <v>83</v>
      </c>
      <c r="D342" s="28" t="s">
        <v>85</v>
      </c>
      <c r="E342" s="27" t="s">
        <v>64</v>
      </c>
      <c r="F342" s="27">
        <v>118</v>
      </c>
      <c r="G342" s="31" t="str">
        <f>VLOOKUP(I342,'Names with Seat Code'!B:E,2)</f>
        <v>Jiayu</v>
      </c>
      <c r="H342" s="31" t="str">
        <f>VLOOKUP(I342,'Names with Seat Code'!B:E,4)</f>
        <v>Zheng</v>
      </c>
      <c r="I342" s="25">
        <f>DIRECTIONS!$E$23+B342</f>
        <v>256</v>
      </c>
    </row>
    <row r="343" spans="1:9" ht="19.5" thickTop="1" thickBot="1" x14ac:dyDescent="0.3">
      <c r="A343" s="28" t="s">
        <v>86</v>
      </c>
      <c r="B343" s="27">
        <v>126</v>
      </c>
      <c r="C343" s="28" t="s">
        <v>84</v>
      </c>
      <c r="D343" s="28" t="s">
        <v>53</v>
      </c>
      <c r="E343" s="27" t="s">
        <v>64</v>
      </c>
      <c r="F343" s="27">
        <v>15</v>
      </c>
      <c r="G343" s="31" t="str">
        <f>VLOOKUP(I343,'Names with Seat Code'!B:E,2)</f>
        <v>Jiayu</v>
      </c>
      <c r="H343" s="31" t="str">
        <f>VLOOKUP(I343,'Names with Seat Code'!B:E,4)</f>
        <v>Zheng</v>
      </c>
      <c r="I343" s="25">
        <f>DIRECTIONS!$E$23+B343</f>
        <v>257</v>
      </c>
    </row>
    <row r="344" spans="1:9" ht="19.5" thickTop="1" thickBot="1" x14ac:dyDescent="0.3">
      <c r="A344" s="28" t="s">
        <v>86</v>
      </c>
      <c r="B344" s="27">
        <v>127</v>
      </c>
      <c r="C344" s="28" t="s">
        <v>84</v>
      </c>
      <c r="D344" s="28" t="s">
        <v>53</v>
      </c>
      <c r="E344" s="27" t="s">
        <v>64</v>
      </c>
      <c r="F344" s="27">
        <v>13</v>
      </c>
      <c r="G344" s="31" t="str">
        <f>VLOOKUP(I344,'Names with Seat Code'!B:E,2)</f>
        <v>Jiayu</v>
      </c>
      <c r="H344" s="31" t="str">
        <f>VLOOKUP(I344,'Names with Seat Code'!B:E,4)</f>
        <v>Zheng</v>
      </c>
      <c r="I344" s="25">
        <f>DIRECTIONS!$E$23+B344</f>
        <v>258</v>
      </c>
    </row>
    <row r="345" spans="1:9" ht="19.5" thickTop="1" thickBot="1" x14ac:dyDescent="0.3">
      <c r="A345" s="28" t="s">
        <v>86</v>
      </c>
      <c r="B345" s="27">
        <v>128</v>
      </c>
      <c r="C345" s="28" t="s">
        <v>84</v>
      </c>
      <c r="D345" s="28" t="s">
        <v>53</v>
      </c>
      <c r="E345" s="27" t="s">
        <v>64</v>
      </c>
      <c r="F345" s="27">
        <v>11</v>
      </c>
      <c r="G345" s="31" t="str">
        <f>VLOOKUP(I345,'Names with Seat Code'!B:E,2)</f>
        <v>Jiayu</v>
      </c>
      <c r="H345" s="31" t="str">
        <f>VLOOKUP(I345,'Names with Seat Code'!B:E,4)</f>
        <v>Zheng</v>
      </c>
      <c r="I345" s="25">
        <f>DIRECTIONS!$E$23+B345</f>
        <v>259</v>
      </c>
    </row>
    <row r="346" spans="1:9" ht="19.5" thickTop="1" thickBot="1" x14ac:dyDescent="0.3">
      <c r="A346" s="28" t="s">
        <v>86</v>
      </c>
      <c r="B346" s="27">
        <v>129</v>
      </c>
      <c r="C346" s="28" t="s">
        <v>84</v>
      </c>
      <c r="D346" s="28" t="s">
        <v>53</v>
      </c>
      <c r="E346" s="27" t="s">
        <v>64</v>
      </c>
      <c r="F346" s="27">
        <v>9</v>
      </c>
      <c r="G346" s="31" t="str">
        <f>VLOOKUP(I346,'Names with Seat Code'!B:E,2)</f>
        <v>Jiayu</v>
      </c>
      <c r="H346" s="31" t="str">
        <f>VLOOKUP(I346,'Names with Seat Code'!B:E,4)</f>
        <v>Zheng</v>
      </c>
      <c r="I346" s="25">
        <f>DIRECTIONS!$E$23+B346</f>
        <v>260</v>
      </c>
    </row>
    <row r="347" spans="1:9" ht="19.5" thickTop="1" thickBot="1" x14ac:dyDescent="0.3">
      <c r="A347" s="28" t="s">
        <v>86</v>
      </c>
      <c r="B347" s="27">
        <v>130</v>
      </c>
      <c r="C347" s="28" t="s">
        <v>84</v>
      </c>
      <c r="D347" s="28" t="s">
        <v>53</v>
      </c>
      <c r="E347" s="27" t="s">
        <v>64</v>
      </c>
      <c r="F347" s="27">
        <v>7</v>
      </c>
      <c r="G347" s="31" t="str">
        <f>VLOOKUP(I347,'Names with Seat Code'!B:E,2)</f>
        <v>Jiayu</v>
      </c>
      <c r="H347" s="31" t="str">
        <f>VLOOKUP(I347,'Names with Seat Code'!B:E,4)</f>
        <v>Zheng</v>
      </c>
      <c r="I347" s="25">
        <f>DIRECTIONS!$E$23+B347</f>
        <v>261</v>
      </c>
    </row>
    <row r="348" spans="1:9" ht="19.5" thickTop="1" thickBot="1" x14ac:dyDescent="0.3">
      <c r="A348" s="28" t="s">
        <v>86</v>
      </c>
      <c r="B348" s="27">
        <v>131</v>
      </c>
      <c r="C348" s="28" t="s">
        <v>84</v>
      </c>
      <c r="D348" s="28" t="s">
        <v>53</v>
      </c>
      <c r="E348" s="27" t="s">
        <v>64</v>
      </c>
      <c r="F348" s="27">
        <v>5</v>
      </c>
      <c r="G348" s="31" t="str">
        <f>VLOOKUP(I348,'Names with Seat Code'!B:E,2)</f>
        <v>Jiayu</v>
      </c>
      <c r="H348" s="31" t="str">
        <f>VLOOKUP(I348,'Names with Seat Code'!B:E,4)</f>
        <v>Zheng</v>
      </c>
      <c r="I348" s="25">
        <f>DIRECTIONS!$E$23+B348</f>
        <v>262</v>
      </c>
    </row>
    <row r="349" spans="1:9" ht="19.5" thickTop="1" thickBot="1" x14ac:dyDescent="0.3">
      <c r="A349" s="28" t="s">
        <v>86</v>
      </c>
      <c r="B349" s="27">
        <v>132</v>
      </c>
      <c r="C349" s="28" t="s">
        <v>84</v>
      </c>
      <c r="D349" s="28" t="s">
        <v>53</v>
      </c>
      <c r="E349" s="27" t="s">
        <v>64</v>
      </c>
      <c r="F349" s="27">
        <v>3</v>
      </c>
      <c r="G349" s="31" t="str">
        <f>VLOOKUP(I349,'Names with Seat Code'!B:E,2)</f>
        <v>Jiayu</v>
      </c>
      <c r="H349" s="31" t="str">
        <f>VLOOKUP(I349,'Names with Seat Code'!B:E,4)</f>
        <v>Zheng</v>
      </c>
      <c r="I349" s="25">
        <f>DIRECTIONS!$E$23+B349</f>
        <v>263</v>
      </c>
    </row>
    <row r="350" spans="1:9" ht="19.5" thickTop="1" thickBot="1" x14ac:dyDescent="0.3">
      <c r="A350" s="28" t="s">
        <v>86</v>
      </c>
      <c r="B350" s="27">
        <v>133</v>
      </c>
      <c r="C350" s="28" t="s">
        <v>84</v>
      </c>
      <c r="D350" s="28" t="s">
        <v>53</v>
      </c>
      <c r="E350" s="27" t="s">
        <v>64</v>
      </c>
      <c r="F350" s="27">
        <v>1</v>
      </c>
      <c r="G350" s="31" t="str">
        <f>VLOOKUP(I350,'Names with Seat Code'!B:E,2)</f>
        <v>Jiayu</v>
      </c>
      <c r="H350" s="31" t="str">
        <f>VLOOKUP(I350,'Names with Seat Code'!B:E,4)</f>
        <v>Zheng</v>
      </c>
      <c r="I350" s="25">
        <f>DIRECTIONS!$E$23+B350</f>
        <v>264</v>
      </c>
    </row>
    <row r="351" spans="1:9" ht="19.5" thickTop="1" thickBot="1" x14ac:dyDescent="0.3">
      <c r="A351" s="28" t="s">
        <v>86</v>
      </c>
      <c r="B351" s="27">
        <v>134</v>
      </c>
      <c r="C351" s="28" t="s">
        <v>83</v>
      </c>
      <c r="D351" s="28" t="s">
        <v>85</v>
      </c>
      <c r="E351" s="27" t="s">
        <v>66</v>
      </c>
      <c r="F351" s="27">
        <v>109</v>
      </c>
      <c r="G351" s="31" t="str">
        <f>VLOOKUP(I351,'Names with Seat Code'!B:E,2)</f>
        <v>Jiayu</v>
      </c>
      <c r="H351" s="31" t="str">
        <f>VLOOKUP(I351,'Names with Seat Code'!B:E,4)</f>
        <v>Zheng</v>
      </c>
      <c r="I351" s="25">
        <f>DIRECTIONS!$E$23+B351</f>
        <v>265</v>
      </c>
    </row>
    <row r="352" spans="1:9" ht="19.5" thickTop="1" thickBot="1" x14ac:dyDescent="0.3">
      <c r="A352" s="28" t="s">
        <v>86</v>
      </c>
      <c r="B352" s="27">
        <v>135</v>
      </c>
      <c r="C352" s="28" t="s">
        <v>83</v>
      </c>
      <c r="D352" s="28" t="s">
        <v>85</v>
      </c>
      <c r="E352" s="27" t="s">
        <v>66</v>
      </c>
      <c r="F352" s="27">
        <v>110</v>
      </c>
      <c r="G352" s="31" t="str">
        <f>VLOOKUP(I352,'Names with Seat Code'!B:E,2)</f>
        <v>Jiayu</v>
      </c>
      <c r="H352" s="31" t="str">
        <f>VLOOKUP(I352,'Names with Seat Code'!B:E,4)</f>
        <v>Zheng</v>
      </c>
      <c r="I352" s="25">
        <f>DIRECTIONS!$E$23+B352</f>
        <v>266</v>
      </c>
    </row>
    <row r="353" spans="1:9" ht="19.5" thickTop="1" thickBot="1" x14ac:dyDescent="0.3">
      <c r="A353" s="28" t="s">
        <v>86</v>
      </c>
      <c r="B353" s="27">
        <v>136</v>
      </c>
      <c r="C353" s="28" t="s">
        <v>83</v>
      </c>
      <c r="D353" s="28" t="s">
        <v>85</v>
      </c>
      <c r="E353" s="27" t="s">
        <v>66</v>
      </c>
      <c r="F353" s="27">
        <v>111</v>
      </c>
      <c r="G353" s="31" t="str">
        <f>VLOOKUP(I353,'Names with Seat Code'!B:E,2)</f>
        <v>Jiayu</v>
      </c>
      <c r="H353" s="31" t="str">
        <f>VLOOKUP(I353,'Names with Seat Code'!B:E,4)</f>
        <v>Zheng</v>
      </c>
      <c r="I353" s="25">
        <f>DIRECTIONS!$E$23+B353</f>
        <v>267</v>
      </c>
    </row>
    <row r="354" spans="1:9" ht="19.5" thickTop="1" thickBot="1" x14ac:dyDescent="0.3">
      <c r="A354" s="28" t="s">
        <v>86</v>
      </c>
      <c r="B354" s="27">
        <v>137</v>
      </c>
      <c r="C354" s="28" t="s">
        <v>83</v>
      </c>
      <c r="D354" s="28" t="s">
        <v>85</v>
      </c>
      <c r="E354" s="27" t="s">
        <v>66</v>
      </c>
      <c r="F354" s="27">
        <v>112</v>
      </c>
      <c r="G354" s="31" t="str">
        <f>VLOOKUP(I354,'Names with Seat Code'!B:E,2)</f>
        <v>Jiayu</v>
      </c>
      <c r="H354" s="31" t="str">
        <f>VLOOKUP(I354,'Names with Seat Code'!B:E,4)</f>
        <v>Zheng</v>
      </c>
      <c r="I354" s="25">
        <f>DIRECTIONS!$E$23+B354</f>
        <v>268</v>
      </c>
    </row>
    <row r="355" spans="1:9" ht="19.5" thickTop="1" thickBot="1" x14ac:dyDescent="0.3">
      <c r="A355" s="28" t="s">
        <v>86</v>
      </c>
      <c r="B355" s="27">
        <v>138</v>
      </c>
      <c r="C355" s="28" t="s">
        <v>83</v>
      </c>
      <c r="D355" s="28" t="s">
        <v>85</v>
      </c>
      <c r="E355" s="27" t="s">
        <v>66</v>
      </c>
      <c r="F355" s="27">
        <v>113</v>
      </c>
      <c r="G355" s="31" t="str">
        <f>VLOOKUP(I355,'Names with Seat Code'!B:E,2)</f>
        <v>Jiayu</v>
      </c>
      <c r="H355" s="31" t="str">
        <f>VLOOKUP(I355,'Names with Seat Code'!B:E,4)</f>
        <v>Zheng</v>
      </c>
      <c r="I355" s="25">
        <f>DIRECTIONS!$E$23+B355</f>
        <v>269</v>
      </c>
    </row>
    <row r="356" spans="1:9" ht="19.5" thickTop="1" thickBot="1" x14ac:dyDescent="0.3">
      <c r="A356" s="28" t="s">
        <v>86</v>
      </c>
      <c r="B356" s="27">
        <v>139</v>
      </c>
      <c r="C356" s="28" t="s">
        <v>83</v>
      </c>
      <c r="D356" s="28" t="s">
        <v>85</v>
      </c>
      <c r="E356" s="27" t="s">
        <v>66</v>
      </c>
      <c r="F356" s="27">
        <v>114</v>
      </c>
      <c r="G356" s="31" t="str">
        <f>VLOOKUP(I356,'Names with Seat Code'!B:E,2)</f>
        <v>Jiayu</v>
      </c>
      <c r="H356" s="31" t="str">
        <f>VLOOKUP(I356,'Names with Seat Code'!B:E,4)</f>
        <v>Zheng</v>
      </c>
      <c r="I356" s="25">
        <f>DIRECTIONS!$E$23+B356</f>
        <v>270</v>
      </c>
    </row>
    <row r="357" spans="1:9" ht="19.5" thickTop="1" thickBot="1" x14ac:dyDescent="0.3">
      <c r="A357" s="28" t="s">
        <v>86</v>
      </c>
      <c r="B357" s="27">
        <v>140</v>
      </c>
      <c r="C357" s="28" t="s">
        <v>83</v>
      </c>
      <c r="D357" s="28" t="s">
        <v>85</v>
      </c>
      <c r="E357" s="27" t="s">
        <v>66</v>
      </c>
      <c r="F357" s="27">
        <v>115</v>
      </c>
      <c r="G357" s="31" t="str">
        <f>VLOOKUP(I357,'Names with Seat Code'!B:E,2)</f>
        <v>Jiayu</v>
      </c>
      <c r="H357" s="31" t="str">
        <f>VLOOKUP(I357,'Names with Seat Code'!B:E,4)</f>
        <v>Zheng</v>
      </c>
      <c r="I357" s="25">
        <f>DIRECTIONS!$E$23+B357</f>
        <v>271</v>
      </c>
    </row>
    <row r="358" spans="1:9" ht="19.5" thickTop="1" thickBot="1" x14ac:dyDescent="0.3">
      <c r="A358" s="28" t="s">
        <v>86</v>
      </c>
      <c r="B358" s="27">
        <v>141</v>
      </c>
      <c r="C358" s="28" t="s">
        <v>83</v>
      </c>
      <c r="D358" s="28" t="s">
        <v>85</v>
      </c>
      <c r="E358" s="27" t="s">
        <v>66</v>
      </c>
      <c r="F358" s="27">
        <v>116</v>
      </c>
      <c r="G358" s="31" t="str">
        <f>VLOOKUP(I358,'Names with Seat Code'!B:E,2)</f>
        <v>Jiayu</v>
      </c>
      <c r="H358" s="31" t="str">
        <f>VLOOKUP(I358,'Names with Seat Code'!B:E,4)</f>
        <v>Zheng</v>
      </c>
      <c r="I358" s="25">
        <f>DIRECTIONS!$E$23+B358</f>
        <v>272</v>
      </c>
    </row>
    <row r="359" spans="1:9" ht="19.5" thickTop="1" thickBot="1" x14ac:dyDescent="0.3">
      <c r="A359" s="28" t="s">
        <v>86</v>
      </c>
      <c r="B359" s="27">
        <v>142</v>
      </c>
      <c r="C359" s="28" t="s">
        <v>83</v>
      </c>
      <c r="D359" s="28" t="s">
        <v>85</v>
      </c>
      <c r="E359" s="27" t="s">
        <v>66</v>
      </c>
      <c r="F359" s="27">
        <v>117</v>
      </c>
      <c r="G359" s="31" t="str">
        <f>VLOOKUP(I359,'Names with Seat Code'!B:E,2)</f>
        <v>Jiayu</v>
      </c>
      <c r="H359" s="31" t="str">
        <f>VLOOKUP(I359,'Names with Seat Code'!B:E,4)</f>
        <v>Zheng</v>
      </c>
      <c r="I359" s="25">
        <f>DIRECTIONS!$E$23+B359</f>
        <v>273</v>
      </c>
    </row>
    <row r="360" spans="1:9" ht="19.5" thickTop="1" thickBot="1" x14ac:dyDescent="0.3">
      <c r="A360" s="28" t="s">
        <v>86</v>
      </c>
      <c r="B360" s="27">
        <v>143</v>
      </c>
      <c r="C360" s="28" t="s">
        <v>83</v>
      </c>
      <c r="D360" s="28" t="s">
        <v>85</v>
      </c>
      <c r="E360" s="27" t="s">
        <v>66</v>
      </c>
      <c r="F360" s="27">
        <v>118</v>
      </c>
      <c r="G360" s="31" t="str">
        <f>VLOOKUP(I360,'Names with Seat Code'!B:E,2)</f>
        <v>Jiayu</v>
      </c>
      <c r="H360" s="31" t="str">
        <f>VLOOKUP(I360,'Names with Seat Code'!B:E,4)</f>
        <v>Zheng</v>
      </c>
      <c r="I360" s="25">
        <f>DIRECTIONS!$E$23+B360</f>
        <v>274</v>
      </c>
    </row>
    <row r="361" spans="1:9" ht="19.5" thickTop="1" thickBot="1" x14ac:dyDescent="0.3">
      <c r="A361" s="28" t="s">
        <v>86</v>
      </c>
      <c r="B361" s="27">
        <v>144</v>
      </c>
      <c r="C361" s="28" t="s">
        <v>84</v>
      </c>
      <c r="D361" s="28" t="s">
        <v>53</v>
      </c>
      <c r="E361" s="27" t="s">
        <v>66</v>
      </c>
      <c r="F361" s="27">
        <v>15</v>
      </c>
      <c r="G361" s="31" t="str">
        <f>VLOOKUP(I361,'Names with Seat Code'!B:E,2)</f>
        <v>Jiayu</v>
      </c>
      <c r="H361" s="31" t="str">
        <f>VLOOKUP(I361,'Names with Seat Code'!B:E,4)</f>
        <v>Zheng</v>
      </c>
      <c r="I361" s="25">
        <f>DIRECTIONS!$E$23+B361</f>
        <v>275</v>
      </c>
    </row>
    <row r="362" spans="1:9" ht="19.5" thickTop="1" thickBot="1" x14ac:dyDescent="0.3">
      <c r="A362" s="28" t="s">
        <v>86</v>
      </c>
      <c r="B362" s="27">
        <v>145</v>
      </c>
      <c r="C362" s="28" t="s">
        <v>84</v>
      </c>
      <c r="D362" s="28" t="s">
        <v>53</v>
      </c>
      <c r="E362" s="27" t="s">
        <v>66</v>
      </c>
      <c r="F362" s="27">
        <v>13</v>
      </c>
      <c r="G362" s="31" t="str">
        <f>VLOOKUP(I362,'Names with Seat Code'!B:E,2)</f>
        <v>Jiayu</v>
      </c>
      <c r="H362" s="31" t="str">
        <f>VLOOKUP(I362,'Names with Seat Code'!B:E,4)</f>
        <v>Zheng</v>
      </c>
      <c r="I362" s="25">
        <f>DIRECTIONS!$E$23+B362</f>
        <v>276</v>
      </c>
    </row>
    <row r="363" spans="1:9" ht="19.5" thickTop="1" thickBot="1" x14ac:dyDescent="0.3">
      <c r="A363" s="28" t="s">
        <v>86</v>
      </c>
      <c r="B363" s="27">
        <v>146</v>
      </c>
      <c r="C363" s="28" t="s">
        <v>84</v>
      </c>
      <c r="D363" s="28" t="s">
        <v>53</v>
      </c>
      <c r="E363" s="27" t="s">
        <v>66</v>
      </c>
      <c r="F363" s="27">
        <v>11</v>
      </c>
      <c r="G363" s="31" t="str">
        <f>VLOOKUP(I363,'Names with Seat Code'!B:E,2)</f>
        <v>Jiayu</v>
      </c>
      <c r="H363" s="31" t="str">
        <f>VLOOKUP(I363,'Names with Seat Code'!B:E,4)</f>
        <v>Zheng</v>
      </c>
      <c r="I363" s="25">
        <f>DIRECTIONS!$E$23+B363</f>
        <v>277</v>
      </c>
    </row>
    <row r="364" spans="1:9" ht="19.5" thickTop="1" thickBot="1" x14ac:dyDescent="0.3">
      <c r="A364" s="28" t="s">
        <v>86</v>
      </c>
      <c r="B364" s="27">
        <v>147</v>
      </c>
      <c r="C364" s="28" t="s">
        <v>84</v>
      </c>
      <c r="D364" s="28" t="s">
        <v>53</v>
      </c>
      <c r="E364" s="27" t="s">
        <v>66</v>
      </c>
      <c r="F364" s="27">
        <v>9</v>
      </c>
      <c r="G364" s="31" t="str">
        <f>VLOOKUP(I364,'Names with Seat Code'!B:E,2)</f>
        <v>Jiayu</v>
      </c>
      <c r="H364" s="31" t="str">
        <f>VLOOKUP(I364,'Names with Seat Code'!B:E,4)</f>
        <v>Zheng</v>
      </c>
      <c r="I364" s="25">
        <f>DIRECTIONS!$E$23+B364</f>
        <v>278</v>
      </c>
    </row>
    <row r="365" spans="1:9" ht="19.5" thickTop="1" thickBot="1" x14ac:dyDescent="0.3">
      <c r="A365" s="28" t="s">
        <v>86</v>
      </c>
      <c r="B365" s="27">
        <v>148</v>
      </c>
      <c r="C365" s="28" t="s">
        <v>84</v>
      </c>
      <c r="D365" s="28" t="s">
        <v>53</v>
      </c>
      <c r="E365" s="27" t="s">
        <v>66</v>
      </c>
      <c r="F365" s="27">
        <v>7</v>
      </c>
      <c r="G365" s="31" t="str">
        <f>VLOOKUP(I365,'Names with Seat Code'!B:E,2)</f>
        <v>Jiayu</v>
      </c>
      <c r="H365" s="31" t="str">
        <f>VLOOKUP(I365,'Names with Seat Code'!B:E,4)</f>
        <v>Zheng</v>
      </c>
      <c r="I365" s="25">
        <f>DIRECTIONS!$E$23+B365</f>
        <v>279</v>
      </c>
    </row>
    <row r="366" spans="1:9" ht="19.5" thickTop="1" thickBot="1" x14ac:dyDescent="0.3">
      <c r="A366" s="28" t="s">
        <v>86</v>
      </c>
      <c r="B366" s="27">
        <v>149</v>
      </c>
      <c r="C366" s="28" t="s">
        <v>84</v>
      </c>
      <c r="D366" s="28" t="s">
        <v>53</v>
      </c>
      <c r="E366" s="27" t="s">
        <v>66</v>
      </c>
      <c r="F366" s="27">
        <v>5</v>
      </c>
      <c r="G366" s="31" t="str">
        <f>VLOOKUP(I366,'Names with Seat Code'!B:E,2)</f>
        <v>Jiayu</v>
      </c>
      <c r="H366" s="31" t="str">
        <f>VLOOKUP(I366,'Names with Seat Code'!B:E,4)</f>
        <v>Zheng</v>
      </c>
      <c r="I366" s="25">
        <f>DIRECTIONS!$E$23+B366</f>
        <v>280</v>
      </c>
    </row>
    <row r="367" spans="1:9" ht="19.5" thickTop="1" thickBot="1" x14ac:dyDescent="0.3">
      <c r="A367" s="28" t="s">
        <v>86</v>
      </c>
      <c r="B367" s="27">
        <v>150</v>
      </c>
      <c r="C367" s="28" t="s">
        <v>84</v>
      </c>
      <c r="D367" s="28" t="s">
        <v>53</v>
      </c>
      <c r="E367" s="27" t="s">
        <v>66</v>
      </c>
      <c r="F367" s="27">
        <v>3</v>
      </c>
      <c r="G367" s="31" t="str">
        <f>VLOOKUP(I367,'Names with Seat Code'!B:E,2)</f>
        <v>Jiayu</v>
      </c>
      <c r="H367" s="31" t="str">
        <f>VLOOKUP(I367,'Names with Seat Code'!B:E,4)</f>
        <v>Zheng</v>
      </c>
      <c r="I367" s="25">
        <f>DIRECTIONS!$E$23+B367</f>
        <v>281</v>
      </c>
    </row>
    <row r="368" spans="1:9" ht="19.5" thickTop="1" thickBot="1" x14ac:dyDescent="0.3">
      <c r="A368" s="28" t="s">
        <v>86</v>
      </c>
      <c r="B368" s="27">
        <v>151</v>
      </c>
      <c r="C368" s="28" t="s">
        <v>84</v>
      </c>
      <c r="D368" s="28" t="s">
        <v>53</v>
      </c>
      <c r="E368" s="27" t="s">
        <v>66</v>
      </c>
      <c r="F368" s="27">
        <v>1</v>
      </c>
      <c r="G368" s="31" t="str">
        <f>VLOOKUP(I368,'Names with Seat Code'!B:E,2)</f>
        <v>Jiayu</v>
      </c>
      <c r="H368" s="31" t="str">
        <f>VLOOKUP(I368,'Names with Seat Code'!B:E,4)</f>
        <v>Zheng</v>
      </c>
      <c r="I368" s="25">
        <f>DIRECTIONS!$E$23+B368</f>
        <v>282</v>
      </c>
    </row>
    <row r="369" spans="1:9" ht="19.5" thickTop="1" thickBot="1" x14ac:dyDescent="0.3">
      <c r="A369" s="28" t="s">
        <v>86</v>
      </c>
      <c r="B369" s="27">
        <v>152</v>
      </c>
      <c r="C369" s="28" t="s">
        <v>83</v>
      </c>
      <c r="D369" s="28" t="s">
        <v>85</v>
      </c>
      <c r="E369" s="27" t="s">
        <v>67</v>
      </c>
      <c r="F369" s="27">
        <v>109</v>
      </c>
      <c r="G369" s="31" t="str">
        <f>VLOOKUP(I369,'Names with Seat Code'!B:E,2)</f>
        <v>Jiayu</v>
      </c>
      <c r="H369" s="31" t="str">
        <f>VLOOKUP(I369,'Names with Seat Code'!B:E,4)</f>
        <v>Zheng</v>
      </c>
      <c r="I369" s="25">
        <f>DIRECTIONS!$E$23+B369</f>
        <v>283</v>
      </c>
    </row>
    <row r="370" spans="1:9" ht="19.5" thickTop="1" thickBot="1" x14ac:dyDescent="0.3">
      <c r="A370" s="28" t="s">
        <v>86</v>
      </c>
      <c r="B370" s="27">
        <v>153</v>
      </c>
      <c r="C370" s="28" t="s">
        <v>83</v>
      </c>
      <c r="D370" s="28" t="s">
        <v>85</v>
      </c>
      <c r="E370" s="27" t="s">
        <v>67</v>
      </c>
      <c r="F370" s="27">
        <v>110</v>
      </c>
      <c r="G370" s="31" t="str">
        <f>VLOOKUP(I370,'Names with Seat Code'!B:E,2)</f>
        <v>Jiayu</v>
      </c>
      <c r="H370" s="31" t="str">
        <f>VLOOKUP(I370,'Names with Seat Code'!B:E,4)</f>
        <v>Zheng</v>
      </c>
      <c r="I370" s="25">
        <f>DIRECTIONS!$E$23+B370</f>
        <v>284</v>
      </c>
    </row>
    <row r="371" spans="1:9" ht="19.5" thickTop="1" thickBot="1" x14ac:dyDescent="0.3">
      <c r="A371" s="28" t="s">
        <v>86</v>
      </c>
      <c r="B371" s="27">
        <v>154</v>
      </c>
      <c r="C371" s="28" t="s">
        <v>83</v>
      </c>
      <c r="D371" s="28" t="s">
        <v>85</v>
      </c>
      <c r="E371" s="27" t="s">
        <v>67</v>
      </c>
      <c r="F371" s="27">
        <v>111</v>
      </c>
      <c r="G371" s="31" t="str">
        <f>VLOOKUP(I371,'Names with Seat Code'!B:E,2)</f>
        <v>Jiayu</v>
      </c>
      <c r="H371" s="31" t="str">
        <f>VLOOKUP(I371,'Names with Seat Code'!B:E,4)</f>
        <v>Zheng</v>
      </c>
      <c r="I371" s="25">
        <f>DIRECTIONS!$E$23+B371</f>
        <v>285</v>
      </c>
    </row>
    <row r="372" spans="1:9" ht="19.5" thickTop="1" thickBot="1" x14ac:dyDescent="0.3">
      <c r="A372" s="28" t="s">
        <v>86</v>
      </c>
      <c r="B372" s="27">
        <v>155</v>
      </c>
      <c r="C372" s="28" t="s">
        <v>83</v>
      </c>
      <c r="D372" s="28" t="s">
        <v>85</v>
      </c>
      <c r="E372" s="27" t="s">
        <v>67</v>
      </c>
      <c r="F372" s="27">
        <v>112</v>
      </c>
      <c r="G372" s="31" t="str">
        <f>VLOOKUP(I372,'Names with Seat Code'!B:E,2)</f>
        <v>Jiayu</v>
      </c>
      <c r="H372" s="31" t="str">
        <f>VLOOKUP(I372,'Names with Seat Code'!B:E,4)</f>
        <v>Zheng</v>
      </c>
      <c r="I372" s="25">
        <f>DIRECTIONS!$E$23+B372</f>
        <v>286</v>
      </c>
    </row>
    <row r="373" spans="1:9" ht="19.5" thickTop="1" thickBot="1" x14ac:dyDescent="0.3">
      <c r="A373" s="28" t="s">
        <v>86</v>
      </c>
      <c r="B373" s="27">
        <v>156</v>
      </c>
      <c r="C373" s="28" t="s">
        <v>83</v>
      </c>
      <c r="D373" s="28" t="s">
        <v>85</v>
      </c>
      <c r="E373" s="27" t="s">
        <v>67</v>
      </c>
      <c r="F373" s="27">
        <v>113</v>
      </c>
      <c r="G373" s="31" t="str">
        <f>VLOOKUP(I373,'Names with Seat Code'!B:E,2)</f>
        <v>Jiayu</v>
      </c>
      <c r="H373" s="31" t="str">
        <f>VLOOKUP(I373,'Names with Seat Code'!B:E,4)</f>
        <v>Zheng</v>
      </c>
      <c r="I373" s="25">
        <f>DIRECTIONS!$E$23+B373</f>
        <v>287</v>
      </c>
    </row>
    <row r="374" spans="1:9" ht="19.5" thickTop="1" thickBot="1" x14ac:dyDescent="0.3">
      <c r="A374" s="28" t="s">
        <v>86</v>
      </c>
      <c r="B374" s="27">
        <v>157</v>
      </c>
      <c r="C374" s="28" t="s">
        <v>83</v>
      </c>
      <c r="D374" s="28" t="s">
        <v>85</v>
      </c>
      <c r="E374" s="27" t="s">
        <v>67</v>
      </c>
      <c r="F374" s="27">
        <v>114</v>
      </c>
      <c r="G374" s="31" t="str">
        <f>VLOOKUP(I374,'Names with Seat Code'!B:E,2)</f>
        <v>Jiayu</v>
      </c>
      <c r="H374" s="31" t="str">
        <f>VLOOKUP(I374,'Names with Seat Code'!B:E,4)</f>
        <v>Zheng</v>
      </c>
      <c r="I374" s="25">
        <f>DIRECTIONS!$E$23+B374</f>
        <v>288</v>
      </c>
    </row>
    <row r="375" spans="1:9" ht="19.5" thickTop="1" thickBot="1" x14ac:dyDescent="0.3">
      <c r="A375" s="28" t="s">
        <v>86</v>
      </c>
      <c r="B375" s="27">
        <v>158</v>
      </c>
      <c r="C375" s="28" t="s">
        <v>83</v>
      </c>
      <c r="D375" s="28" t="s">
        <v>85</v>
      </c>
      <c r="E375" s="27" t="s">
        <v>67</v>
      </c>
      <c r="F375" s="27">
        <v>115</v>
      </c>
      <c r="G375" s="31" t="str">
        <f>VLOOKUP(I375,'Names with Seat Code'!B:E,2)</f>
        <v>Jiayu</v>
      </c>
      <c r="H375" s="31" t="str">
        <f>VLOOKUP(I375,'Names with Seat Code'!B:E,4)</f>
        <v>Zheng</v>
      </c>
      <c r="I375" s="25">
        <f>DIRECTIONS!$E$23+B375</f>
        <v>289</v>
      </c>
    </row>
    <row r="376" spans="1:9" ht="19.5" thickTop="1" thickBot="1" x14ac:dyDescent="0.3">
      <c r="A376" s="28" t="s">
        <v>86</v>
      </c>
      <c r="B376" s="27">
        <v>159</v>
      </c>
      <c r="C376" s="28" t="s">
        <v>83</v>
      </c>
      <c r="D376" s="28" t="s">
        <v>85</v>
      </c>
      <c r="E376" s="27" t="s">
        <v>67</v>
      </c>
      <c r="F376" s="27">
        <v>116</v>
      </c>
      <c r="G376" s="31" t="str">
        <f>VLOOKUP(I376,'Names with Seat Code'!B:E,2)</f>
        <v>Jiayu</v>
      </c>
      <c r="H376" s="31" t="str">
        <f>VLOOKUP(I376,'Names with Seat Code'!B:E,4)</f>
        <v>Zheng</v>
      </c>
      <c r="I376" s="25">
        <f>DIRECTIONS!$E$23+B376</f>
        <v>290</v>
      </c>
    </row>
    <row r="377" spans="1:9" ht="19.5" thickTop="1" thickBot="1" x14ac:dyDescent="0.3">
      <c r="A377" s="28" t="s">
        <v>86</v>
      </c>
      <c r="B377" s="27">
        <v>160</v>
      </c>
      <c r="C377" s="28" t="s">
        <v>83</v>
      </c>
      <c r="D377" s="28" t="s">
        <v>85</v>
      </c>
      <c r="E377" s="27" t="s">
        <v>67</v>
      </c>
      <c r="F377" s="27">
        <v>117</v>
      </c>
      <c r="G377" s="31" t="str">
        <f>VLOOKUP(I377,'Names with Seat Code'!B:E,2)</f>
        <v>Jiayu</v>
      </c>
      <c r="H377" s="31" t="str">
        <f>VLOOKUP(I377,'Names with Seat Code'!B:E,4)</f>
        <v>Zheng</v>
      </c>
      <c r="I377" s="25">
        <f>DIRECTIONS!$E$23+B377</f>
        <v>291</v>
      </c>
    </row>
    <row r="378" spans="1:9" ht="19.5" thickTop="1" thickBot="1" x14ac:dyDescent="0.3">
      <c r="A378" s="28" t="s">
        <v>86</v>
      </c>
      <c r="B378" s="27">
        <v>161</v>
      </c>
      <c r="C378" s="28" t="s">
        <v>83</v>
      </c>
      <c r="D378" s="28" t="s">
        <v>85</v>
      </c>
      <c r="E378" s="27" t="s">
        <v>67</v>
      </c>
      <c r="F378" s="27">
        <v>118</v>
      </c>
      <c r="G378" s="31" t="str">
        <f>VLOOKUP(I378,'Names with Seat Code'!B:E,2)</f>
        <v>Jiayu</v>
      </c>
      <c r="H378" s="31" t="str">
        <f>VLOOKUP(I378,'Names with Seat Code'!B:E,4)</f>
        <v>Zheng</v>
      </c>
      <c r="I378" s="25">
        <f>DIRECTIONS!$E$23+B378</f>
        <v>292</v>
      </c>
    </row>
    <row r="379" spans="1:9" ht="19.5" thickTop="1" thickBot="1" x14ac:dyDescent="0.3">
      <c r="A379" s="28" t="s">
        <v>86</v>
      </c>
      <c r="B379" s="27">
        <v>162</v>
      </c>
      <c r="C379" s="28" t="s">
        <v>83</v>
      </c>
      <c r="D379" s="28" t="s">
        <v>85</v>
      </c>
      <c r="E379" s="27" t="s">
        <v>67</v>
      </c>
      <c r="F379" s="27">
        <v>119</v>
      </c>
      <c r="G379" s="31" t="str">
        <f>VLOOKUP(I379,'Names with Seat Code'!B:E,2)</f>
        <v>Jiayu</v>
      </c>
      <c r="H379" s="31" t="str">
        <f>VLOOKUP(I379,'Names with Seat Code'!B:E,4)</f>
        <v>Zheng</v>
      </c>
      <c r="I379" s="25">
        <f>DIRECTIONS!$E$23+B379</f>
        <v>293</v>
      </c>
    </row>
    <row r="380" spans="1:9" ht="19.5" thickTop="1" thickBot="1" x14ac:dyDescent="0.3">
      <c r="A380" s="28" t="s">
        <v>86</v>
      </c>
      <c r="B380" s="27">
        <v>163</v>
      </c>
      <c r="C380" s="28" t="s">
        <v>84</v>
      </c>
      <c r="D380" s="28" t="s">
        <v>53</v>
      </c>
      <c r="E380" s="27" t="s">
        <v>67</v>
      </c>
      <c r="F380" s="27">
        <v>15</v>
      </c>
      <c r="G380" s="31" t="str">
        <f>VLOOKUP(I380,'Names with Seat Code'!B:E,2)</f>
        <v>Jiayu</v>
      </c>
      <c r="H380" s="31" t="str">
        <f>VLOOKUP(I380,'Names with Seat Code'!B:E,4)</f>
        <v>Zheng</v>
      </c>
      <c r="I380" s="25">
        <f>DIRECTIONS!$E$23+B380</f>
        <v>294</v>
      </c>
    </row>
    <row r="381" spans="1:9" ht="19.5" thickTop="1" thickBot="1" x14ac:dyDescent="0.3">
      <c r="A381" s="28" t="s">
        <v>86</v>
      </c>
      <c r="B381" s="27">
        <v>164</v>
      </c>
      <c r="C381" s="28" t="s">
        <v>84</v>
      </c>
      <c r="D381" s="28" t="s">
        <v>53</v>
      </c>
      <c r="E381" s="27" t="s">
        <v>67</v>
      </c>
      <c r="F381" s="27">
        <v>13</v>
      </c>
      <c r="G381" s="31" t="str">
        <f>VLOOKUP(I381,'Names with Seat Code'!B:E,2)</f>
        <v>Jiayu</v>
      </c>
      <c r="H381" s="31" t="str">
        <f>VLOOKUP(I381,'Names with Seat Code'!B:E,4)</f>
        <v>Zheng</v>
      </c>
      <c r="I381" s="25">
        <f>DIRECTIONS!$E$23+B381</f>
        <v>295</v>
      </c>
    </row>
    <row r="382" spans="1:9" ht="19.5" thickTop="1" thickBot="1" x14ac:dyDescent="0.3">
      <c r="A382" s="28" t="s">
        <v>86</v>
      </c>
      <c r="B382" s="27">
        <v>165</v>
      </c>
      <c r="C382" s="28" t="s">
        <v>84</v>
      </c>
      <c r="D382" s="28" t="s">
        <v>53</v>
      </c>
      <c r="E382" s="27" t="s">
        <v>67</v>
      </c>
      <c r="F382" s="27">
        <v>11</v>
      </c>
      <c r="G382" s="31" t="str">
        <f>VLOOKUP(I382,'Names with Seat Code'!B:E,2)</f>
        <v>Jiayu</v>
      </c>
      <c r="H382" s="31" t="str">
        <f>VLOOKUP(I382,'Names with Seat Code'!B:E,4)</f>
        <v>Zheng</v>
      </c>
      <c r="I382" s="25">
        <f>DIRECTIONS!$E$23+B382</f>
        <v>296</v>
      </c>
    </row>
    <row r="383" spans="1:9" ht="19.5" thickTop="1" thickBot="1" x14ac:dyDescent="0.3">
      <c r="A383" s="28" t="s">
        <v>86</v>
      </c>
      <c r="B383" s="27">
        <v>166</v>
      </c>
      <c r="C383" s="28" t="s">
        <v>84</v>
      </c>
      <c r="D383" s="28" t="s">
        <v>53</v>
      </c>
      <c r="E383" s="27" t="s">
        <v>67</v>
      </c>
      <c r="F383" s="27">
        <v>9</v>
      </c>
      <c r="G383" s="31" t="str">
        <f>VLOOKUP(I383,'Names with Seat Code'!B:E,2)</f>
        <v>Jiayu</v>
      </c>
      <c r="H383" s="31" t="str">
        <f>VLOOKUP(I383,'Names with Seat Code'!B:E,4)</f>
        <v>Zheng</v>
      </c>
      <c r="I383" s="25">
        <f>DIRECTIONS!$E$23+B383</f>
        <v>297</v>
      </c>
    </row>
    <row r="384" spans="1:9" ht="19.5" thickTop="1" thickBot="1" x14ac:dyDescent="0.3">
      <c r="A384" s="28" t="s">
        <v>86</v>
      </c>
      <c r="B384" s="27">
        <v>167</v>
      </c>
      <c r="C384" s="28" t="s">
        <v>84</v>
      </c>
      <c r="D384" s="28" t="s">
        <v>53</v>
      </c>
      <c r="E384" s="27" t="s">
        <v>67</v>
      </c>
      <c r="F384" s="27">
        <v>7</v>
      </c>
      <c r="G384" s="31" t="str">
        <f>VLOOKUP(I384,'Names with Seat Code'!B:E,2)</f>
        <v>Jiayu</v>
      </c>
      <c r="H384" s="31" t="str">
        <f>VLOOKUP(I384,'Names with Seat Code'!B:E,4)</f>
        <v>Zheng</v>
      </c>
      <c r="I384" s="25">
        <f>DIRECTIONS!$E$23+B384</f>
        <v>298</v>
      </c>
    </row>
    <row r="385" spans="1:9" ht="19.5" thickTop="1" thickBot="1" x14ac:dyDescent="0.3">
      <c r="A385" s="28" t="s">
        <v>86</v>
      </c>
      <c r="B385" s="27">
        <v>168</v>
      </c>
      <c r="C385" s="28" t="s">
        <v>84</v>
      </c>
      <c r="D385" s="28" t="s">
        <v>53</v>
      </c>
      <c r="E385" s="27" t="s">
        <v>67</v>
      </c>
      <c r="F385" s="27">
        <v>5</v>
      </c>
      <c r="G385" s="31" t="str">
        <f>VLOOKUP(I385,'Names with Seat Code'!B:E,2)</f>
        <v>Jiayu</v>
      </c>
      <c r="H385" s="31" t="str">
        <f>VLOOKUP(I385,'Names with Seat Code'!B:E,4)</f>
        <v>Zheng</v>
      </c>
      <c r="I385" s="25">
        <f>DIRECTIONS!$E$23+B385</f>
        <v>299</v>
      </c>
    </row>
    <row r="386" spans="1:9" ht="19.5" thickTop="1" thickBot="1" x14ac:dyDescent="0.3">
      <c r="A386" s="28" t="s">
        <v>86</v>
      </c>
      <c r="B386" s="27">
        <v>169</v>
      </c>
      <c r="C386" s="28" t="s">
        <v>84</v>
      </c>
      <c r="D386" s="28" t="s">
        <v>53</v>
      </c>
      <c r="E386" s="27" t="s">
        <v>67</v>
      </c>
      <c r="F386" s="27">
        <v>3</v>
      </c>
      <c r="G386" s="31" t="str">
        <f>VLOOKUP(I386,'Names with Seat Code'!B:E,2)</f>
        <v>Jiayu</v>
      </c>
      <c r="H386" s="31" t="str">
        <f>VLOOKUP(I386,'Names with Seat Code'!B:E,4)</f>
        <v>Zheng</v>
      </c>
      <c r="I386" s="25">
        <f>DIRECTIONS!$E$23+B386</f>
        <v>300</v>
      </c>
    </row>
    <row r="387" spans="1:9" ht="19.5" thickTop="1" thickBot="1" x14ac:dyDescent="0.3">
      <c r="A387" s="28" t="s">
        <v>86</v>
      </c>
      <c r="B387" s="27">
        <v>170</v>
      </c>
      <c r="C387" s="28" t="s">
        <v>84</v>
      </c>
      <c r="D387" s="28" t="s">
        <v>53</v>
      </c>
      <c r="E387" s="27" t="s">
        <v>67</v>
      </c>
      <c r="F387" s="27">
        <v>1</v>
      </c>
      <c r="G387" s="31" t="str">
        <f>VLOOKUP(I387,'Names with Seat Code'!B:E,2)</f>
        <v>Jiayu</v>
      </c>
      <c r="H387" s="31" t="str">
        <f>VLOOKUP(I387,'Names with Seat Code'!B:E,4)</f>
        <v>Zheng</v>
      </c>
      <c r="I387" s="25">
        <f>DIRECTIONS!$E$23+B387</f>
        <v>301</v>
      </c>
    </row>
    <row r="388" spans="1:9" ht="19.5" thickTop="1" thickBot="1" x14ac:dyDescent="0.3">
      <c r="A388" s="28" t="s">
        <v>86</v>
      </c>
      <c r="B388" s="27">
        <v>171</v>
      </c>
      <c r="C388" s="28" t="s">
        <v>83</v>
      </c>
      <c r="D388" s="28" t="s">
        <v>85</v>
      </c>
      <c r="E388" s="27" t="s">
        <v>69</v>
      </c>
      <c r="F388" s="27">
        <v>110</v>
      </c>
      <c r="G388" s="31" t="str">
        <f>VLOOKUP(I388,'Names with Seat Code'!B:E,2)</f>
        <v>Jiayu</v>
      </c>
      <c r="H388" s="31" t="str">
        <f>VLOOKUP(I388,'Names with Seat Code'!B:E,4)</f>
        <v>Zheng</v>
      </c>
      <c r="I388" s="25">
        <f>DIRECTIONS!$E$23+B388</f>
        <v>302</v>
      </c>
    </row>
    <row r="389" spans="1:9" ht="19.5" thickTop="1" thickBot="1" x14ac:dyDescent="0.3">
      <c r="A389" s="28" t="s">
        <v>86</v>
      </c>
      <c r="B389" s="27">
        <v>172</v>
      </c>
      <c r="C389" s="28" t="s">
        <v>83</v>
      </c>
      <c r="D389" s="28" t="s">
        <v>85</v>
      </c>
      <c r="E389" s="27" t="s">
        <v>69</v>
      </c>
      <c r="F389" s="27">
        <v>111</v>
      </c>
      <c r="G389" s="31" t="str">
        <f>VLOOKUP(I389,'Names with Seat Code'!B:E,2)</f>
        <v>Jiayu</v>
      </c>
      <c r="H389" s="31" t="str">
        <f>VLOOKUP(I389,'Names with Seat Code'!B:E,4)</f>
        <v>Zheng</v>
      </c>
      <c r="I389" s="25">
        <f>DIRECTIONS!$E$23+B389</f>
        <v>303</v>
      </c>
    </row>
    <row r="390" spans="1:9" ht="19.5" thickTop="1" thickBot="1" x14ac:dyDescent="0.3">
      <c r="A390" s="28" t="s">
        <v>86</v>
      </c>
      <c r="B390" s="27">
        <v>173</v>
      </c>
      <c r="C390" s="28" t="s">
        <v>83</v>
      </c>
      <c r="D390" s="28" t="s">
        <v>85</v>
      </c>
      <c r="E390" s="27" t="s">
        <v>69</v>
      </c>
      <c r="F390" s="27">
        <v>112</v>
      </c>
      <c r="G390" s="31" t="str">
        <f>VLOOKUP(I390,'Names with Seat Code'!B:E,2)</f>
        <v>Jiayu</v>
      </c>
      <c r="H390" s="31" t="str">
        <f>VLOOKUP(I390,'Names with Seat Code'!B:E,4)</f>
        <v>Zheng</v>
      </c>
      <c r="I390" s="25">
        <f>DIRECTIONS!$E$23+B390</f>
        <v>304</v>
      </c>
    </row>
    <row r="391" spans="1:9" ht="19.5" thickTop="1" thickBot="1" x14ac:dyDescent="0.3">
      <c r="A391" s="28" t="s">
        <v>86</v>
      </c>
      <c r="B391" s="27">
        <v>174</v>
      </c>
      <c r="C391" s="28" t="s">
        <v>83</v>
      </c>
      <c r="D391" s="28" t="s">
        <v>85</v>
      </c>
      <c r="E391" s="27" t="s">
        <v>69</v>
      </c>
      <c r="F391" s="27">
        <v>113</v>
      </c>
      <c r="G391" s="31" t="str">
        <f>VLOOKUP(I391,'Names with Seat Code'!B:E,2)</f>
        <v>Jiayu</v>
      </c>
      <c r="H391" s="31" t="str">
        <f>VLOOKUP(I391,'Names with Seat Code'!B:E,4)</f>
        <v>Zheng</v>
      </c>
      <c r="I391" s="25">
        <f>DIRECTIONS!$E$23+B391</f>
        <v>305</v>
      </c>
    </row>
    <row r="392" spans="1:9" ht="19.5" thickTop="1" thickBot="1" x14ac:dyDescent="0.3">
      <c r="A392" s="28" t="s">
        <v>86</v>
      </c>
      <c r="B392" s="27">
        <v>175</v>
      </c>
      <c r="C392" s="28" t="s">
        <v>83</v>
      </c>
      <c r="D392" s="28" t="s">
        <v>85</v>
      </c>
      <c r="E392" s="27" t="s">
        <v>69</v>
      </c>
      <c r="F392" s="27">
        <v>114</v>
      </c>
      <c r="G392" s="31" t="str">
        <f>VLOOKUP(I392,'Names with Seat Code'!B:E,2)</f>
        <v>Jiayu</v>
      </c>
      <c r="H392" s="31" t="str">
        <f>VLOOKUP(I392,'Names with Seat Code'!B:E,4)</f>
        <v>Zheng</v>
      </c>
      <c r="I392" s="25">
        <f>DIRECTIONS!$E$23+B392</f>
        <v>306</v>
      </c>
    </row>
    <row r="393" spans="1:9" ht="19.5" thickTop="1" thickBot="1" x14ac:dyDescent="0.3">
      <c r="A393" s="28" t="s">
        <v>86</v>
      </c>
      <c r="B393" s="27">
        <v>176</v>
      </c>
      <c r="C393" s="28" t="s">
        <v>83</v>
      </c>
      <c r="D393" s="28" t="s">
        <v>85</v>
      </c>
      <c r="E393" s="27" t="s">
        <v>69</v>
      </c>
      <c r="F393" s="27">
        <v>115</v>
      </c>
      <c r="G393" s="31" t="str">
        <f>VLOOKUP(I393,'Names with Seat Code'!B:E,2)</f>
        <v>Jiayu</v>
      </c>
      <c r="H393" s="31" t="str">
        <f>VLOOKUP(I393,'Names with Seat Code'!B:E,4)</f>
        <v>Zheng</v>
      </c>
      <c r="I393" s="25">
        <f>DIRECTIONS!$E$23+B393</f>
        <v>307</v>
      </c>
    </row>
    <row r="394" spans="1:9" ht="19.5" thickTop="1" thickBot="1" x14ac:dyDescent="0.3">
      <c r="A394" s="28" t="s">
        <v>86</v>
      </c>
      <c r="B394" s="27">
        <v>177</v>
      </c>
      <c r="C394" s="28" t="s">
        <v>83</v>
      </c>
      <c r="D394" s="28" t="s">
        <v>85</v>
      </c>
      <c r="E394" s="27" t="s">
        <v>69</v>
      </c>
      <c r="F394" s="27">
        <v>116</v>
      </c>
      <c r="G394" s="31" t="str">
        <f>VLOOKUP(I394,'Names with Seat Code'!B:E,2)</f>
        <v>Jiayu</v>
      </c>
      <c r="H394" s="31" t="str">
        <f>VLOOKUP(I394,'Names with Seat Code'!B:E,4)</f>
        <v>Zheng</v>
      </c>
      <c r="I394" s="25">
        <f>DIRECTIONS!$E$23+B394</f>
        <v>308</v>
      </c>
    </row>
    <row r="395" spans="1:9" ht="19.5" thickTop="1" thickBot="1" x14ac:dyDescent="0.3">
      <c r="A395" s="28" t="s">
        <v>86</v>
      </c>
      <c r="B395" s="27">
        <v>178</v>
      </c>
      <c r="C395" s="28" t="s">
        <v>83</v>
      </c>
      <c r="D395" s="28" t="s">
        <v>85</v>
      </c>
      <c r="E395" s="27" t="s">
        <v>69</v>
      </c>
      <c r="F395" s="27">
        <v>117</v>
      </c>
      <c r="G395" s="31" t="str">
        <f>VLOOKUP(I395,'Names with Seat Code'!B:E,2)</f>
        <v>Jiayu</v>
      </c>
      <c r="H395" s="31" t="str">
        <f>VLOOKUP(I395,'Names with Seat Code'!B:E,4)</f>
        <v>Zheng</v>
      </c>
      <c r="I395" s="25">
        <f>DIRECTIONS!$E$23+B395</f>
        <v>309</v>
      </c>
    </row>
    <row r="396" spans="1:9" ht="19.5" thickTop="1" thickBot="1" x14ac:dyDescent="0.3">
      <c r="A396" s="28" t="s">
        <v>86</v>
      </c>
      <c r="B396" s="27">
        <v>179</v>
      </c>
      <c r="C396" s="28" t="s">
        <v>83</v>
      </c>
      <c r="D396" s="28" t="s">
        <v>85</v>
      </c>
      <c r="E396" s="27" t="s">
        <v>69</v>
      </c>
      <c r="F396" s="27">
        <v>118</v>
      </c>
      <c r="G396" s="31" t="str">
        <f>VLOOKUP(I396,'Names with Seat Code'!B:E,2)</f>
        <v>Jiayu</v>
      </c>
      <c r="H396" s="31" t="str">
        <f>VLOOKUP(I396,'Names with Seat Code'!B:E,4)</f>
        <v>Zheng</v>
      </c>
      <c r="I396" s="25">
        <f>DIRECTIONS!$E$23+B396</f>
        <v>310</v>
      </c>
    </row>
    <row r="397" spans="1:9" ht="19.5" thickTop="1" thickBot="1" x14ac:dyDescent="0.3">
      <c r="A397" s="28" t="s">
        <v>86</v>
      </c>
      <c r="B397" s="27">
        <v>180</v>
      </c>
      <c r="C397" s="28" t="s">
        <v>83</v>
      </c>
      <c r="D397" s="28" t="s">
        <v>85</v>
      </c>
      <c r="E397" s="27" t="s">
        <v>69</v>
      </c>
      <c r="F397" s="27">
        <v>119</v>
      </c>
      <c r="G397" s="31" t="str">
        <f>VLOOKUP(I397,'Names with Seat Code'!B:E,2)</f>
        <v>Jiayu</v>
      </c>
      <c r="H397" s="31" t="str">
        <f>VLOOKUP(I397,'Names with Seat Code'!B:E,4)</f>
        <v>Zheng</v>
      </c>
      <c r="I397" s="25">
        <f>DIRECTIONS!$E$23+B397</f>
        <v>311</v>
      </c>
    </row>
    <row r="398" spans="1:9" ht="19.5" thickTop="1" thickBot="1" x14ac:dyDescent="0.3">
      <c r="A398" s="28" t="s">
        <v>86</v>
      </c>
      <c r="B398" s="27">
        <v>181</v>
      </c>
      <c r="C398" s="28" t="s">
        <v>83</v>
      </c>
      <c r="D398" s="28" t="s">
        <v>85</v>
      </c>
      <c r="E398" s="27" t="s">
        <v>69</v>
      </c>
      <c r="F398" s="27">
        <v>120</v>
      </c>
      <c r="G398" s="31" t="str">
        <f>VLOOKUP(I398,'Names with Seat Code'!B:E,2)</f>
        <v>Jiayu</v>
      </c>
      <c r="H398" s="31" t="str">
        <f>VLOOKUP(I398,'Names with Seat Code'!B:E,4)</f>
        <v>Zheng</v>
      </c>
      <c r="I398" s="25">
        <f>DIRECTIONS!$E$23+B398</f>
        <v>312</v>
      </c>
    </row>
    <row r="399" spans="1:9" ht="19.5" thickTop="1" thickBot="1" x14ac:dyDescent="0.3">
      <c r="A399" s="28" t="s">
        <v>86</v>
      </c>
      <c r="B399" s="27">
        <v>182</v>
      </c>
      <c r="C399" s="28" t="s">
        <v>83</v>
      </c>
      <c r="D399" s="28" t="s">
        <v>85</v>
      </c>
      <c r="E399" s="27" t="s">
        <v>69</v>
      </c>
      <c r="F399" s="27">
        <v>121</v>
      </c>
      <c r="G399" s="31" t="str">
        <f>VLOOKUP(I399,'Names with Seat Code'!B:E,2)</f>
        <v>Jiayu</v>
      </c>
      <c r="H399" s="31" t="str">
        <f>VLOOKUP(I399,'Names with Seat Code'!B:E,4)</f>
        <v>Zheng</v>
      </c>
      <c r="I399" s="25">
        <f>DIRECTIONS!$E$23+B399</f>
        <v>313</v>
      </c>
    </row>
    <row r="400" spans="1:9" ht="19.5" thickTop="1" thickBot="1" x14ac:dyDescent="0.3">
      <c r="A400" s="28" t="s">
        <v>86</v>
      </c>
      <c r="B400" s="27">
        <v>183</v>
      </c>
      <c r="C400" s="28" t="s">
        <v>84</v>
      </c>
      <c r="D400" s="28" t="s">
        <v>53</v>
      </c>
      <c r="E400" s="27" t="s">
        <v>69</v>
      </c>
      <c r="F400" s="27">
        <v>17</v>
      </c>
      <c r="G400" s="31" t="str">
        <f>VLOOKUP(I400,'Names with Seat Code'!B:E,2)</f>
        <v>Jiayu</v>
      </c>
      <c r="H400" s="31" t="str">
        <f>VLOOKUP(I400,'Names with Seat Code'!B:E,4)</f>
        <v>Zheng</v>
      </c>
      <c r="I400" s="25">
        <f>DIRECTIONS!$E$23+B400</f>
        <v>314</v>
      </c>
    </row>
    <row r="401" spans="1:9" ht="19.5" thickTop="1" thickBot="1" x14ac:dyDescent="0.3">
      <c r="A401" s="28" t="s">
        <v>86</v>
      </c>
      <c r="B401" s="27">
        <v>184</v>
      </c>
      <c r="C401" s="28" t="s">
        <v>84</v>
      </c>
      <c r="D401" s="28" t="s">
        <v>53</v>
      </c>
      <c r="E401" s="27" t="s">
        <v>69</v>
      </c>
      <c r="F401" s="27">
        <v>15</v>
      </c>
      <c r="G401" s="31" t="str">
        <f>VLOOKUP(I401,'Names with Seat Code'!B:E,2)</f>
        <v>Jiayu</v>
      </c>
      <c r="H401" s="31" t="str">
        <f>VLOOKUP(I401,'Names with Seat Code'!B:E,4)</f>
        <v>Zheng</v>
      </c>
      <c r="I401" s="25">
        <f>DIRECTIONS!$E$23+B401</f>
        <v>315</v>
      </c>
    </row>
    <row r="402" spans="1:9" ht="19.5" thickTop="1" thickBot="1" x14ac:dyDescent="0.3">
      <c r="A402" s="28" t="s">
        <v>86</v>
      </c>
      <c r="B402" s="27">
        <v>185</v>
      </c>
      <c r="C402" s="28" t="s">
        <v>84</v>
      </c>
      <c r="D402" s="28" t="s">
        <v>53</v>
      </c>
      <c r="E402" s="27" t="s">
        <v>69</v>
      </c>
      <c r="F402" s="27">
        <v>13</v>
      </c>
      <c r="G402" s="31" t="str">
        <f>VLOOKUP(I402,'Names with Seat Code'!B:E,2)</f>
        <v>Jiayu</v>
      </c>
      <c r="H402" s="31" t="str">
        <f>VLOOKUP(I402,'Names with Seat Code'!B:E,4)</f>
        <v>Zheng</v>
      </c>
      <c r="I402" s="25">
        <f>DIRECTIONS!$E$23+B402</f>
        <v>316</v>
      </c>
    </row>
    <row r="403" spans="1:9" ht="19.5" thickTop="1" thickBot="1" x14ac:dyDescent="0.3">
      <c r="A403" s="28" t="s">
        <v>86</v>
      </c>
      <c r="B403" s="27">
        <v>186</v>
      </c>
      <c r="C403" s="28" t="s">
        <v>84</v>
      </c>
      <c r="D403" s="28" t="s">
        <v>53</v>
      </c>
      <c r="E403" s="27" t="s">
        <v>69</v>
      </c>
      <c r="F403" s="27">
        <v>11</v>
      </c>
      <c r="G403" s="31" t="str">
        <f>VLOOKUP(I403,'Names with Seat Code'!B:E,2)</f>
        <v>Jiayu</v>
      </c>
      <c r="H403" s="31" t="str">
        <f>VLOOKUP(I403,'Names with Seat Code'!B:E,4)</f>
        <v>Zheng</v>
      </c>
      <c r="I403" s="25">
        <f>DIRECTIONS!$E$23+B403</f>
        <v>317</v>
      </c>
    </row>
    <row r="404" spans="1:9" ht="19.5" thickTop="1" thickBot="1" x14ac:dyDescent="0.3">
      <c r="A404" s="28" t="s">
        <v>86</v>
      </c>
      <c r="B404" s="27">
        <v>187</v>
      </c>
      <c r="C404" s="28" t="s">
        <v>84</v>
      </c>
      <c r="D404" s="28" t="s">
        <v>53</v>
      </c>
      <c r="E404" s="27" t="s">
        <v>69</v>
      </c>
      <c r="F404" s="27">
        <v>9</v>
      </c>
      <c r="G404" s="31" t="str">
        <f>VLOOKUP(I404,'Names with Seat Code'!B:E,2)</f>
        <v>Jiayu</v>
      </c>
      <c r="H404" s="31" t="str">
        <f>VLOOKUP(I404,'Names with Seat Code'!B:E,4)</f>
        <v>Zheng</v>
      </c>
      <c r="I404" s="25">
        <f>DIRECTIONS!$E$23+B404</f>
        <v>318</v>
      </c>
    </row>
    <row r="405" spans="1:9" ht="19.5" thickTop="1" thickBot="1" x14ac:dyDescent="0.3">
      <c r="A405" s="28" t="s">
        <v>86</v>
      </c>
      <c r="B405" s="27">
        <v>188</v>
      </c>
      <c r="C405" s="28" t="s">
        <v>84</v>
      </c>
      <c r="D405" s="28" t="s">
        <v>53</v>
      </c>
      <c r="E405" s="27" t="s">
        <v>69</v>
      </c>
      <c r="F405" s="27">
        <v>7</v>
      </c>
      <c r="G405" s="31" t="str">
        <f>VLOOKUP(I405,'Names with Seat Code'!B:E,2)</f>
        <v>Jiayu</v>
      </c>
      <c r="H405" s="31" t="str">
        <f>VLOOKUP(I405,'Names with Seat Code'!B:E,4)</f>
        <v>Zheng</v>
      </c>
      <c r="I405" s="25">
        <f>DIRECTIONS!$E$23+B405</f>
        <v>319</v>
      </c>
    </row>
    <row r="406" spans="1:9" ht="19.5" thickTop="1" thickBot="1" x14ac:dyDescent="0.3">
      <c r="A406" s="28" t="s">
        <v>86</v>
      </c>
      <c r="B406" s="27">
        <v>189</v>
      </c>
      <c r="C406" s="28" t="s">
        <v>84</v>
      </c>
      <c r="D406" s="28" t="s">
        <v>53</v>
      </c>
      <c r="E406" s="27" t="s">
        <v>69</v>
      </c>
      <c r="F406" s="27">
        <v>5</v>
      </c>
      <c r="G406" s="31" t="str">
        <f>VLOOKUP(I406,'Names with Seat Code'!B:E,2)</f>
        <v>Jiayu</v>
      </c>
      <c r="H406" s="31" t="str">
        <f>VLOOKUP(I406,'Names with Seat Code'!B:E,4)</f>
        <v>Zheng</v>
      </c>
      <c r="I406" s="25">
        <f>DIRECTIONS!$E$23+B406</f>
        <v>320</v>
      </c>
    </row>
    <row r="407" spans="1:9" ht="19.5" thickTop="1" thickBot="1" x14ac:dyDescent="0.3">
      <c r="A407" s="28" t="s">
        <v>86</v>
      </c>
      <c r="B407" s="27">
        <v>190</v>
      </c>
      <c r="C407" s="28" t="s">
        <v>84</v>
      </c>
      <c r="D407" s="28" t="s">
        <v>53</v>
      </c>
      <c r="E407" s="27" t="s">
        <v>69</v>
      </c>
      <c r="F407" s="27">
        <v>3</v>
      </c>
      <c r="G407" s="31" t="str">
        <f>VLOOKUP(I407,'Names with Seat Code'!B:E,2)</f>
        <v>Jiayu</v>
      </c>
      <c r="H407" s="31" t="str">
        <f>VLOOKUP(I407,'Names with Seat Code'!B:E,4)</f>
        <v>Zheng</v>
      </c>
      <c r="I407" s="25">
        <f>DIRECTIONS!$E$23+B407</f>
        <v>321</v>
      </c>
    </row>
    <row r="408" spans="1:9" ht="19.5" thickTop="1" thickBot="1" x14ac:dyDescent="0.3">
      <c r="A408" s="28" t="s">
        <v>86</v>
      </c>
      <c r="B408" s="27">
        <v>191</v>
      </c>
      <c r="C408" s="28" t="s">
        <v>84</v>
      </c>
      <c r="D408" s="28" t="s">
        <v>53</v>
      </c>
      <c r="E408" s="27" t="s">
        <v>69</v>
      </c>
      <c r="F408" s="27">
        <v>1</v>
      </c>
      <c r="G408" s="31" t="str">
        <f>VLOOKUP(I408,'Names with Seat Code'!B:E,2)</f>
        <v>Jiayu</v>
      </c>
      <c r="H408" s="31" t="str">
        <f>VLOOKUP(I408,'Names with Seat Code'!B:E,4)</f>
        <v>Zheng</v>
      </c>
      <c r="I408" s="25">
        <f>DIRECTIONS!$E$23+B408</f>
        <v>322</v>
      </c>
    </row>
    <row r="409" spans="1:9" ht="19.5" thickTop="1" thickBot="1" x14ac:dyDescent="0.3">
      <c r="A409" s="28" t="s">
        <v>86</v>
      </c>
      <c r="B409" s="27">
        <v>192</v>
      </c>
      <c r="C409" s="28" t="s">
        <v>83</v>
      </c>
      <c r="D409" s="28" t="s">
        <v>85</v>
      </c>
      <c r="E409" s="27" t="s">
        <v>70</v>
      </c>
      <c r="F409" s="27">
        <v>110</v>
      </c>
      <c r="G409" s="31" t="str">
        <f>VLOOKUP(I409,'Names with Seat Code'!B:E,2)</f>
        <v>Jiayu</v>
      </c>
      <c r="H409" s="31" t="str">
        <f>VLOOKUP(I409,'Names with Seat Code'!B:E,4)</f>
        <v>Zheng</v>
      </c>
      <c r="I409" s="25">
        <f>DIRECTIONS!$E$23+B409</f>
        <v>323</v>
      </c>
    </row>
    <row r="410" spans="1:9" ht="19.5" thickTop="1" thickBot="1" x14ac:dyDescent="0.3">
      <c r="A410" s="28" t="s">
        <v>86</v>
      </c>
      <c r="B410" s="27">
        <v>193</v>
      </c>
      <c r="C410" s="28" t="s">
        <v>83</v>
      </c>
      <c r="D410" s="28" t="s">
        <v>85</v>
      </c>
      <c r="E410" s="27" t="s">
        <v>70</v>
      </c>
      <c r="F410" s="27">
        <v>111</v>
      </c>
      <c r="G410" s="31" t="str">
        <f>VLOOKUP(I410,'Names with Seat Code'!B:E,2)</f>
        <v>Jiayu</v>
      </c>
      <c r="H410" s="31" t="str">
        <f>VLOOKUP(I410,'Names with Seat Code'!B:E,4)</f>
        <v>Zheng</v>
      </c>
      <c r="I410" s="25">
        <f>DIRECTIONS!$E$23+B410</f>
        <v>324</v>
      </c>
    </row>
    <row r="411" spans="1:9" ht="19.5" thickTop="1" thickBot="1" x14ac:dyDescent="0.3">
      <c r="A411" s="28" t="s">
        <v>86</v>
      </c>
      <c r="B411" s="27">
        <v>194</v>
      </c>
      <c r="C411" s="28" t="s">
        <v>83</v>
      </c>
      <c r="D411" s="28" t="s">
        <v>85</v>
      </c>
      <c r="E411" s="27" t="s">
        <v>70</v>
      </c>
      <c r="F411" s="27">
        <v>112</v>
      </c>
      <c r="G411" s="31" t="str">
        <f>VLOOKUP(I411,'Names with Seat Code'!B:E,2)</f>
        <v>Jiayu</v>
      </c>
      <c r="H411" s="31" t="str">
        <f>VLOOKUP(I411,'Names with Seat Code'!B:E,4)</f>
        <v>Zheng</v>
      </c>
      <c r="I411" s="25">
        <f>DIRECTIONS!$E$23+B411</f>
        <v>325</v>
      </c>
    </row>
    <row r="412" spans="1:9" ht="19.5" thickTop="1" thickBot="1" x14ac:dyDescent="0.3">
      <c r="A412" s="28" t="s">
        <v>86</v>
      </c>
      <c r="B412" s="27">
        <v>195</v>
      </c>
      <c r="C412" s="28" t="s">
        <v>83</v>
      </c>
      <c r="D412" s="28" t="s">
        <v>85</v>
      </c>
      <c r="E412" s="27" t="s">
        <v>70</v>
      </c>
      <c r="F412" s="27">
        <v>113</v>
      </c>
      <c r="G412" s="31" t="str">
        <f>VLOOKUP(I412,'Names with Seat Code'!B:E,2)</f>
        <v>Jiayu</v>
      </c>
      <c r="H412" s="31" t="str">
        <f>VLOOKUP(I412,'Names with Seat Code'!B:E,4)</f>
        <v>Zheng</v>
      </c>
      <c r="I412" s="25">
        <f>DIRECTIONS!$E$23+B412</f>
        <v>326</v>
      </c>
    </row>
    <row r="413" spans="1:9" ht="19.5" thickTop="1" thickBot="1" x14ac:dyDescent="0.3">
      <c r="A413" s="28" t="s">
        <v>86</v>
      </c>
      <c r="B413" s="27">
        <v>196</v>
      </c>
      <c r="C413" s="28" t="s">
        <v>83</v>
      </c>
      <c r="D413" s="28" t="s">
        <v>85</v>
      </c>
      <c r="E413" s="27" t="s">
        <v>70</v>
      </c>
      <c r="F413" s="27">
        <v>114</v>
      </c>
      <c r="G413" s="31" t="str">
        <f>VLOOKUP(I413,'Names with Seat Code'!B:E,2)</f>
        <v>Jiayu</v>
      </c>
      <c r="H413" s="31" t="str">
        <f>VLOOKUP(I413,'Names with Seat Code'!B:E,4)</f>
        <v>Zheng</v>
      </c>
      <c r="I413" s="25">
        <f>DIRECTIONS!$E$23+B413</f>
        <v>327</v>
      </c>
    </row>
    <row r="414" spans="1:9" ht="19.5" thickTop="1" thickBot="1" x14ac:dyDescent="0.3">
      <c r="A414" s="28" t="s">
        <v>86</v>
      </c>
      <c r="B414" s="27">
        <v>197</v>
      </c>
      <c r="C414" s="28" t="s">
        <v>83</v>
      </c>
      <c r="D414" s="28" t="s">
        <v>85</v>
      </c>
      <c r="E414" s="27" t="s">
        <v>70</v>
      </c>
      <c r="F414" s="27">
        <v>115</v>
      </c>
      <c r="G414" s="31" t="str">
        <f>VLOOKUP(I414,'Names with Seat Code'!B:E,2)</f>
        <v>Jiayu</v>
      </c>
      <c r="H414" s="31" t="str">
        <f>VLOOKUP(I414,'Names with Seat Code'!B:E,4)</f>
        <v>Zheng</v>
      </c>
      <c r="I414" s="25">
        <f>DIRECTIONS!$E$23+B414</f>
        <v>328</v>
      </c>
    </row>
    <row r="415" spans="1:9" ht="19.5" thickTop="1" thickBot="1" x14ac:dyDescent="0.3">
      <c r="A415" s="28" t="s">
        <v>86</v>
      </c>
      <c r="B415" s="27">
        <v>198</v>
      </c>
      <c r="C415" s="28" t="s">
        <v>83</v>
      </c>
      <c r="D415" s="28" t="s">
        <v>85</v>
      </c>
      <c r="E415" s="27" t="s">
        <v>70</v>
      </c>
      <c r="F415" s="27">
        <v>116</v>
      </c>
      <c r="G415" s="31" t="str">
        <f>VLOOKUP(I415,'Names with Seat Code'!B:E,2)</f>
        <v>Jiayu</v>
      </c>
      <c r="H415" s="31" t="str">
        <f>VLOOKUP(I415,'Names with Seat Code'!B:E,4)</f>
        <v>Zheng</v>
      </c>
      <c r="I415" s="25">
        <f>DIRECTIONS!$E$23+B415</f>
        <v>329</v>
      </c>
    </row>
    <row r="416" spans="1:9" ht="19.5" thickTop="1" thickBot="1" x14ac:dyDescent="0.3">
      <c r="A416" s="28" t="s">
        <v>86</v>
      </c>
      <c r="B416" s="27">
        <v>199</v>
      </c>
      <c r="C416" s="28" t="s">
        <v>83</v>
      </c>
      <c r="D416" s="28" t="s">
        <v>85</v>
      </c>
      <c r="E416" s="27" t="s">
        <v>70</v>
      </c>
      <c r="F416" s="27">
        <v>117</v>
      </c>
      <c r="G416" s="31" t="str">
        <f>VLOOKUP(I416,'Names with Seat Code'!B:E,2)</f>
        <v>Jiayu</v>
      </c>
      <c r="H416" s="31" t="str">
        <f>VLOOKUP(I416,'Names with Seat Code'!B:E,4)</f>
        <v>Zheng</v>
      </c>
      <c r="I416" s="25">
        <f>DIRECTIONS!$E$23+B416</f>
        <v>330</v>
      </c>
    </row>
    <row r="417" spans="1:9" ht="19.5" thickTop="1" thickBot="1" x14ac:dyDescent="0.3">
      <c r="A417" s="28" t="s">
        <v>86</v>
      </c>
      <c r="B417" s="27">
        <v>200</v>
      </c>
      <c r="C417" s="28" t="s">
        <v>83</v>
      </c>
      <c r="D417" s="28" t="s">
        <v>85</v>
      </c>
      <c r="E417" s="27" t="s">
        <v>70</v>
      </c>
      <c r="F417" s="27">
        <v>118</v>
      </c>
      <c r="G417" s="31" t="str">
        <f>VLOOKUP(I417,'Names with Seat Code'!B:E,2)</f>
        <v>Jiayu</v>
      </c>
      <c r="H417" s="31" t="str">
        <f>VLOOKUP(I417,'Names with Seat Code'!B:E,4)</f>
        <v>Zheng</v>
      </c>
      <c r="I417" s="25">
        <f>DIRECTIONS!$E$23+B417</f>
        <v>331</v>
      </c>
    </row>
    <row r="418" spans="1:9" ht="19.5" thickTop="1" thickBot="1" x14ac:dyDescent="0.3">
      <c r="A418" s="28" t="s">
        <v>86</v>
      </c>
      <c r="B418" s="27">
        <v>201</v>
      </c>
      <c r="C418" s="28" t="s">
        <v>83</v>
      </c>
      <c r="D418" s="28" t="s">
        <v>85</v>
      </c>
      <c r="E418" s="27" t="s">
        <v>70</v>
      </c>
      <c r="F418" s="27">
        <v>119</v>
      </c>
      <c r="G418" s="31" t="str">
        <f>VLOOKUP(I418,'Names with Seat Code'!B:E,2)</f>
        <v>Jiayu</v>
      </c>
      <c r="H418" s="31" t="str">
        <f>VLOOKUP(I418,'Names with Seat Code'!B:E,4)</f>
        <v>Zheng</v>
      </c>
      <c r="I418" s="25">
        <f>DIRECTIONS!$E$23+B418</f>
        <v>332</v>
      </c>
    </row>
    <row r="419" spans="1:9" ht="19.5" thickTop="1" thickBot="1" x14ac:dyDescent="0.3">
      <c r="A419" s="28" t="s">
        <v>86</v>
      </c>
      <c r="B419" s="27">
        <v>202</v>
      </c>
      <c r="C419" s="28" t="s">
        <v>83</v>
      </c>
      <c r="D419" s="28" t="s">
        <v>85</v>
      </c>
      <c r="E419" s="27" t="s">
        <v>70</v>
      </c>
      <c r="F419" s="27">
        <v>120</v>
      </c>
      <c r="G419" s="31" t="str">
        <f>VLOOKUP(I419,'Names with Seat Code'!B:E,2)</f>
        <v>Jiayu</v>
      </c>
      <c r="H419" s="31" t="str">
        <f>VLOOKUP(I419,'Names with Seat Code'!B:E,4)</f>
        <v>Zheng</v>
      </c>
      <c r="I419" s="25">
        <f>DIRECTIONS!$E$23+B419</f>
        <v>333</v>
      </c>
    </row>
    <row r="420" spans="1:9" ht="19.5" thickTop="1" thickBot="1" x14ac:dyDescent="0.3">
      <c r="A420" s="28" t="s">
        <v>86</v>
      </c>
      <c r="B420" s="27">
        <v>203</v>
      </c>
      <c r="C420" s="28" t="s">
        <v>84</v>
      </c>
      <c r="D420" s="28" t="s">
        <v>53</v>
      </c>
      <c r="E420" s="27" t="s">
        <v>70</v>
      </c>
      <c r="F420" s="27">
        <v>15</v>
      </c>
      <c r="G420" s="31" t="str">
        <f>VLOOKUP(I420,'Names with Seat Code'!B:E,2)</f>
        <v>Jiayu</v>
      </c>
      <c r="H420" s="31" t="str">
        <f>VLOOKUP(I420,'Names with Seat Code'!B:E,4)</f>
        <v>Zheng</v>
      </c>
      <c r="I420" s="25">
        <f>DIRECTIONS!$E$23+B420</f>
        <v>334</v>
      </c>
    </row>
    <row r="421" spans="1:9" ht="19.5" thickTop="1" thickBot="1" x14ac:dyDescent="0.3">
      <c r="A421" s="28" t="s">
        <v>86</v>
      </c>
      <c r="B421" s="27">
        <v>204</v>
      </c>
      <c r="C421" s="28" t="s">
        <v>84</v>
      </c>
      <c r="D421" s="28" t="s">
        <v>53</v>
      </c>
      <c r="E421" s="27" t="s">
        <v>70</v>
      </c>
      <c r="F421" s="27">
        <v>13</v>
      </c>
      <c r="G421" s="31" t="str">
        <f>VLOOKUP(I421,'Names with Seat Code'!B:E,2)</f>
        <v>Jiayu</v>
      </c>
      <c r="H421" s="31" t="str">
        <f>VLOOKUP(I421,'Names with Seat Code'!B:E,4)</f>
        <v>Zheng</v>
      </c>
      <c r="I421" s="25">
        <f>DIRECTIONS!$E$23+B421</f>
        <v>335</v>
      </c>
    </row>
    <row r="422" spans="1:9" ht="19.5" thickTop="1" thickBot="1" x14ac:dyDescent="0.3">
      <c r="A422" s="28" t="s">
        <v>86</v>
      </c>
      <c r="B422" s="27">
        <v>205</v>
      </c>
      <c r="C422" s="28" t="s">
        <v>84</v>
      </c>
      <c r="D422" s="28" t="s">
        <v>53</v>
      </c>
      <c r="E422" s="27" t="s">
        <v>70</v>
      </c>
      <c r="F422" s="27">
        <v>11</v>
      </c>
      <c r="G422" s="31" t="str">
        <f>VLOOKUP(I422,'Names with Seat Code'!B:E,2)</f>
        <v>Jiayu</v>
      </c>
      <c r="H422" s="31" t="str">
        <f>VLOOKUP(I422,'Names with Seat Code'!B:E,4)</f>
        <v>Zheng</v>
      </c>
      <c r="I422" s="25">
        <f>DIRECTIONS!$E$23+B422</f>
        <v>336</v>
      </c>
    </row>
    <row r="423" spans="1:9" ht="19.5" thickTop="1" thickBot="1" x14ac:dyDescent="0.3">
      <c r="A423" s="28" t="s">
        <v>86</v>
      </c>
      <c r="B423" s="26">
        <v>206</v>
      </c>
      <c r="C423" s="28" t="s">
        <v>84</v>
      </c>
      <c r="D423" s="28" t="s">
        <v>53</v>
      </c>
      <c r="E423" s="27" t="s">
        <v>70</v>
      </c>
      <c r="F423" s="27">
        <v>9</v>
      </c>
      <c r="G423" s="31" t="str">
        <f>VLOOKUP(I423,'Names with Seat Code'!B:E,2)</f>
        <v>Jiayu</v>
      </c>
      <c r="H423" s="31" t="str">
        <f>VLOOKUP(I423,'Names with Seat Code'!B:E,4)</f>
        <v>Zheng</v>
      </c>
      <c r="I423" s="25">
        <f>DIRECTIONS!$E$23+B423</f>
        <v>337</v>
      </c>
    </row>
    <row r="424" spans="1:9" ht="19.5" thickTop="1" thickBot="1" x14ac:dyDescent="0.3">
      <c r="A424" s="28" t="s">
        <v>86</v>
      </c>
      <c r="B424" s="26">
        <v>207</v>
      </c>
      <c r="C424" s="28" t="s">
        <v>84</v>
      </c>
      <c r="D424" s="28" t="s">
        <v>53</v>
      </c>
      <c r="E424" s="27" t="s">
        <v>70</v>
      </c>
      <c r="F424" s="27">
        <v>7</v>
      </c>
      <c r="G424" s="31" t="str">
        <f>VLOOKUP(I424,'Names with Seat Code'!B:E,2)</f>
        <v>Jiayu</v>
      </c>
      <c r="H424" s="31" t="str">
        <f>VLOOKUP(I424,'Names with Seat Code'!B:E,4)</f>
        <v>Zheng</v>
      </c>
      <c r="I424" s="25">
        <f>DIRECTIONS!$E$23+B424</f>
        <v>338</v>
      </c>
    </row>
    <row r="425" spans="1:9" ht="19.5" thickTop="1" thickBot="1" x14ac:dyDescent="0.3">
      <c r="A425" s="28" t="s">
        <v>86</v>
      </c>
      <c r="B425" s="26">
        <v>208</v>
      </c>
      <c r="C425" s="28" t="s">
        <v>84</v>
      </c>
      <c r="D425" s="28" t="s">
        <v>53</v>
      </c>
      <c r="E425" s="27" t="s">
        <v>70</v>
      </c>
      <c r="F425" s="27">
        <v>5</v>
      </c>
      <c r="G425" s="31" t="str">
        <f>VLOOKUP(I425,'Names with Seat Code'!B:E,2)</f>
        <v>Jiayu</v>
      </c>
      <c r="H425" s="31" t="str">
        <f>VLOOKUP(I425,'Names with Seat Code'!B:E,4)</f>
        <v>Zheng</v>
      </c>
      <c r="I425" s="25">
        <f>DIRECTIONS!$E$23+B425</f>
        <v>339</v>
      </c>
    </row>
    <row r="426" spans="1:9" ht="19.5" thickTop="1" thickBot="1" x14ac:dyDescent="0.3">
      <c r="A426" s="28" t="s">
        <v>86</v>
      </c>
      <c r="B426" s="26">
        <v>209</v>
      </c>
      <c r="C426" s="28" t="s">
        <v>84</v>
      </c>
      <c r="D426" s="28" t="s">
        <v>53</v>
      </c>
      <c r="E426" s="27" t="s">
        <v>70</v>
      </c>
      <c r="F426" s="27">
        <v>3</v>
      </c>
      <c r="G426" s="31" t="str">
        <f>VLOOKUP(I426,'Names with Seat Code'!B:E,2)</f>
        <v>Jiayu</v>
      </c>
      <c r="H426" s="31" t="str">
        <f>VLOOKUP(I426,'Names with Seat Code'!B:E,4)</f>
        <v>Zheng</v>
      </c>
      <c r="I426" s="25">
        <f>DIRECTIONS!$E$23+B426</f>
        <v>340</v>
      </c>
    </row>
    <row r="427" spans="1:9" ht="18.75" thickTop="1" x14ac:dyDescent="0.25">
      <c r="A427" s="28" t="s">
        <v>86</v>
      </c>
      <c r="B427" s="26">
        <v>210</v>
      </c>
      <c r="C427" s="28" t="s">
        <v>84</v>
      </c>
      <c r="D427" s="28" t="s">
        <v>53</v>
      </c>
      <c r="E427" s="27" t="s">
        <v>70</v>
      </c>
      <c r="F427" s="27">
        <v>1</v>
      </c>
      <c r="G427" s="31" t="str">
        <f>VLOOKUP(I427,'Names with Seat Code'!B:E,2)</f>
        <v>Jiayu</v>
      </c>
      <c r="H427" s="31" t="str">
        <f>VLOOKUP(I427,'Names with Seat Code'!B:E,4)</f>
        <v>Zheng</v>
      </c>
      <c r="I427" s="25">
        <f>DIRECTIONS!$E$23+B427</f>
        <v>341</v>
      </c>
    </row>
    <row r="428" spans="1:9" x14ac:dyDescent="0.25">
      <c r="C428" s="26"/>
      <c r="D428" s="26"/>
      <c r="F428" s="25"/>
    </row>
    <row r="429" spans="1:9" x14ac:dyDescent="0.25">
      <c r="C429" s="26"/>
      <c r="D429" s="26"/>
      <c r="F429" s="25"/>
    </row>
    <row r="430" spans="1:9" x14ac:dyDescent="0.25">
      <c r="C430" s="26"/>
      <c r="D430" s="26"/>
      <c r="F430" s="25"/>
    </row>
    <row r="431" spans="1:9" x14ac:dyDescent="0.25">
      <c r="C431" s="26"/>
      <c r="D431" s="26"/>
      <c r="F431" s="25"/>
    </row>
    <row r="432" spans="1:9" x14ac:dyDescent="0.25">
      <c r="C432" s="26"/>
      <c r="D432" s="26"/>
      <c r="F432" s="25"/>
    </row>
    <row r="433" spans="3:6" x14ac:dyDescent="0.25">
      <c r="C433" s="26"/>
      <c r="D433" s="26"/>
      <c r="F433" s="25"/>
    </row>
    <row r="434" spans="3:6" x14ac:dyDescent="0.25">
      <c r="C434" s="26"/>
      <c r="D434" s="26"/>
      <c r="F434" s="25"/>
    </row>
    <row r="435" spans="3:6" x14ac:dyDescent="0.25">
      <c r="C435" s="26"/>
      <c r="D435" s="26"/>
      <c r="F435" s="25"/>
    </row>
    <row r="436" spans="3:6" x14ac:dyDescent="0.25">
      <c r="C436" s="26"/>
      <c r="D436" s="26"/>
      <c r="F436" s="25"/>
    </row>
    <row r="437" spans="3:6" x14ac:dyDescent="0.25">
      <c r="C437" s="26"/>
      <c r="D437" s="26"/>
      <c r="F437" s="25"/>
    </row>
    <row r="438" spans="3:6" x14ac:dyDescent="0.25">
      <c r="C438" s="26"/>
      <c r="D438" s="26"/>
      <c r="F438" s="25"/>
    </row>
    <row r="439" spans="3:6" x14ac:dyDescent="0.25">
      <c r="C439" s="26"/>
      <c r="D439" s="26"/>
      <c r="F439" s="25"/>
    </row>
    <row r="440" spans="3:6" x14ac:dyDescent="0.25">
      <c r="C440" s="26"/>
      <c r="D440" s="26"/>
      <c r="F440" s="25"/>
    </row>
    <row r="441" spans="3:6" x14ac:dyDescent="0.25">
      <c r="C441" s="26"/>
      <c r="D441" s="26"/>
      <c r="F441" s="25"/>
    </row>
    <row r="442" spans="3:6" x14ac:dyDescent="0.25">
      <c r="C442" s="26"/>
      <c r="D442" s="26"/>
      <c r="F442" s="25"/>
    </row>
    <row r="443" spans="3:6" x14ac:dyDescent="0.25">
      <c r="C443" s="26"/>
      <c r="D443" s="26"/>
      <c r="F443" s="25"/>
    </row>
    <row r="444" spans="3:6" x14ac:dyDescent="0.25">
      <c r="C444" s="26"/>
      <c r="D444" s="26"/>
      <c r="F444" s="25"/>
    </row>
    <row r="445" spans="3:6" x14ac:dyDescent="0.25">
      <c r="C445" s="26"/>
      <c r="D445" s="26"/>
      <c r="F445" s="25"/>
    </row>
    <row r="446" spans="3:6" x14ac:dyDescent="0.25">
      <c r="C446" s="26"/>
      <c r="D446" s="26"/>
      <c r="F446" s="25"/>
    </row>
    <row r="447" spans="3:6" x14ac:dyDescent="0.25">
      <c r="C447" s="26"/>
      <c r="D447" s="26"/>
      <c r="F447" s="25"/>
    </row>
    <row r="448" spans="3:6" x14ac:dyDescent="0.25">
      <c r="C448" s="26"/>
      <c r="D448" s="26"/>
      <c r="F448" s="25"/>
    </row>
    <row r="449" spans="3:6" x14ac:dyDescent="0.25">
      <c r="C449" s="26"/>
      <c r="D449" s="26"/>
      <c r="F449" s="25"/>
    </row>
    <row r="450" spans="3:6" x14ac:dyDescent="0.25">
      <c r="C450" s="26"/>
      <c r="D450" s="26"/>
      <c r="F450" s="25"/>
    </row>
    <row r="451" spans="3:6" x14ac:dyDescent="0.25">
      <c r="C451" s="26"/>
      <c r="D451" s="26"/>
      <c r="F451" s="25"/>
    </row>
    <row r="452" spans="3:6" x14ac:dyDescent="0.25">
      <c r="C452" s="26"/>
      <c r="D452" s="26"/>
      <c r="F452" s="25"/>
    </row>
    <row r="453" spans="3:6" x14ac:dyDescent="0.25">
      <c r="C453" s="26"/>
      <c r="D453" s="26"/>
      <c r="F453" s="25"/>
    </row>
    <row r="454" spans="3:6" x14ac:dyDescent="0.25">
      <c r="C454" s="26"/>
      <c r="D454" s="26"/>
      <c r="F454" s="25"/>
    </row>
    <row r="455" spans="3:6" x14ac:dyDescent="0.25">
      <c r="C455" s="26"/>
      <c r="D455" s="26"/>
      <c r="F455" s="25"/>
    </row>
    <row r="456" spans="3:6" x14ac:dyDescent="0.25">
      <c r="C456" s="26"/>
      <c r="D456" s="26"/>
      <c r="F456" s="25"/>
    </row>
    <row r="457" spans="3:6" x14ac:dyDescent="0.25">
      <c r="C457" s="26"/>
      <c r="D457" s="26"/>
      <c r="F457" s="25"/>
    </row>
    <row r="458" spans="3:6" x14ac:dyDescent="0.25">
      <c r="C458" s="26"/>
      <c r="D458" s="26"/>
      <c r="F458" s="25"/>
    </row>
    <row r="459" spans="3:6" x14ac:dyDescent="0.25">
      <c r="C459" s="26"/>
      <c r="D459" s="26"/>
      <c r="F459" s="25"/>
    </row>
    <row r="460" spans="3:6" x14ac:dyDescent="0.25">
      <c r="C460" s="26"/>
      <c r="D460" s="26"/>
      <c r="F460" s="25"/>
    </row>
    <row r="461" spans="3:6" x14ac:dyDescent="0.25">
      <c r="C461" s="26"/>
      <c r="D461" s="26"/>
      <c r="F461" s="25"/>
    </row>
    <row r="462" spans="3:6" x14ac:dyDescent="0.25">
      <c r="C462" s="26"/>
      <c r="D462" s="26"/>
      <c r="F462" s="25"/>
    </row>
    <row r="463" spans="3:6" x14ac:dyDescent="0.25">
      <c r="C463" s="26"/>
      <c r="D463" s="26"/>
      <c r="F463" s="25"/>
    </row>
    <row r="464" spans="3:6" x14ac:dyDescent="0.25">
      <c r="C464" s="26"/>
      <c r="D464" s="26"/>
      <c r="F464" s="25"/>
    </row>
    <row r="465" spans="3:6" x14ac:dyDescent="0.25">
      <c r="C465" s="26"/>
      <c r="D465" s="26"/>
      <c r="F465" s="25"/>
    </row>
    <row r="466" spans="3:6" x14ac:dyDescent="0.25">
      <c r="C466" s="26"/>
      <c r="D466" s="26"/>
      <c r="F466" s="25"/>
    </row>
    <row r="467" spans="3:6" x14ac:dyDescent="0.25">
      <c r="C467" s="26"/>
      <c r="D467" s="26"/>
      <c r="F467" s="25"/>
    </row>
    <row r="468" spans="3:6" x14ac:dyDescent="0.25">
      <c r="C468" s="26"/>
      <c r="D468" s="26"/>
      <c r="F468" s="25"/>
    </row>
    <row r="469" spans="3:6" x14ac:dyDescent="0.25">
      <c r="C469" s="26"/>
      <c r="D469" s="26"/>
      <c r="F469" s="25"/>
    </row>
    <row r="470" spans="3:6" x14ac:dyDescent="0.25">
      <c r="C470" s="26"/>
      <c r="D470" s="26"/>
      <c r="F470" s="25"/>
    </row>
    <row r="471" spans="3:6" x14ac:dyDescent="0.25">
      <c r="C471" s="26"/>
      <c r="D471" s="26"/>
      <c r="F471" s="25"/>
    </row>
    <row r="472" spans="3:6" x14ac:dyDescent="0.25">
      <c r="C472" s="26"/>
      <c r="D472" s="26"/>
      <c r="F472" s="25"/>
    </row>
    <row r="473" spans="3:6" x14ac:dyDescent="0.25">
      <c r="C473" s="26"/>
      <c r="D473" s="26"/>
      <c r="F473" s="25"/>
    </row>
    <row r="474" spans="3:6" x14ac:dyDescent="0.25">
      <c r="C474" s="26"/>
      <c r="D474" s="26"/>
      <c r="F474" s="25"/>
    </row>
    <row r="475" spans="3:6" x14ac:dyDescent="0.25">
      <c r="C475" s="26"/>
      <c r="D475" s="26"/>
      <c r="F475" s="25"/>
    </row>
    <row r="476" spans="3:6" x14ac:dyDescent="0.25">
      <c r="C476" s="26"/>
      <c r="D476" s="26"/>
      <c r="F476" s="25"/>
    </row>
    <row r="477" spans="3:6" x14ac:dyDescent="0.25">
      <c r="C477" s="26"/>
      <c r="D477" s="26"/>
      <c r="F477" s="25"/>
    </row>
    <row r="478" spans="3:6" x14ac:dyDescent="0.25">
      <c r="C478" s="26"/>
      <c r="D478" s="26"/>
      <c r="F478" s="25"/>
    </row>
    <row r="479" spans="3:6" x14ac:dyDescent="0.25">
      <c r="C479" s="26"/>
      <c r="D479" s="26"/>
      <c r="F479" s="25"/>
    </row>
    <row r="480" spans="3:6" x14ac:dyDescent="0.25">
      <c r="C480" s="26"/>
      <c r="D480" s="26"/>
      <c r="F480" s="25"/>
    </row>
    <row r="481" spans="3:6" x14ac:dyDescent="0.25">
      <c r="C481" s="26"/>
      <c r="D481" s="26"/>
      <c r="F481" s="25"/>
    </row>
    <row r="482" spans="3:6" x14ac:dyDescent="0.25">
      <c r="C482" s="26"/>
      <c r="D482" s="26"/>
      <c r="F482" s="25"/>
    </row>
    <row r="483" spans="3:6" x14ac:dyDescent="0.25">
      <c r="C483" s="26"/>
      <c r="D483" s="26"/>
      <c r="F483" s="25"/>
    </row>
    <row r="484" spans="3:6" x14ac:dyDescent="0.25">
      <c r="C484" s="26"/>
      <c r="D484" s="26"/>
      <c r="F484" s="25"/>
    </row>
    <row r="485" spans="3:6" x14ac:dyDescent="0.25">
      <c r="C485" s="26"/>
      <c r="D485" s="26"/>
      <c r="F485" s="25"/>
    </row>
    <row r="486" spans="3:6" x14ac:dyDescent="0.25">
      <c r="C486" s="26"/>
      <c r="D486" s="26"/>
      <c r="F486" s="25"/>
    </row>
    <row r="487" spans="3:6" x14ac:dyDescent="0.25">
      <c r="C487" s="26"/>
      <c r="D487" s="26"/>
      <c r="F487" s="25"/>
    </row>
    <row r="488" spans="3:6" x14ac:dyDescent="0.25">
      <c r="C488" s="26"/>
      <c r="D488" s="26"/>
      <c r="F488" s="25"/>
    </row>
    <row r="489" spans="3:6" x14ac:dyDescent="0.25">
      <c r="C489" s="26"/>
      <c r="D489" s="26"/>
      <c r="F489" s="25"/>
    </row>
    <row r="490" spans="3:6" x14ac:dyDescent="0.25">
      <c r="C490" s="26"/>
      <c r="D490" s="26"/>
      <c r="F490" s="25"/>
    </row>
    <row r="491" spans="3:6" x14ac:dyDescent="0.25">
      <c r="C491" s="26"/>
      <c r="D491" s="26"/>
      <c r="F491" s="25"/>
    </row>
    <row r="492" spans="3:6" x14ac:dyDescent="0.25">
      <c r="C492" s="26"/>
      <c r="D492" s="26"/>
      <c r="F492" s="25"/>
    </row>
    <row r="493" spans="3:6" x14ac:dyDescent="0.25">
      <c r="C493" s="26"/>
      <c r="D493" s="26"/>
      <c r="F493" s="25"/>
    </row>
    <row r="494" spans="3:6" x14ac:dyDescent="0.25">
      <c r="C494" s="26"/>
      <c r="D494" s="26"/>
      <c r="F494" s="25"/>
    </row>
    <row r="495" spans="3:6" x14ac:dyDescent="0.25">
      <c r="C495" s="26"/>
      <c r="D495" s="26"/>
      <c r="F495" s="25"/>
    </row>
    <row r="496" spans="3:6" x14ac:dyDescent="0.25">
      <c r="C496" s="26"/>
      <c r="D496" s="26"/>
      <c r="F496" s="25"/>
    </row>
    <row r="497" spans="3:6" x14ac:dyDescent="0.25">
      <c r="C497" s="26"/>
      <c r="D497" s="26"/>
      <c r="F497" s="25"/>
    </row>
    <row r="498" spans="3:6" x14ac:dyDescent="0.25">
      <c r="C498" s="26"/>
      <c r="D498" s="26"/>
      <c r="F498" s="25"/>
    </row>
    <row r="499" spans="3:6" x14ac:dyDescent="0.25">
      <c r="C499" s="26"/>
      <c r="D499" s="26"/>
      <c r="F499" s="25"/>
    </row>
    <row r="500" spans="3:6" x14ac:dyDescent="0.25">
      <c r="C500" s="26"/>
      <c r="D500" s="26"/>
      <c r="F500" s="25"/>
    </row>
    <row r="501" spans="3:6" x14ac:dyDescent="0.25">
      <c r="C501" s="26"/>
      <c r="D501" s="26"/>
      <c r="F501" s="25"/>
    </row>
    <row r="502" spans="3:6" x14ac:dyDescent="0.25">
      <c r="C502" s="26"/>
      <c r="D502" s="26"/>
      <c r="F502" s="25"/>
    </row>
    <row r="503" spans="3:6" x14ac:dyDescent="0.25">
      <c r="C503" s="26"/>
      <c r="D503" s="26"/>
      <c r="F503" s="25"/>
    </row>
    <row r="504" spans="3:6" x14ac:dyDescent="0.25">
      <c r="C504" s="26"/>
      <c r="D504" s="26"/>
      <c r="F504" s="25"/>
    </row>
    <row r="505" spans="3:6" x14ac:dyDescent="0.25">
      <c r="C505" s="26"/>
      <c r="D505" s="26"/>
      <c r="F505" s="25"/>
    </row>
    <row r="506" spans="3:6" x14ac:dyDescent="0.25">
      <c r="C506" s="26"/>
      <c r="D506" s="26"/>
      <c r="F506" s="25"/>
    </row>
    <row r="507" spans="3:6" x14ac:dyDescent="0.25">
      <c r="C507" s="26"/>
      <c r="D507" s="26"/>
      <c r="F507" s="25"/>
    </row>
    <row r="508" spans="3:6" x14ac:dyDescent="0.25">
      <c r="C508" s="26"/>
      <c r="D508" s="26"/>
      <c r="F508" s="25"/>
    </row>
    <row r="509" spans="3:6" x14ac:dyDescent="0.25">
      <c r="C509" s="26"/>
      <c r="D509" s="26"/>
      <c r="F509" s="25"/>
    </row>
    <row r="510" spans="3:6" x14ac:dyDescent="0.25">
      <c r="C510" s="26"/>
      <c r="D510" s="26"/>
      <c r="F510" s="25"/>
    </row>
    <row r="511" spans="3:6" x14ac:dyDescent="0.25">
      <c r="C511" s="26"/>
      <c r="D511" s="26"/>
      <c r="F511" s="25"/>
    </row>
    <row r="512" spans="3:6" x14ac:dyDescent="0.25">
      <c r="C512" s="26"/>
      <c r="D512" s="26"/>
      <c r="F512" s="25"/>
    </row>
    <row r="513" spans="3:6" x14ac:dyDescent="0.25">
      <c r="C513" s="26"/>
      <c r="D513" s="26"/>
      <c r="F513" s="25"/>
    </row>
    <row r="514" spans="3:6" x14ac:dyDescent="0.25">
      <c r="C514" s="26"/>
      <c r="D514" s="26"/>
      <c r="F514" s="25"/>
    </row>
    <row r="515" spans="3:6" x14ac:dyDescent="0.25">
      <c r="C515" s="26"/>
      <c r="D515" s="26"/>
      <c r="F515" s="25"/>
    </row>
    <row r="516" spans="3:6" x14ac:dyDescent="0.25">
      <c r="C516" s="26"/>
      <c r="D516" s="26"/>
      <c r="F516" s="25"/>
    </row>
    <row r="517" spans="3:6" x14ac:dyDescent="0.25">
      <c r="C517" s="26"/>
      <c r="D517" s="26"/>
      <c r="F517" s="25"/>
    </row>
    <row r="518" spans="3:6" x14ac:dyDescent="0.25">
      <c r="C518" s="26"/>
      <c r="D518" s="26"/>
      <c r="F518" s="25"/>
    </row>
    <row r="519" spans="3:6" x14ac:dyDescent="0.25">
      <c r="C519" s="26"/>
      <c r="D519" s="26"/>
      <c r="F519" s="25"/>
    </row>
    <row r="520" spans="3:6" x14ac:dyDescent="0.25">
      <c r="C520" s="26"/>
      <c r="D520" s="26"/>
      <c r="F520" s="25"/>
    </row>
    <row r="521" spans="3:6" x14ac:dyDescent="0.25">
      <c r="C521" s="26"/>
      <c r="D521" s="26"/>
      <c r="F521" s="25"/>
    </row>
    <row r="522" spans="3:6" x14ac:dyDescent="0.25">
      <c r="C522" s="26"/>
      <c r="D522" s="26"/>
      <c r="F522" s="25"/>
    </row>
    <row r="523" spans="3:6" x14ac:dyDescent="0.25">
      <c r="C523" s="26"/>
      <c r="D523" s="26"/>
      <c r="F523" s="25"/>
    </row>
    <row r="524" spans="3:6" x14ac:dyDescent="0.25">
      <c r="C524" s="26"/>
      <c r="D524" s="26"/>
      <c r="F524" s="25"/>
    </row>
    <row r="525" spans="3:6" x14ac:dyDescent="0.25">
      <c r="C525" s="26"/>
      <c r="D525" s="26"/>
      <c r="F525" s="25"/>
    </row>
    <row r="526" spans="3:6" x14ac:dyDescent="0.25">
      <c r="C526" s="26"/>
      <c r="D526" s="26"/>
      <c r="F526" s="25"/>
    </row>
    <row r="527" spans="3:6" x14ac:dyDescent="0.25">
      <c r="C527" s="26"/>
      <c r="D527" s="26"/>
      <c r="F527" s="25"/>
    </row>
    <row r="528" spans="3:6" x14ac:dyDescent="0.25">
      <c r="C528" s="26"/>
      <c r="D528" s="26"/>
      <c r="F528" s="25"/>
    </row>
    <row r="529" spans="3:6" x14ac:dyDescent="0.25">
      <c r="C529" s="26"/>
      <c r="D529" s="26"/>
      <c r="F529" s="25"/>
    </row>
    <row r="530" spans="3:6" x14ac:dyDescent="0.25">
      <c r="C530" s="26"/>
      <c r="D530" s="26"/>
      <c r="F530" s="25"/>
    </row>
    <row r="531" spans="3:6" x14ac:dyDescent="0.25">
      <c r="C531" s="26"/>
      <c r="D531" s="26"/>
      <c r="F531" s="25"/>
    </row>
    <row r="532" spans="3:6" x14ac:dyDescent="0.25">
      <c r="C532" s="26"/>
      <c r="D532" s="26"/>
      <c r="F532" s="25"/>
    </row>
    <row r="533" spans="3:6" x14ac:dyDescent="0.25">
      <c r="C533" s="26"/>
      <c r="D533" s="26"/>
      <c r="F533" s="25"/>
    </row>
    <row r="534" spans="3:6" x14ac:dyDescent="0.25">
      <c r="C534" s="26"/>
      <c r="D534" s="26"/>
      <c r="F534" s="25"/>
    </row>
    <row r="535" spans="3:6" x14ac:dyDescent="0.25">
      <c r="C535" s="26"/>
      <c r="D535" s="26"/>
      <c r="F535" s="25"/>
    </row>
    <row r="536" spans="3:6" x14ac:dyDescent="0.25">
      <c r="C536" s="26"/>
      <c r="D536" s="26"/>
      <c r="F536" s="25"/>
    </row>
    <row r="537" spans="3:6" x14ac:dyDescent="0.25">
      <c r="C537" s="26"/>
      <c r="D537" s="26"/>
      <c r="F537" s="25"/>
    </row>
    <row r="538" spans="3:6" x14ac:dyDescent="0.25">
      <c r="C538" s="26"/>
      <c r="D538" s="26"/>
      <c r="F538" s="25"/>
    </row>
    <row r="539" spans="3:6" x14ac:dyDescent="0.25">
      <c r="C539" s="26"/>
      <c r="D539" s="26"/>
      <c r="F539" s="25"/>
    </row>
    <row r="540" spans="3:6" x14ac:dyDescent="0.25">
      <c r="C540" s="26"/>
      <c r="D540" s="26"/>
      <c r="F540" s="25"/>
    </row>
    <row r="541" spans="3:6" x14ac:dyDescent="0.25">
      <c r="C541" s="26"/>
      <c r="D541" s="26"/>
      <c r="F541" s="25"/>
    </row>
    <row r="542" spans="3:6" x14ac:dyDescent="0.25">
      <c r="C542" s="26"/>
      <c r="D542" s="26"/>
      <c r="F542" s="25"/>
    </row>
    <row r="543" spans="3:6" x14ac:dyDescent="0.25">
      <c r="C543" s="26"/>
      <c r="D543" s="26"/>
      <c r="F543" s="25"/>
    </row>
    <row r="544" spans="3:6" x14ac:dyDescent="0.25">
      <c r="C544" s="26"/>
      <c r="D544" s="26"/>
      <c r="F544" s="25"/>
    </row>
    <row r="545" spans="3:6" x14ac:dyDescent="0.25">
      <c r="C545" s="26"/>
      <c r="D545" s="26"/>
      <c r="F545" s="25"/>
    </row>
    <row r="546" spans="3:6" x14ac:dyDescent="0.25">
      <c r="C546" s="26"/>
      <c r="D546" s="26"/>
      <c r="F546" s="25"/>
    </row>
    <row r="547" spans="3:6" x14ac:dyDescent="0.25">
      <c r="C547" s="26"/>
      <c r="D547" s="26"/>
      <c r="F547" s="25"/>
    </row>
    <row r="548" spans="3:6" x14ac:dyDescent="0.25">
      <c r="C548" s="26"/>
      <c r="D548" s="26"/>
      <c r="F548" s="25"/>
    </row>
    <row r="549" spans="3:6" x14ac:dyDescent="0.25">
      <c r="C549" s="26"/>
      <c r="D549" s="26"/>
      <c r="F549" s="25"/>
    </row>
    <row r="550" spans="3:6" x14ac:dyDescent="0.25">
      <c r="C550" s="26"/>
      <c r="D550" s="26"/>
      <c r="F550" s="25"/>
    </row>
    <row r="551" spans="3:6" x14ac:dyDescent="0.25">
      <c r="C551" s="26"/>
      <c r="D551" s="26"/>
      <c r="F551" s="25"/>
    </row>
    <row r="552" spans="3:6" x14ac:dyDescent="0.25">
      <c r="C552" s="26"/>
      <c r="D552" s="26"/>
      <c r="F552" s="25"/>
    </row>
    <row r="553" spans="3:6" x14ac:dyDescent="0.25">
      <c r="C553" s="26"/>
      <c r="D553" s="26"/>
      <c r="F553" s="25"/>
    </row>
    <row r="554" spans="3:6" x14ac:dyDescent="0.25">
      <c r="C554" s="26"/>
      <c r="D554" s="26"/>
      <c r="F554" s="25"/>
    </row>
    <row r="555" spans="3:6" x14ac:dyDescent="0.25">
      <c r="C555" s="26"/>
      <c r="D555" s="26"/>
      <c r="F555" s="25"/>
    </row>
    <row r="556" spans="3:6" x14ac:dyDescent="0.25">
      <c r="C556" s="26"/>
      <c r="D556" s="26"/>
      <c r="F556" s="25"/>
    </row>
    <row r="557" spans="3:6" x14ac:dyDescent="0.25">
      <c r="C557" s="26"/>
      <c r="D557" s="26"/>
      <c r="F557" s="25"/>
    </row>
    <row r="558" spans="3:6" x14ac:dyDescent="0.25">
      <c r="C558" s="26"/>
      <c r="D558" s="26"/>
      <c r="F558" s="25"/>
    </row>
    <row r="559" spans="3:6" x14ac:dyDescent="0.25">
      <c r="C559" s="26"/>
      <c r="D559" s="26"/>
      <c r="F559" s="25"/>
    </row>
    <row r="560" spans="3:6" x14ac:dyDescent="0.25">
      <c r="C560" s="26"/>
      <c r="D560" s="26"/>
      <c r="F560" s="25"/>
    </row>
    <row r="561" spans="3:6" x14ac:dyDescent="0.25">
      <c r="C561" s="26"/>
      <c r="D561" s="26"/>
      <c r="F561" s="25"/>
    </row>
    <row r="562" spans="3:6" x14ac:dyDescent="0.25">
      <c r="C562" s="26"/>
      <c r="D562" s="26"/>
      <c r="F562" s="25"/>
    </row>
    <row r="563" spans="3:6" x14ac:dyDescent="0.25">
      <c r="C563" s="26"/>
      <c r="D563" s="26"/>
      <c r="F563" s="25"/>
    </row>
    <row r="564" spans="3:6" x14ac:dyDescent="0.25">
      <c r="C564" s="26"/>
      <c r="D564" s="26"/>
      <c r="F564" s="25"/>
    </row>
    <row r="565" spans="3:6" x14ac:dyDescent="0.25">
      <c r="C565" s="26"/>
      <c r="D565" s="26"/>
      <c r="F565" s="25"/>
    </row>
    <row r="566" spans="3:6" x14ac:dyDescent="0.25">
      <c r="C566" s="26"/>
      <c r="D566" s="26"/>
      <c r="F566" s="25"/>
    </row>
    <row r="567" spans="3:6" x14ac:dyDescent="0.25">
      <c r="C567" s="26"/>
      <c r="D567" s="26"/>
      <c r="F567" s="25"/>
    </row>
    <row r="568" spans="3:6" x14ac:dyDescent="0.25">
      <c r="C568" s="26"/>
      <c r="D568" s="26"/>
      <c r="F568" s="25"/>
    </row>
    <row r="569" spans="3:6" x14ac:dyDescent="0.25">
      <c r="C569" s="26"/>
      <c r="D569" s="26"/>
      <c r="F569" s="25"/>
    </row>
    <row r="570" spans="3:6" x14ac:dyDescent="0.25">
      <c r="C570" s="26"/>
      <c r="D570" s="26"/>
      <c r="F570" s="25"/>
    </row>
    <row r="571" spans="3:6" x14ac:dyDescent="0.25">
      <c r="C571" s="26"/>
      <c r="D571" s="26"/>
      <c r="F571" s="25"/>
    </row>
    <row r="572" spans="3:6" x14ac:dyDescent="0.25">
      <c r="C572" s="26"/>
      <c r="D572" s="26"/>
      <c r="F572" s="25"/>
    </row>
    <row r="573" spans="3:6" x14ac:dyDescent="0.25">
      <c r="C573" s="26"/>
      <c r="D573" s="26"/>
      <c r="F573" s="25"/>
    </row>
  </sheetData>
  <pageMargins left="0.28000000000000003" right="0.24" top="1" bottom="1" header="0.5" footer="0.5"/>
  <pageSetup orientation="portrait" verticalDpi="0" r:id="rId1"/>
  <headerFooter alignWithMargins="0">
    <oddHeader>&amp;L&amp;16Class Day Marching List&amp;C&amp;14Page &amp;P&amp;R&amp;14Printed:&amp;D</oddHeader>
  </headerFooter>
  <rowBreaks count="25" manualBreakCount="25">
    <brk id="15" max="16383" man="1"/>
    <brk id="24" max="16383" man="1"/>
    <brk id="38" max="16383" man="1"/>
    <brk id="54" max="16383" man="1"/>
    <brk id="70" max="16383" man="1"/>
    <brk id="87" max="16383" man="1"/>
    <brk id="103" max="16383" man="1"/>
    <brk id="120" max="16383" man="1"/>
    <brk id="139" max="16383" man="1"/>
    <brk id="158" max="16383" man="1"/>
    <brk id="177" max="16383" man="1"/>
    <brk id="197" max="16383" man="1"/>
    <brk id="217" max="16383" man="1"/>
    <brk id="228" max="16383" man="1"/>
    <brk id="234" max="16383" man="1"/>
    <brk id="250" max="16383" man="1"/>
    <brk id="265" max="16383" man="1"/>
    <brk id="281" max="16383" man="1"/>
    <brk id="297" max="16383" man="1"/>
    <brk id="314" max="16383" man="1"/>
    <brk id="332" max="16383" man="1"/>
    <brk id="350" max="16383" man="1"/>
    <brk id="368" max="16383" man="1"/>
    <brk id="387" max="16383" man="1"/>
    <brk id="40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DIRECTIONS</vt:lpstr>
      <vt:lpstr>Raw Name Splitter</vt:lpstr>
      <vt:lpstr>Names with Seat Code</vt:lpstr>
      <vt:lpstr>Grad Raw Data</vt:lpstr>
      <vt:lpstr>Grad Breaks for Print</vt:lpstr>
      <vt:lpstr>Grad Pages for Podium with pron</vt:lpstr>
      <vt:lpstr>Grad Pages for Podium</vt:lpstr>
      <vt:lpstr>CD Data</vt:lpstr>
      <vt:lpstr>'CD Data'!Print_Area</vt:lpstr>
      <vt:lpstr>'Grad Pages for Podium'!Print_Area</vt:lpstr>
      <vt:lpstr>'CD Data'!Print_Titles</vt:lpstr>
      <vt:lpstr>'Grad Breaks for Print'!Print_Titles</vt:lpstr>
    </vt:vector>
  </TitlesOfParts>
  <Manager/>
  <Company>Reading Public Schools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RMHS</dc:creator>
  <cp:keywords/>
  <dc:description/>
  <cp:lastModifiedBy>Strout, Charles</cp:lastModifiedBy>
  <cp:revision/>
  <cp:lastPrinted>2026-05-28T16:29:41Z</cp:lastPrinted>
  <dcterms:created xsi:type="dcterms:W3CDTF">2007-03-29T16:51:47Z</dcterms:created>
  <dcterms:modified xsi:type="dcterms:W3CDTF">2026-05-28T16:35:08Z</dcterms:modified>
  <cp:category/>
  <cp:contentStatus/>
</cp:coreProperties>
</file>